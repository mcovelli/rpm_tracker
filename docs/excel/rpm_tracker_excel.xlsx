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2001_{B1E1F4AD-D02E-264F-84D5-AC496B409160}" xr6:coauthVersionLast="47" xr6:coauthVersionMax="47" xr10:uidLastSave="{00000000-0000-0000-0000-000000000000}"/>
  <bookViews>
    <workbookView xWindow="420" yWindow="600" windowWidth="28040" windowHeight="15960" activeTab="4" xr2:uid="{87995038-EF6D-3648-B83D-90EF52130973}"/>
  </bookViews>
  <sheets>
    <sheet name="Overview" sheetId="1" r:id="rId1"/>
    <sheet name="Lists" sheetId="14" r:id="rId2"/>
    <sheet name="Findings" sheetId="13" r:id="rId3"/>
    <sheet name="RPM" sheetId="8" r:id="rId4"/>
    <sheet name="Menu_Performance" sheetId="9" r:id="rId5"/>
    <sheet name="Ingredient_Cost" sheetId="10" r:id="rId6"/>
    <sheet name="KPI_Reporting" sheetId="11" r:id="rId7"/>
    <sheet name="Export_Log" sheetId="6" r:id="rId8"/>
    <sheet name="raw_menu_profitability" sheetId="2" r:id="rId9"/>
    <sheet name="raw_menu_engineering" sheetId="3" r:id="rId10"/>
    <sheet name="raw_location_price_variance" sheetId="5" r:id="rId11"/>
    <sheet name="raw_location_month_performance" sheetId="4" r:id="rId12"/>
  </sheets>
  <definedNames>
    <definedName name="_xlchart.v7.0" hidden="1">Menu_Performance!$D$79:$D$96</definedName>
    <definedName name="_xlchart.v7.1" hidden="1">Menu_Performance!$E$79:$E$96</definedName>
    <definedName name="_xlchart.v7.10" hidden="1">Menu_Performance!$F$1</definedName>
    <definedName name="_xlchart.v7.11" hidden="1">Menu_Performance!$L$6</definedName>
    <definedName name="_xlchart.v7.12" hidden="1">Menu_Performance!$D$79:$D$96</definedName>
    <definedName name="_xlchart.v7.13" hidden="1">Menu_Performance!$E$79:$E$96</definedName>
    <definedName name="_xlchart.v7.14" hidden="1">Menu_Performance!$F$1</definedName>
    <definedName name="_xlchart.v7.15" hidden="1">Menu_Performance!$L$6</definedName>
    <definedName name="_xlchart.v7.16" hidden="1">Menu_Performance!$D$79:$D$96</definedName>
    <definedName name="_xlchart.v7.17" hidden="1">Menu_Performance!$E$79:$E$96</definedName>
    <definedName name="_xlchart.v7.18" hidden="1">Menu_Performance!$F$1</definedName>
    <definedName name="_xlchart.v7.19" hidden="1">Menu_Performance!$L$6</definedName>
    <definedName name="_xlchart.v7.2" hidden="1">Menu_Performance!$F$1</definedName>
    <definedName name="_xlchart.v7.20" hidden="1">Menu_Performance!$D$79:$D$96</definedName>
    <definedName name="_xlchart.v7.21" hidden="1">Menu_Performance!$E$79:$E$96</definedName>
    <definedName name="_xlchart.v7.22" hidden="1">Menu_Performance!$F$1</definedName>
    <definedName name="_xlchart.v7.23" hidden="1">Menu_Performance!$L$6</definedName>
    <definedName name="_xlchart.v7.3" hidden="1">Menu_Performance!$L$6</definedName>
    <definedName name="_xlchart.v7.4" hidden="1">Menu_Performance!$D$79:$D$96</definedName>
    <definedName name="_xlchart.v7.5" hidden="1">Menu_Performance!$E$79:$E$96</definedName>
    <definedName name="_xlchart.v7.6" hidden="1">Menu_Performance!$F$1</definedName>
    <definedName name="_xlchart.v7.7" hidden="1">Menu_Performance!$L$6</definedName>
    <definedName name="_xlchart.v7.8" hidden="1">Menu_Performance!$D$79:$D$96</definedName>
    <definedName name="_xlchart.v7.9" hidden="1">Menu_Performance!$E$79:$E$96</definedName>
    <definedName name="location" localSheetId="1">Lists!$A$1:$C$9</definedName>
    <definedName name="location_price_variance" localSheetId="10">raw_location_price_variance!$A$1:$L$8016</definedName>
    <definedName name="menu_engineering" localSheetId="9">raw_menu_engineering!$A$1:$K$2638</definedName>
    <definedName name="menu_profitability_by_location" localSheetId="8">raw_menu_profitability!$A$1:$K$132</definedName>
    <definedName name="_xlnm.Print_Area" localSheetId="4">Menu_Performance!$B$2:$N$31,Menu_Performance!$B$33:$I$51,Menu_Performance!$J$33:$N$57,Menu_Performance!$J$57:$P$84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4" i="9" l="1" a="1"/>
  <c r="G80" i="9" a="1"/>
  <c r="F84" i="9"/>
  <c r="F83" i="9"/>
  <c r="F80" i="9"/>
  <c r="F79" i="9"/>
  <c r="E79" i="9" a="1"/>
  <c r="D79" i="9" a="1"/>
  <c r="F1" i="9"/>
  <c r="K32" i="9"/>
  <c r="J36" i="9" a="1"/>
  <c r="K34" i="9"/>
  <c r="D6" i="9"/>
  <c r="C4" i="9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G13" i="14"/>
  <c r="F5" i="13" a="1"/>
  <c r="N12" i="13"/>
  <c r="O12" i="13" s="1"/>
  <c r="P12" i="13" s="1"/>
  <c r="K12" i="13"/>
  <c r="N11" i="13"/>
  <c r="O11" i="13" s="1"/>
  <c r="P11" i="13" s="1"/>
  <c r="K11" i="13"/>
  <c r="N10" i="13"/>
  <c r="O10" i="13" s="1"/>
  <c r="P10" i="13" s="1"/>
  <c r="K10" i="13"/>
  <c r="N8" i="13"/>
  <c r="O8" i="13" s="1"/>
  <c r="P8" i="13" s="1"/>
  <c r="K8" i="13"/>
  <c r="N6" i="13"/>
  <c r="O6" i="13" s="1"/>
  <c r="K6" i="13"/>
  <c r="N5" i="13"/>
  <c r="O5" i="13" s="1"/>
  <c r="P5" i="13" s="1"/>
  <c r="P13" i="13" s="1"/>
  <c r="K5" i="13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F5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I3" i="9" l="1"/>
  <c r="J4" i="9" s="1"/>
  <c r="E9" i="9"/>
  <c r="L37" i="9"/>
  <c r="L40" i="9"/>
  <c r="L43" i="9"/>
  <c r="L45" i="9"/>
  <c r="L49" i="9"/>
  <c r="L54" i="9"/>
  <c r="K37" i="9"/>
  <c r="K44" i="9"/>
  <c r="M44" i="9" s="1"/>
  <c r="N44" i="9" s="1"/>
  <c r="K45" i="9"/>
  <c r="M45" i="9" s="1"/>
  <c r="N45" i="9" s="1"/>
  <c r="K47" i="9"/>
  <c r="K50" i="9"/>
  <c r="K51" i="9"/>
  <c r="K52" i="9"/>
  <c r="M52" i="9" s="1"/>
  <c r="N52" i="9" s="1"/>
  <c r="K53" i="9"/>
  <c r="L39" i="9"/>
  <c r="L44" i="9"/>
  <c r="L48" i="9"/>
  <c r="L50" i="9"/>
  <c r="L52" i="9"/>
  <c r="L53" i="9"/>
  <c r="L36" i="9"/>
  <c r="K40" i="9"/>
  <c r="M40" i="9" s="1"/>
  <c r="N40" i="9" s="1"/>
  <c r="K43" i="9"/>
  <c r="L41" i="9"/>
  <c r="L47" i="9"/>
  <c r="L55" i="9"/>
  <c r="K39" i="9"/>
  <c r="K55" i="9"/>
  <c r="K42" i="9"/>
  <c r="L38" i="9"/>
  <c r="L42" i="9"/>
  <c r="L46" i="9"/>
  <c r="L51" i="9"/>
  <c r="K38" i="9"/>
  <c r="K41" i="9"/>
  <c r="M41" i="9" s="1"/>
  <c r="N41" i="9" s="1"/>
  <c r="K46" i="9"/>
  <c r="M46" i="9" s="1"/>
  <c r="N46" i="9" s="1"/>
  <c r="K48" i="9"/>
  <c r="M48" i="9" s="1"/>
  <c r="N48" i="9" s="1"/>
  <c r="K49" i="9"/>
  <c r="M49" i="9" s="1"/>
  <c r="N49" i="9" s="1"/>
  <c r="K54" i="9"/>
  <c r="M54" i="9" s="1"/>
  <c r="N54" i="9" s="1"/>
  <c r="K36" i="9"/>
  <c r="I5" i="9"/>
  <c r="J5" i="9" s="1"/>
  <c r="G14" i="14"/>
  <c r="G2" i="14"/>
  <c r="E29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E11" i="9"/>
  <c r="E10" i="9"/>
  <c r="F29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29" i="9"/>
  <c r="G29" i="9" s="1"/>
  <c r="H29" i="9" s="1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F11" i="9"/>
  <c r="F10" i="9"/>
  <c r="F9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M51" i="9" l="1"/>
  <c r="N51" i="9" s="1"/>
  <c r="M55" i="9"/>
  <c r="N55" i="9" s="1"/>
  <c r="M39" i="9"/>
  <c r="N39" i="9" s="1"/>
  <c r="M47" i="9"/>
  <c r="N47" i="9" s="1"/>
  <c r="M43" i="9"/>
  <c r="N43" i="9" s="1"/>
  <c r="M53" i="9"/>
  <c r="N53" i="9" s="1"/>
  <c r="L56" i="9"/>
  <c r="M38" i="9"/>
  <c r="N38" i="9" s="1"/>
  <c r="M42" i="9"/>
  <c r="N42" i="9" s="1"/>
  <c r="M50" i="9"/>
  <c r="N50" i="9" s="1"/>
  <c r="M36" i="9"/>
  <c r="K56" i="9"/>
  <c r="M37" i="9"/>
  <c r="N37" i="9" s="1"/>
  <c r="G11" i="9"/>
  <c r="G10" i="9"/>
  <c r="G9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N12" i="9" s="1"/>
  <c r="G3" i="14"/>
  <c r="G15" i="14"/>
  <c r="H15" i="9"/>
  <c r="E28" i="9"/>
  <c r="F28" i="9"/>
  <c r="F30" i="9" s="1"/>
  <c r="L5" i="9"/>
  <c r="D28" i="9"/>
  <c r="D30" i="9" s="1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K23" i="9" l="1"/>
  <c r="H23" i="9"/>
  <c r="K26" i="9"/>
  <c r="H26" i="9"/>
  <c r="H19" i="9"/>
  <c r="K19" i="9"/>
  <c r="H16" i="9"/>
  <c r="K16" i="9"/>
  <c r="H14" i="9"/>
  <c r="K14" i="9"/>
  <c r="H13" i="9"/>
  <c r="K13" i="9"/>
  <c r="M56" i="9"/>
  <c r="N36" i="9"/>
  <c r="K11" i="9"/>
  <c r="H11" i="9"/>
  <c r="K17" i="9"/>
  <c r="H17" i="9"/>
  <c r="N15" i="9"/>
  <c r="K15" i="9"/>
  <c r="I15" i="9"/>
  <c r="I12" i="9"/>
  <c r="N11" i="9"/>
  <c r="N10" i="9"/>
  <c r="N9" i="9"/>
  <c r="N26" i="9"/>
  <c r="N25" i="9"/>
  <c r="N24" i="9"/>
  <c r="N23" i="9"/>
  <c r="N21" i="9"/>
  <c r="N19" i="9"/>
  <c r="N17" i="9"/>
  <c r="N16" i="9"/>
  <c r="N13" i="9"/>
  <c r="N18" i="9"/>
  <c r="N20" i="9"/>
  <c r="N22" i="9"/>
  <c r="N14" i="9"/>
  <c r="I11" i="9"/>
  <c r="I10" i="9"/>
  <c r="I26" i="9"/>
  <c r="I24" i="9"/>
  <c r="I21" i="9"/>
  <c r="I18" i="9"/>
  <c r="I17" i="9"/>
  <c r="I14" i="9"/>
  <c r="I13" i="9"/>
  <c r="I16" i="9"/>
  <c r="I25" i="9"/>
  <c r="I20" i="9"/>
  <c r="I19" i="9"/>
  <c r="I9" i="9"/>
  <c r="I23" i="9"/>
  <c r="I22" i="9"/>
  <c r="D31" i="9"/>
  <c r="H10" i="9"/>
  <c r="K10" i="9"/>
  <c r="G4" i="14"/>
  <c r="G16" i="14"/>
  <c r="H22" i="9"/>
  <c r="K22" i="9"/>
  <c r="H18" i="9"/>
  <c r="K18" i="9"/>
  <c r="H20" i="9"/>
  <c r="K20" i="9"/>
  <c r="H21" i="9"/>
  <c r="K21" i="9"/>
  <c r="H12" i="9"/>
  <c r="K12" i="9"/>
  <c r="F31" i="9"/>
  <c r="H24" i="9"/>
  <c r="K24" i="9"/>
  <c r="E31" i="9"/>
  <c r="E30" i="9"/>
  <c r="K25" i="9"/>
  <c r="H25" i="9"/>
  <c r="L6" i="9"/>
  <c r="K9" i="9"/>
  <c r="H9" i="9"/>
  <c r="G28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P43" i="9" l="1"/>
  <c r="P52" i="9"/>
  <c r="P37" i="9"/>
  <c r="P41" i="9"/>
  <c r="P45" i="9"/>
  <c r="P50" i="9"/>
  <c r="P55" i="9"/>
  <c r="P42" i="9"/>
  <c r="P44" i="9"/>
  <c r="P49" i="9"/>
  <c r="P53" i="9"/>
  <c r="P36" i="9"/>
  <c r="P39" i="9"/>
  <c r="P40" i="9"/>
  <c r="P47" i="9"/>
  <c r="P48" i="9"/>
  <c r="P54" i="9"/>
  <c r="P46" i="9"/>
  <c r="P51" i="9"/>
  <c r="P38" i="9"/>
  <c r="O40" i="9"/>
  <c r="O42" i="9"/>
  <c r="O45" i="9"/>
  <c r="O48" i="9"/>
  <c r="O52" i="9"/>
  <c r="O55" i="9"/>
  <c r="O37" i="9"/>
  <c r="O50" i="9"/>
  <c r="O36" i="9"/>
  <c r="O38" i="9"/>
  <c r="O41" i="9"/>
  <c r="O44" i="9"/>
  <c r="O46" i="9"/>
  <c r="O49" i="9"/>
  <c r="O53" i="9"/>
  <c r="O39" i="9"/>
  <c r="O43" i="9"/>
  <c r="O47" i="9"/>
  <c r="O51" i="9"/>
  <c r="O54" i="9"/>
  <c r="J24" i="9"/>
  <c r="J21" i="9"/>
  <c r="J11" i="9"/>
  <c r="J26" i="9"/>
  <c r="J10" i="9"/>
  <c r="J18" i="9"/>
  <c r="J17" i="9"/>
  <c r="J14" i="9"/>
  <c r="J13" i="9"/>
  <c r="J15" i="9"/>
  <c r="J12" i="9"/>
  <c r="J19" i="9"/>
  <c r="J9" i="9"/>
  <c r="J23" i="9"/>
  <c r="J22" i="9"/>
  <c r="J16" i="9"/>
  <c r="J25" i="9"/>
  <c r="J20" i="9"/>
  <c r="G17" i="14"/>
  <c r="G5" i="14"/>
  <c r="G30" i="9"/>
  <c r="G31" i="9" s="1"/>
  <c r="F6" i="9" s="1"/>
  <c r="H28" i="9"/>
  <c r="H30" i="9" s="1"/>
  <c r="L7" i="9"/>
  <c r="O4" i="8"/>
  <c r="M29" i="9" l="1" a="1"/>
  <c r="J29" i="9" a="1"/>
  <c r="G6" i="14"/>
  <c r="G18" i="14"/>
  <c r="J27" i="9"/>
  <c r="L16" i="9"/>
  <c r="M16" i="9" s="1"/>
  <c r="L18" i="9"/>
  <c r="M18" i="9" s="1"/>
  <c r="L19" i="9"/>
  <c r="M19" i="9" s="1"/>
  <c r="L10" i="9"/>
  <c r="M10" i="9" s="1"/>
  <c r="L11" i="9"/>
  <c r="M11" i="9" s="1"/>
  <c r="L17" i="9"/>
  <c r="M17" i="9" s="1"/>
  <c r="L13" i="9"/>
  <c r="M13" i="9" s="1"/>
  <c r="L23" i="9"/>
  <c r="M23" i="9" s="1"/>
  <c r="L9" i="9"/>
  <c r="L24" i="9"/>
  <c r="M24" i="9" s="1"/>
  <c r="L22" i="9"/>
  <c r="M22" i="9" s="1"/>
  <c r="L26" i="9"/>
  <c r="M26" i="9" s="1"/>
  <c r="L21" i="9"/>
  <c r="M21" i="9" s="1"/>
  <c r="L20" i="9"/>
  <c r="M20" i="9" s="1"/>
  <c r="L14" i="9"/>
  <c r="M14" i="9" s="1"/>
  <c r="L15" i="9"/>
  <c r="M15" i="9" s="1"/>
  <c r="L12" i="9"/>
  <c r="M12" i="9" s="1"/>
  <c r="L25" i="9"/>
  <c r="M25" i="9" s="1"/>
  <c r="G7" i="14" l="1"/>
  <c r="G19" i="14"/>
  <c r="L27" i="9"/>
  <c r="M9" i="9"/>
  <c r="C39" i="9" l="1" a="1"/>
  <c r="G37" i="9"/>
  <c r="D35" i="9"/>
  <c r="F37" i="9"/>
  <c r="F35" i="9"/>
  <c r="E37" i="9"/>
  <c r="C37" i="9"/>
  <c r="G35" i="9"/>
  <c r="C35" i="9"/>
  <c r="D37" i="9"/>
  <c r="E35" i="9"/>
  <c r="G20" i="14"/>
  <c r="G8" i="14"/>
  <c r="F39" i="9" a="1"/>
  <c r="G34" i="9"/>
  <c r="E34" i="9"/>
  <c r="E39" i="9" a="1"/>
  <c r="G39" i="9" a="1"/>
  <c r="F34" i="9"/>
  <c r="D34" i="9"/>
  <c r="C34" i="9"/>
  <c r="D39" i="9" a="1"/>
  <c r="H35" i="9" l="1"/>
  <c r="I35" i="9" s="1"/>
  <c r="G21" i="14"/>
  <c r="G9" i="14"/>
  <c r="H34" i="9"/>
  <c r="G36" i="9" l="1"/>
  <c r="C36" i="9"/>
  <c r="E36" i="9"/>
  <c r="D36" i="9"/>
  <c r="F36" i="9"/>
  <c r="H37" i="9"/>
  <c r="I37" i="9" s="1"/>
  <c r="G10" i="14"/>
  <c r="H36" i="9" l="1"/>
  <c r="E38" i="9"/>
  <c r="C38" i="9"/>
  <c r="D38" i="9"/>
  <c r="F38" i="9"/>
  <c r="G38" i="9"/>
  <c r="G12" i="14"/>
  <c r="G11" i="14"/>
  <c r="H38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715214F3-5882-C74C-A832-7CC9C23380C9}" name="location1" type="6" refreshedVersion="8" background="1" saveData="1">
    <textPr sourceFile="/Users/mike/rpm_tracker/docs/excel/location.csv" tab="0" comma="1">
      <textFields count="3">
        <textField/>
        <textField type="text"/>
        <textField/>
      </textFields>
    </textPr>
  </connection>
  <connection id="3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<sst xmlns="http://schemas.openxmlformats.org/spreadsheetml/2006/main" count="30126" uniqueCount="264">
  <si>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</si>
  <si>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</si>
  <si>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</si>
  <si>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</si>
  <si>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</si>
  <si>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</si>
  <si>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</si>
  <si>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</si>
  <si>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</si>
  <si>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menu_engineering</t>
  </si>
  <si>
    <t>Monitor ingredient cost fluctuations</t>
  </si>
  <si>
    <t>location_price_variance</t>
  </si>
  <si>
    <t>location_monthly_performance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</si>
  <si>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</si>
  <si>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</si>
  <si>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</si>
  <si>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</si>
  <si>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</si>
  <si>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</si>
  <si>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</si>
  <si>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</si>
  <si>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</si>
  <si>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</si>
  <si>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</si>
  <si>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</si>
  <si>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</si>
  <si>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</si>
  <si>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</si>
  <si>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</si>
  <si>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</si>
  <si>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</si>
  <si>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</si>
  <si>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</si>
  <si>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</si>
  <si>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</si>
  <si>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</si>
  <si>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</si>
  <si>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</si>
  <si>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</si>
  <si>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</si>
  <si>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</si>
  <si>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</si>
  <si>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</si>
  <si>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</si>
  <si>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</si>
  <si>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</si>
  <si>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</si>
  <si>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</si>
  <si>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</si>
  <si>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</si>
  <si>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</si>
  <si>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</si>
  <si>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</si>
  <si>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</si>
  <si>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</si>
  <si>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</si>
  <si>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</si>
  <si>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</si>
  <si>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</si>
  <si>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</si>
  <si>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</si>
  <si>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</si>
  <si>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</si>
  <si>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</si>
  <si>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</si>
  <si>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</si>
  <si>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</si>
  <si>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</si>
  <si>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</si>
  <si>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</si>
  <si>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</si>
  <si>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</si>
  <si>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</si>
  <si>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</si>
  <si>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</si>
  <si>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</si>
  <si>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</si>
  <si>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</si>
  <si>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</si>
  <si>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</si>
  <si>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</si>
  <si>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</si>
  <si>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</si>
  <si>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</si>
  <si>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</si>
  <si>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</si>
  <si>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</si>
  <si>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</si>
  <si>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</si>
  <si>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</si>
  <si>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</si>
  <si>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</si>
  <si>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</si>
  <si>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</si>
  <si>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</si>
  <si>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</si>
  <si>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</si>
  <si>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</si>
  <si>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</si>
  <si>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</si>
  <si>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</si>
  <si>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</si>
  <si>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</si>
  <si>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</si>
  <si>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</si>
  <si>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</si>
  <si>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</si>
  <si>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</si>
  <si>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</si>
  <si>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</si>
  <si>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</si>
  <si>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</si>
  <si>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</si>
  <si>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</si>
  <si>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</si>
  <si>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</si>
  <si>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</si>
  <si>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</si>
  <si>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</si>
  <si>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</si>
  <si>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</si>
  <si>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</si>
  <si>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</si>
  <si>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</si>
  <si>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</si>
  <si>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</si>
  <si>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</si>
  <si>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</si>
  <si>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</si>
  <si>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</si>
  <si>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</si>
  <si>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</si>
  <si>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</si>
  <si>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</si>
  <si>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</si>
  <si>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</si>
  <si>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</si>
  <si>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</si>
  <si>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</si>
  <si>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</si>
  <si>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</si>
  <si>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</si>
  <si>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</si>
  <si>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</si>
  <si>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</si>
  <si>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</si>
  <si>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</si>
  <si>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</si>
  <si>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</si>
  <si>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</si>
  <si>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</si>
  <si>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</si>
  <si>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</si>
  <si>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</si>
  <si>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</si>
  <si>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</si>
  <si>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</si>
  <si>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</si>
  <si>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</si>
  <si>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</si>
  <si>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</si>
  <si>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</si>
  <si>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</si>
  <si>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</si>
  <si>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</si>
  <si>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</si>
  <si>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</si>
  <si>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</si>
  <si>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</si>
  <si>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</si>
  <si>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</si>
  <si>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</si>
  <si>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</si>
  <si>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</si>
  <si>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</si>
  <si>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</si>
  <si>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</si>
  <si>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</si>
  <si>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</si>
  <si>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</si>
  <si>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</si>
  <si>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</si>
  <si>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</si>
  <si>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</si>
  <si>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</si>
  <si>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</si>
  <si>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</si>
  <si>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</si>
  <si>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</si>
  <si>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</si>
  <si>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</si>
  <si>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</si>
  <si>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</si>
  <si>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</si>
  <si>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</si>
  <si>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</si>
  <si>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</si>
  <si>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</si>
  <si>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</si>
  <si>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</si>
  <si>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</si>
  <si>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</si>
  <si>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</si>
  <si>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</si>
  <si>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</si>
  <si>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</si>
  <si>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</si>
  <si>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</si>
  <si>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</si>
  <si>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</si>
  <si>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</si>
  <si>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</si>
  <si>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</si>
  <si>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</si>
  <si>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</si>
  <si>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</si>
  <si>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</si>
  <si>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</si>
  <si>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</si>
  <si>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</si>
  <si>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</si>
  <si>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</si>
  <si>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</si>
  <si>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</si>
  <si>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</si>
  <si>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</si>
  <si>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</si>
  <si>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</si>
  <si>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Menu Performance</t>
  </si>
  <si>
    <t>region_id</t>
  </si>
  <si>
    <t>units_sold</t>
  </si>
  <si>
    <t>total_shortfall</t>
  </si>
  <si>
    <t>Evidence</t>
  </si>
  <si>
    <t>Findings</t>
  </si>
  <si>
    <t>rank</t>
  </si>
  <si>
    <t>month</t>
  </si>
  <si>
    <t>year</t>
  </si>
  <si>
    <t>top_grossing</t>
  </si>
  <si>
    <t>least_grossing</t>
  </si>
  <si>
    <t>unconverted_ingredient_count</t>
  </si>
  <si>
    <r>
      <rPr>
        <b/>
        <sz val="12"/>
        <color theme="1"/>
        <rFont val="Aptos Narrow"/>
        <scheme val="minor"/>
      </rPr>
      <t>What I saw:</t>
    </r>
    <r>
      <rPr>
        <sz val="12"/>
        <color theme="1"/>
        <rFont val="Aptos Narrow"/>
        <scheme val="minor"/>
      </rPr>
      <t xml:space="preserve">
 Out of the 5 locations that this dish is served, 3 locations have it marked as DOG. In all 5 locations, profit was steadily between 6 - 11%, or $0.98 to $1.76 below the benchmark and the popularity varied greatly, from 19.77% below the threshold to 13.98% above the threshold. The dish was least popular in locations 7 and 8 and most popular in locations Flatiron and Boston. 
</t>
    </r>
    <r>
      <rPr>
        <b/>
        <sz val="12"/>
        <color theme="1"/>
        <rFont val="Aptos Narrow"/>
        <scheme val="minor"/>
      </rPr>
      <t xml:space="preserve">Why it matters: </t>
    </r>
    <r>
      <rPr>
        <sz val="12"/>
        <color theme="1"/>
        <rFont val="Aptos Narrow"/>
        <scheme val="minor"/>
      </rPr>
      <t xml:space="preserve">
The shortfall is $0.98 to $1.76 per plate, about $7,200 of profit over 20 months across Flatiron and Chicago locations, $12,300 across all locations, excluding Downtown NYC.
</t>
    </r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scheme val="minor"/>
      </rPr>
      <t xml:space="preserve">
 I would consider replacing the dish on the menu in Dallas and San Jose because the popularity is 18-20% below the threshold. This assumes the replacement sells at least as well, which this data cannot test. I would review the food cost for the ingredients for this dish and raise prices if needed to close that gap.
</t>
    </r>
    <r>
      <rPr>
        <b/>
        <sz val="12"/>
        <color theme="1"/>
        <rFont val="Aptos Narrow"/>
        <scheme val="minor"/>
      </rPr>
      <t xml:space="preserve">Caveat: </t>
    </r>
    <r>
      <rPr>
        <sz val="12"/>
        <color theme="1"/>
        <rFont val="Aptos Narrow"/>
        <scheme val="minor"/>
      </rPr>
      <t xml:space="preserve">
Please note that the recipe cost does not include overhead and labor costs, therefore the profits may differ.
</t>
    </r>
  </si>
  <si>
    <t>Which dish earns the most and the least profit per location per time window?</t>
  </si>
  <si>
    <t>revenue</t>
  </si>
  <si>
    <t>gross_profit</t>
  </si>
  <si>
    <t>STAR</t>
  </si>
  <si>
    <t>PUZZLE</t>
  </si>
  <si>
    <t>no_sales</t>
  </si>
  <si>
    <t>count</t>
  </si>
  <si>
    <t>revenue_share_of_total</t>
  </si>
  <si>
    <t>profit_share_of_total</t>
  </si>
  <si>
    <t>cost</t>
  </si>
  <si>
    <t>DISHES</t>
  </si>
  <si>
    <t>Monitor and analyze virtual menu performance</t>
  </si>
  <si>
    <t>Generate forecasting, KPI, operational reports and magin trends</t>
  </si>
  <si>
    <t>Dish</t>
  </si>
  <si>
    <t>TOTAL</t>
  </si>
  <si>
    <t>chart_max</t>
  </si>
  <si>
    <t>chart_min</t>
  </si>
  <si>
    <t>chart_x</t>
  </si>
  <si>
    <t>chart_y</t>
  </si>
  <si>
    <t>chart_threshold_x</t>
  </si>
  <si>
    <t>chart_threshold_y</t>
  </si>
  <si>
    <t>chart_benchmak_x</t>
  </si>
  <si>
    <t>chart_benchmark_y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</si>
</sst>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_(&quot;$&quot;* #,##0.000_);_(&quot;$&quot;* \(#,##0.000\);_(&quot;$&quot;* &quot;-&quot;??_);_(@_)"/>
    <numFmt numFmtId="166" formatCode="&quot;$&quot;#,##0.000000"/>
    <numFmt numFmtId="167" formatCode="mmm\ yyyy"/>
    <numFmt numFmtId="168" formatCode="0.000000000000000000000000000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65" fontId="0" fillId="0" borderId="0" xfId="0" applyNumberFormat="1"/>
    <xf numFmtId="0" fontId="8" fillId="0" borderId="0" xfId="0" applyFont="1" applyAlignment="1">
      <alignment horizontal="right"/>
    </xf>
    <xf numFmtId="166" fontId="0" fillId="0" borderId="0" xfId="0" applyNumberFormat="1"/>
    <xf numFmtId="0" fontId="5" fillId="0" borderId="0" xfId="0" applyFont="1" applyAlignment="1">
      <alignment horizontal="left" vertical="top" wrapText="1"/>
    </xf>
    <xf numFmtId="0" fontId="1" fillId="0" borderId="0" xfId="0" applyFont="1" applyAlignment="1">
      <alignment horizontal="right" indent="2"/>
    </xf>
    <xf numFmtId="49" fontId="0" fillId="0" borderId="0" xfId="0" applyNumberFormat="1" applyAlignment="1">
      <alignment horizontal="right" indent="2"/>
    </xf>
    <xf numFmtId="0" fontId="0" fillId="0" borderId="0" xfId="0" applyAlignment="1">
      <alignment horizontal="right" indent="2"/>
    </xf>
    <xf numFmtId="167" fontId="0" fillId="0" borderId="0" xfId="0" applyNumberFormat="1"/>
    <xf numFmtId="167" fontId="6" fillId="0" borderId="0" xfId="0" applyNumberFormat="1" applyFont="1"/>
    <xf numFmtId="0" fontId="0" fillId="0" borderId="0" xfId="0" applyAlignment="1">
      <alignment wrapText="1"/>
    </xf>
    <xf numFmtId="0" fontId="0" fillId="0" borderId="4" xfId="0" applyBorder="1"/>
    <xf numFmtId="0" fontId="9" fillId="0" borderId="0" xfId="0" applyFont="1" applyAlignment="1">
      <alignment horizontal="center" vertical="center" wrapText="1"/>
    </xf>
    <xf numFmtId="0" fontId="9" fillId="0" borderId="1" xfId="0" applyFont="1" applyBorder="1"/>
    <xf numFmtId="168" fontId="0" fillId="0" borderId="0" xfId="0" applyNumberFormat="1"/>
    <xf numFmtId="0" fontId="0" fillId="0" borderId="0" xfId="0"/>
    <xf numFmtId="0" fontId="1" fillId="0" borderId="0" xfId="0" applyFont="1" applyAlignment="1">
      <alignment horizontal="right" wrapText="1"/>
    </xf>
    <xf numFmtId="0" fontId="8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167" fontId="1" fillId="0" borderId="1" xfId="0" applyNumberFormat="1" applyFont="1" applyBorder="1"/>
    <xf numFmtId="167" fontId="5" fillId="0" borderId="1" xfId="0" applyNumberFormat="1" applyFont="1" applyBorder="1"/>
    <xf numFmtId="44" fontId="0" fillId="0" borderId="1" xfId="3" applyFont="1" applyBorder="1"/>
    <xf numFmtId="44" fontId="0" fillId="0" borderId="1" xfId="0" applyNumberFormat="1" applyBorder="1"/>
    <xf numFmtId="10" fontId="0" fillId="0" borderId="1" xfId="2" applyNumberFormat="1" applyFont="1" applyBorder="1"/>
    <xf numFmtId="167" fontId="5" fillId="0" borderId="1" xfId="3" applyNumberFormat="1" applyFont="1" applyBorder="1"/>
    <xf numFmtId="44" fontId="0" fillId="0" borderId="1" xfId="2" applyNumberFormat="1" applyFont="1" applyBorder="1"/>
    <xf numFmtId="44" fontId="1" fillId="0" borderId="1" xfId="2" applyNumberFormat="1" applyFont="1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44" fontId="0" fillId="0" borderId="1" xfId="3" applyFont="1" applyBorder="1" applyAlignment="1">
      <alignment horizontal="center"/>
    </xf>
    <xf numFmtId="14" fontId="1" fillId="0" borderId="1" xfId="0" applyNumberFormat="1" applyFont="1" applyBorder="1" applyAlignment="1">
      <alignment wrapText="1"/>
    </xf>
    <xf numFmtId="9" fontId="0" fillId="0" borderId="1" xfId="2" applyFon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0" fontId="5" fillId="0" borderId="1" xfId="0" applyFont="1" applyBorder="1"/>
    <xf numFmtId="14" fontId="0" fillId="0" borderId="1" xfId="0" applyNumberFormat="1" applyBorder="1"/>
    <xf numFmtId="0" fontId="7" fillId="0" borderId="1" xfId="0" applyFont="1" applyBorder="1"/>
    <xf numFmtId="1" fontId="0" fillId="0" borderId="1" xfId="0" applyNumberFormat="1" applyBorder="1"/>
    <xf numFmtId="0" fontId="0" fillId="2" borderId="1" xfId="0" applyFill="1" applyBorder="1"/>
    <xf numFmtId="44" fontId="0" fillId="2" borderId="1" xfId="3" applyFont="1" applyFill="1" applyBorder="1"/>
    <xf numFmtId="1" fontId="0" fillId="2" borderId="1" xfId="0" applyNumberFormat="1" applyFill="1" applyBorder="1"/>
    <xf numFmtId="44" fontId="0" fillId="2" borderId="1" xfId="0" applyNumberFormat="1" applyFill="1" applyBorder="1"/>
    <xf numFmtId="10" fontId="0" fillId="2" borderId="1" xfId="2" applyNumberFormat="1" applyFont="1" applyFill="1" applyBorder="1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18">
    <dxf>
      <font>
        <color theme="0"/>
      </font>
    </dxf>
    <dxf>
      <font>
        <color theme="0"/>
      </font>
    </dxf>
    <dxf>
      <font>
        <strike val="0"/>
        <color theme="0"/>
      </font>
      <fill>
        <patternFill>
          <bgColor theme="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Menu_Performance!$K$32</c:f>
          <c:strCache>
            <c:ptCount val="1"/>
            <c:pt idx="0">
              <c:v>Eataly Downtown NYC (Feb 2025 - May 2025) - Margherita Pizza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Menu_Performance!$J$36:$J$55</c:f>
              <c:numCache>
                <c:formatCode>mmm\ yyyy</c:formatCode>
                <c:ptCount val="20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</c:numCache>
            </c:numRef>
          </c:cat>
          <c:val>
            <c:numRef>
              <c:f>Menu_Performance!$N$36:$N$55</c:f>
              <c:numCache>
                <c:formatCode>0.00%</c:formatCode>
                <c:ptCount val="20"/>
                <c:pt idx="0">
                  <c:v>0.73067633649404906</c:v>
                </c:pt>
                <c:pt idx="1">
                  <c:v>0.73260569286666666</c:v>
                </c:pt>
                <c:pt idx="2">
                  <c:v>0.73040902043888889</c:v>
                </c:pt>
                <c:pt idx="3">
                  <c:v>0.73281561717222221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62-BA45-A629-720EDCE79ACF}"/>
            </c:ext>
          </c:extLst>
        </c:ser>
        <c:ser>
          <c:idx val="1"/>
          <c:order val="1"/>
          <c:tx>
            <c:v>MAX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63500">
                <a:solidFill>
                  <a:srgbClr val="00B050"/>
                </a:solidFill>
              </a:ln>
              <a:effectLst/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Menu_Performance!$J$36:$J$55</c:f>
              <c:numCache>
                <c:formatCode>mmm\ yyyy</c:formatCode>
                <c:ptCount val="20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</c:numCache>
            </c:numRef>
          </c:cat>
          <c:val>
            <c:numRef>
              <c:f>Menu_Performance!$O$36:$O$55</c:f>
              <c:numCache>
                <c:formatCode>0.00%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0.73281561717222221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62-BA45-A629-720EDCE79ACF}"/>
            </c:ext>
          </c:extLst>
        </c:ser>
        <c:ser>
          <c:idx val="2"/>
          <c:order val="2"/>
          <c:tx>
            <c:v>MIN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63500">
                <a:solidFill>
                  <a:srgbClr val="FF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Menu_Performance!$J$36:$J$55</c:f>
              <c:numCache>
                <c:formatCode>mmm\ yyyy</c:formatCode>
                <c:ptCount val="20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</c:numCache>
            </c:numRef>
          </c:cat>
          <c:val>
            <c:numRef>
              <c:f>Menu_Performance!$P$36:$P$55</c:f>
              <c:numCache>
                <c:formatCode>0.00%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0.73040902043888889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62-BA45-A629-720EDCE7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036863"/>
        <c:axId val="93031935"/>
      </c:lineChart>
      <c:dateAx>
        <c:axId val="93036863"/>
        <c:scaling>
          <c:orientation val="minMax"/>
          <c:min val="4568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 yyyy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1935"/>
        <c:crosses val="autoZero"/>
        <c:auto val="0"/>
        <c:lblOffset val="100"/>
        <c:baseTimeUnit val="days"/>
        <c:majorUnit val="1"/>
        <c:majorTimeUnit val="months"/>
        <c:minorUnit val="6"/>
        <c:minorTimeUnit val="months"/>
      </c:dateAx>
      <c:valAx>
        <c:axId val="9303193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Margin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6863"/>
        <c:crosses val="autoZero"/>
        <c:crossBetween val="between"/>
        <c:majorUnit val="0.1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Menu_Performance!$F$1</c:f>
          <c:strCache>
            <c:ptCount val="1"/>
            <c:pt idx="0">
              <c:v>Menu Performance (Eataly Downtown NYC: Feb 2025 - May 2025)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unit_shares/gross_profit_unit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Menu_Performance!$D$79:$D$96</c:f>
              <c:numCache>
                <c:formatCode>0.00%</c:formatCode>
                <c:ptCount val="18"/>
                <c:pt idx="0">
                  <c:v>9.0429929723026048E-2</c:v>
                </c:pt>
                <c:pt idx="1">
                  <c:v>8.6502687060768912E-2</c:v>
                </c:pt>
                <c:pt idx="2">
                  <c:v>5.0950806118230677E-2</c:v>
                </c:pt>
                <c:pt idx="3">
                  <c:v>5.8598594460520875E-2</c:v>
                </c:pt>
                <c:pt idx="4">
                  <c:v>3.8445638693675073E-2</c:v>
                </c:pt>
                <c:pt idx="5">
                  <c:v>5.9322033898305086E-2</c:v>
                </c:pt>
                <c:pt idx="6">
                  <c:v>#N/A</c:v>
                </c:pt>
                <c:pt idx="7">
                  <c:v>4.8677139313766021E-2</c:v>
                </c:pt>
                <c:pt idx="8">
                  <c:v>#N/A</c:v>
                </c:pt>
                <c:pt idx="9">
                  <c:v>3.503513848697809E-2</c:v>
                </c:pt>
                <c:pt idx="10">
                  <c:v>8.5365853658536592E-2</c:v>
                </c:pt>
                <c:pt idx="11">
                  <c:v>5.6221579164944191E-2</c:v>
                </c:pt>
                <c:pt idx="12">
                  <c:v>6.2939231087226127E-2</c:v>
                </c:pt>
                <c:pt idx="13">
                  <c:v>5.1880942538238939E-2</c:v>
                </c:pt>
                <c:pt idx="14">
                  <c:v>5.3017775940471266E-2</c:v>
                </c:pt>
                <c:pt idx="15">
                  <c:v>9.3427035965274907E-2</c:v>
                </c:pt>
                <c:pt idx="16">
                  <c:v>9.0739975196362135E-2</c:v>
                </c:pt>
                <c:pt idx="17">
                  <c:v>3.8445638693675073E-2</c:v>
                </c:pt>
              </c:numCache>
            </c:numRef>
          </c:xVal>
          <c:yVal>
            <c:numRef>
              <c:f>Menu_Performance!$E$79:$E$96</c:f>
              <c:numCache>
                <c:formatCode>General</c:formatCode>
                <c:ptCount val="18"/>
                <c:pt idx="0">
                  <c:v>18.231402255203502</c:v>
                </c:pt>
                <c:pt idx="1">
                  <c:v>17.561592987892617</c:v>
                </c:pt>
                <c:pt idx="2">
                  <c:v>22.027502094555263</c:v>
                </c:pt>
                <c:pt idx="3">
                  <c:v>14.192325531588995</c:v>
                </c:pt>
                <c:pt idx="4">
                  <c:v>14.513402077732975</c:v>
                </c:pt>
                <c:pt idx="5">
                  <c:v>18.490192566057118</c:v>
                </c:pt>
                <c:pt idx="6">
                  <c:v>#N/A</c:v>
                </c:pt>
                <c:pt idx="7">
                  <c:v>11.82103310360408</c:v>
                </c:pt>
                <c:pt idx="8">
                  <c:v>#N/A</c:v>
                </c:pt>
                <c:pt idx="9">
                  <c:v>11.972267447472692</c:v>
                </c:pt>
                <c:pt idx="10">
                  <c:v>19.132898115566988</c:v>
                </c:pt>
                <c:pt idx="11">
                  <c:v>19.496950766295399</c:v>
                </c:pt>
                <c:pt idx="12">
                  <c:v>16.729161943833954</c:v>
                </c:pt>
                <c:pt idx="13">
                  <c:v>23.591847751513932</c:v>
                </c:pt>
                <c:pt idx="14">
                  <c:v>22.286876302873978</c:v>
                </c:pt>
                <c:pt idx="15">
                  <c:v>7.4421336996627083</c:v>
                </c:pt>
                <c:pt idx="16">
                  <c:v>6.657613005109682</c:v>
                </c:pt>
                <c:pt idx="17">
                  <c:v>17.945818403943054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52-B742-9FE7-B72BC2000FCA}"/>
            </c:ext>
          </c:extLst>
        </c:ser>
        <c:ser>
          <c:idx val="1"/>
          <c:order val="1"/>
          <c:tx>
            <c:v>threshold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Menu_Performance!$F$79:$F$80</c:f>
              <c:numCache>
                <c:formatCode>0.00%</c:formatCode>
                <c:ptCount val="2"/>
                <c:pt idx="0">
                  <c:v>4.3749999999999997E-2</c:v>
                </c:pt>
                <c:pt idx="1">
                  <c:v>4.3749999999999997E-2</c:v>
                </c:pt>
              </c:numCache>
            </c:numRef>
          </c:xVal>
          <c:yVal>
            <c:numRef>
              <c:f>Menu_Performance!$G$79:$G$85</c:f>
              <c:numCache>
                <c:formatCode>_("$"* #,##0.00_);_("$"* \(#,##0.00\);_("$"* "-"??_);_(@_)</c:formatCode>
                <c:ptCount val="7"/>
                <c:pt idx="0" formatCode="General">
                  <c:v>0</c:v>
                </c:pt>
                <c:pt idx="1">
                  <c:v>33.591847751513932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0.00%">
                  <c:v>0.1034270359652749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352-B742-9FE7-B72BC2000FCA}"/>
            </c:ext>
          </c:extLst>
        </c:ser>
        <c:ser>
          <c:idx val="2"/>
          <c:order val="2"/>
          <c:tx>
            <c:v>benchmark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Menu_Performance!$G$83:$G$85</c:f>
              <c:numCache>
                <c:formatCode>0.00%</c:formatCode>
                <c:ptCount val="3"/>
                <c:pt idx="0" formatCode="General">
                  <c:v>0</c:v>
                </c:pt>
                <c:pt idx="1">
                  <c:v>0.1034270359652749</c:v>
                </c:pt>
              </c:numCache>
            </c:numRef>
          </c:xVal>
          <c:yVal>
            <c:numRef>
              <c:f>Menu_Performance!$F$83:$F$84</c:f>
              <c:numCache>
                <c:formatCode>_("$"* #,##0.00_);_("$"* \(#,##0.00\);_("$"* "-"??_);_(@_)</c:formatCode>
                <c:ptCount val="2"/>
                <c:pt idx="0">
                  <c:v>15.948756314956654</c:v>
                </c:pt>
                <c:pt idx="1">
                  <c:v>15.948756314956654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352-B742-9FE7-B72BC2000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6046272"/>
        <c:axId val="1276042240"/>
      </c:scatterChart>
      <c:valAx>
        <c:axId val="1276046272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 Shares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042240"/>
        <c:crosses val="autoZero"/>
        <c:crossBetween val="midCat"/>
      </c:valAx>
      <c:valAx>
        <c:axId val="1276042240"/>
        <c:scaling>
          <c:orientation val="minMax"/>
          <c:max val="2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Gross Profit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046272"/>
        <c:crossesAt val="0"/>
        <c:crossBetween val="midCat"/>
        <c:majorUnit val="2.5"/>
      </c:valAx>
      <c:spPr>
        <a:noFill/>
        <a:ln>
          <a:noFill/>
        </a:ln>
        <a:effectLst/>
      </c:spPr>
    </c:plotArea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15874</xdr:colOff>
      <xdr:row>56</xdr:row>
      <xdr:rowOff>34016</xdr:rowOff>
    </xdr:from>
    <xdr:to>
      <xdr:col>15</xdr:col>
      <xdr:colOff>876300</xdr:colOff>
      <xdr:row>77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0613EF-07B5-241E-B8A6-628798036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1003300</xdr:colOff>
      <xdr:row>50</xdr:row>
      <xdr:rowOff>165100</xdr:rowOff>
    </xdr:from>
    <xdr:to>
      <xdr:col>7</xdr:col>
      <xdr:colOff>1651000</xdr:colOff>
      <xdr:row>76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6B7BE7-9614-143D-F53D-19D6CEAEA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2" xr16:uid="{A08DDE30-91A1-A543-9522-4A3D86B2667B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4" xr16:uid="{2A7A507D-9AAE-1242-A875-18053E17899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3" xr16:uid="{57D732BA-DCF8-1946-AABB-2406812EB9CF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topLeftCell="B13" workbookViewId="0">
      <selection activeCell="D9" sqref="D8:D9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50" t="s">
        <v>23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252</v>
      </c>
      <c r="D4" s="1" t="s">
        <v>241</v>
      </c>
      <c r="E4" s="3" t="s">
        <v>9</v>
      </c>
      <c r="F4" s="3" t="s">
        <v>165</v>
      </c>
    </row>
    <row r="5" spans="1:6" ht="102" x14ac:dyDescent="0.2">
      <c r="B5" s="8" t="str">
        <f>HYPERLINK("#Ingredient_Cost!A1", "Ingredient_Cost")</f>
        <v>Ingredient_Cost</v>
      </c>
      <c r="C5" s="3" t="s">
        <v>10</v>
      </c>
      <c r="D5" s="7" t="s">
        <v>15</v>
      </c>
      <c r="E5" s="3" t="s">
        <v>11</v>
      </c>
      <c r="F5" s="3" t="s">
        <v>16</v>
      </c>
    </row>
    <row r="6" spans="1:6" ht="85" x14ac:dyDescent="0.2">
      <c r="B6" s="8" t="str">
        <f>HYPERLINK("#KPI_Reporting!A1", "KPI_Reporting")</f>
        <v>KPI_Reporting</v>
      </c>
      <c r="C6" s="3" t="s">
        <v>253</v>
      </c>
      <c r="D6" s="7" t="s">
        <v>14</v>
      </c>
      <c r="E6" s="3" t="s">
        <v>12</v>
      </c>
      <c r="F6" s="3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513E-1B0B-0C48-AA5D-5CB15DFD1FC8}">
  <dimension ref="A1:G25"/>
  <sheetViews>
    <sheetView workbookViewId="0">
      <selection activeCell="G2" sqref="G2"/>
    </sheetView>
  </sheetViews>
  <sheetFormatPr baseColWidth="10" defaultRowHeight="16" x14ac:dyDescent="0.2"/>
  <cols>
    <col min="1" max="1" width="19.33203125" bestFit="1" customWidth="1"/>
    <col min="2" max="2" width="10.1640625" bestFit="1" customWidth="1"/>
    <col min="3" max="3" width="8.5" bestFit="1" customWidth="1"/>
  </cols>
  <sheetData>
    <row r="1" spans="1:7" x14ac:dyDescent="0.2">
      <c r="A1" s="15" t="s">
        <v>29</v>
      </c>
      <c r="B1" s="10" t="s">
        <v>28</v>
      </c>
      <c r="C1" s="10" t="s">
        <v>229</v>
      </c>
      <c r="E1" s="10" t="s">
        <v>235</v>
      </c>
      <c r="F1" s="10" t="s">
        <v>236</v>
      </c>
      <c r="G1" s="10" t="s">
        <v>66</v>
      </c>
    </row>
    <row r="2" spans="1:7" x14ac:dyDescent="0.2">
      <c r="A2" s="16" t="s">
        <v>39</v>
      </c>
      <c r="B2">
        <v>1</v>
      </c>
      <c r="C2">
        <v>1</v>
      </c>
      <c r="E2">
        <f>MOD(ROW()-1,12)+1</f>
        <v>2</v>
      </c>
      <c r="F2">
        <v>2025</v>
      </c>
      <c r="G2" s="46">
        <f>DATE(F2, E2, 1)</f>
        <v>45689</v>
      </c>
    </row>
    <row r="3" spans="1:7" x14ac:dyDescent="0.2">
      <c r="A3" s="16" t="s">
        <v>58</v>
      </c>
      <c r="B3">
        <v>2</v>
      </c>
      <c r="C3">
        <v>1</v>
      </c>
      <c r="E3">
        <f t="shared" ref="E3:E21" si="0">MOD(ROW()-1,12)+1</f>
        <v>3</v>
      </c>
      <c r="F3">
        <v>2025</v>
      </c>
      <c r="G3" s="46">
        <f t="shared" ref="G3:G21" si="1">DATE(F3, E3, 1)</f>
        <v>45717</v>
      </c>
    </row>
    <row r="4" spans="1:7" x14ac:dyDescent="0.2">
      <c r="A4" s="16" t="s">
        <v>60</v>
      </c>
      <c r="B4">
        <v>3</v>
      </c>
      <c r="C4">
        <v>1</v>
      </c>
      <c r="E4">
        <f t="shared" si="0"/>
        <v>4</v>
      </c>
      <c r="F4">
        <v>2025</v>
      </c>
      <c r="G4" s="46">
        <f t="shared" si="1"/>
        <v>45748</v>
      </c>
    </row>
    <row r="5" spans="1:7" x14ac:dyDescent="0.2">
      <c r="A5" s="16" t="s">
        <v>61</v>
      </c>
      <c r="B5">
        <v>4</v>
      </c>
      <c r="C5">
        <v>2</v>
      </c>
      <c r="E5">
        <f t="shared" si="0"/>
        <v>5</v>
      </c>
      <c r="F5">
        <v>2025</v>
      </c>
      <c r="G5" s="46">
        <f t="shared" si="1"/>
        <v>45778</v>
      </c>
    </row>
    <row r="6" spans="1:7" x14ac:dyDescent="0.2">
      <c r="A6" s="16" t="s">
        <v>62</v>
      </c>
      <c r="B6">
        <v>5</v>
      </c>
      <c r="C6">
        <v>3</v>
      </c>
      <c r="E6">
        <f t="shared" si="0"/>
        <v>6</v>
      </c>
      <c r="F6">
        <v>2025</v>
      </c>
      <c r="G6" s="46">
        <f t="shared" si="1"/>
        <v>45809</v>
      </c>
    </row>
    <row r="7" spans="1:7" x14ac:dyDescent="0.2">
      <c r="A7" s="16" t="s">
        <v>63</v>
      </c>
      <c r="B7">
        <v>6</v>
      </c>
      <c r="C7">
        <v>3</v>
      </c>
      <c r="E7">
        <f t="shared" si="0"/>
        <v>7</v>
      </c>
      <c r="F7">
        <v>2025</v>
      </c>
      <c r="G7" s="46">
        <f t="shared" si="1"/>
        <v>45839</v>
      </c>
    </row>
    <row r="8" spans="1:7" x14ac:dyDescent="0.2">
      <c r="A8" s="16" t="s">
        <v>64</v>
      </c>
      <c r="B8">
        <v>7</v>
      </c>
      <c r="C8">
        <v>4</v>
      </c>
      <c r="E8">
        <f t="shared" si="0"/>
        <v>8</v>
      </c>
      <c r="F8">
        <v>2025</v>
      </c>
      <c r="G8" s="46">
        <f t="shared" si="1"/>
        <v>45870</v>
      </c>
    </row>
    <row r="9" spans="1:7" x14ac:dyDescent="0.2">
      <c r="A9" s="16" t="s">
        <v>65</v>
      </c>
      <c r="B9">
        <v>8</v>
      </c>
      <c r="C9">
        <v>3</v>
      </c>
      <c r="E9">
        <f t="shared" si="0"/>
        <v>9</v>
      </c>
      <c r="F9">
        <v>2025</v>
      </c>
      <c r="G9" s="46">
        <f t="shared" si="1"/>
        <v>45901</v>
      </c>
    </row>
    <row r="10" spans="1:7" x14ac:dyDescent="0.2">
      <c r="E10">
        <f t="shared" si="0"/>
        <v>10</v>
      </c>
      <c r="F10">
        <v>2025</v>
      </c>
      <c r="G10" s="46">
        <f t="shared" si="1"/>
        <v>45931</v>
      </c>
    </row>
    <row r="11" spans="1:7" x14ac:dyDescent="0.2">
      <c r="E11">
        <f t="shared" si="0"/>
        <v>11</v>
      </c>
      <c r="F11">
        <v>2025</v>
      </c>
      <c r="G11" s="46">
        <f t="shared" si="1"/>
        <v>45962</v>
      </c>
    </row>
    <row r="12" spans="1:7" x14ac:dyDescent="0.2">
      <c r="E12">
        <f t="shared" si="0"/>
        <v>12</v>
      </c>
      <c r="F12">
        <v>2025</v>
      </c>
      <c r="G12" s="46">
        <f t="shared" si="1"/>
        <v>45992</v>
      </c>
    </row>
    <row r="13" spans="1:7" x14ac:dyDescent="0.2">
      <c r="E13">
        <f t="shared" si="0"/>
        <v>1</v>
      </c>
      <c r="F13">
        <v>2026</v>
      </c>
      <c r="G13" s="46">
        <f t="shared" si="1"/>
        <v>46023</v>
      </c>
    </row>
    <row r="14" spans="1:7" x14ac:dyDescent="0.2">
      <c r="E14">
        <f t="shared" si="0"/>
        <v>2</v>
      </c>
      <c r="F14">
        <v>2026</v>
      </c>
      <c r="G14" s="46">
        <f t="shared" si="1"/>
        <v>46054</v>
      </c>
    </row>
    <row r="15" spans="1:7" x14ac:dyDescent="0.2">
      <c r="E15">
        <f t="shared" si="0"/>
        <v>3</v>
      </c>
      <c r="F15">
        <v>2026</v>
      </c>
      <c r="G15" s="46">
        <f t="shared" si="1"/>
        <v>46082</v>
      </c>
    </row>
    <row r="16" spans="1:7" x14ac:dyDescent="0.2">
      <c r="E16">
        <f t="shared" si="0"/>
        <v>4</v>
      </c>
      <c r="F16">
        <v>2026</v>
      </c>
      <c r="G16" s="46">
        <f t="shared" si="1"/>
        <v>46113</v>
      </c>
    </row>
    <row r="17" spans="5:7" x14ac:dyDescent="0.2">
      <c r="E17">
        <f t="shared" si="0"/>
        <v>5</v>
      </c>
      <c r="F17">
        <v>2026</v>
      </c>
      <c r="G17" s="46">
        <f t="shared" si="1"/>
        <v>46143</v>
      </c>
    </row>
    <row r="18" spans="5:7" x14ac:dyDescent="0.2">
      <c r="E18">
        <f t="shared" si="0"/>
        <v>6</v>
      </c>
      <c r="F18">
        <v>2026</v>
      </c>
      <c r="G18" s="46">
        <f t="shared" si="1"/>
        <v>46174</v>
      </c>
    </row>
    <row r="19" spans="5:7" x14ac:dyDescent="0.2">
      <c r="E19">
        <f t="shared" si="0"/>
        <v>7</v>
      </c>
      <c r="F19">
        <v>2026</v>
      </c>
      <c r="G19" s="46">
        <f t="shared" si="1"/>
        <v>46204</v>
      </c>
    </row>
    <row r="20" spans="5:7" x14ac:dyDescent="0.2">
      <c r="E20">
        <f t="shared" si="0"/>
        <v>8</v>
      </c>
      <c r="F20">
        <v>2026</v>
      </c>
      <c r="G20" s="46">
        <f t="shared" si="1"/>
        <v>46235</v>
      </c>
    </row>
    <row r="21" spans="5:7" x14ac:dyDescent="0.2">
      <c r="E21">
        <f t="shared" si="0"/>
        <v>9</v>
      </c>
      <c r="F21">
        <v>2026</v>
      </c>
      <c r="G21" s="46">
        <f t="shared" si="1"/>
        <v>46266</v>
      </c>
    </row>
    <row r="23" spans="5:7" x14ac:dyDescent="0.2">
      <c r="G23" s="9"/>
    </row>
    <row r="24" spans="5:7" x14ac:dyDescent="0.2">
      <c r="G24" s="9"/>
    </row>
    <row r="25" spans="5:7" x14ac:dyDescent="0.2">
      <c r="G25" s="9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1:P37"/>
  <sheetViews>
    <sheetView topLeftCell="F30" workbookViewId="0">
      <selection activeCell="B4" sqref="B4:E24"/>
    </sheetView>
  </sheetViews>
  <sheetFormatPr baseColWidth="10" defaultRowHeight="16" x14ac:dyDescent="0.2"/>
  <cols>
    <col min="1" max="1" width="3.5" customWidth="1"/>
    <col min="2" max="2" width="17" bestFit="1" customWidth="1"/>
    <col min="3" max="3" width="9" bestFit="1" customWidth="1"/>
    <col min="4" max="4" width="33.83203125" customWidth="1"/>
    <col min="5" max="6" width="21.5" bestFit="1" customWidth="1"/>
    <col min="7" max="7" width="13" bestFit="1" customWidth="1"/>
    <col min="8" max="8" width="9" bestFit="1" customWidth="1"/>
    <col min="9" max="9" width="9.6640625" bestFit="1" customWidth="1"/>
    <col min="10" max="10" width="13.33203125" bestFit="1" customWidth="1"/>
    <col min="11" max="11" width="15" bestFit="1" customWidth="1"/>
    <col min="12" max="12" width="10.5" bestFit="1" customWidth="1"/>
    <col min="13" max="13" width="14.1640625" bestFit="1" customWidth="1"/>
    <col min="14" max="14" width="16.6640625" bestFit="1" customWidth="1"/>
    <col min="15" max="15" width="15" bestFit="1" customWidth="1"/>
    <col min="16" max="16" width="12.1640625" bestFit="1" customWidth="1"/>
  </cols>
  <sheetData>
    <row r="1" spans="1:16" ht="85" x14ac:dyDescent="0.2">
      <c r="B1" s="50" t="s">
        <v>23</v>
      </c>
    </row>
    <row r="2" spans="1:16" x14ac:dyDescent="0.2">
      <c r="B2" s="10" t="s">
        <v>228</v>
      </c>
    </row>
    <row r="3" spans="1:16" x14ac:dyDescent="0.2">
      <c r="B3" s="10" t="s">
        <v>233</v>
      </c>
      <c r="F3" s="10" t="s">
        <v>232</v>
      </c>
    </row>
    <row r="4" spans="1:16" ht="17" customHeight="1" x14ac:dyDescent="0.2">
      <c r="B4" s="56" t="s">
        <v>240</v>
      </c>
      <c r="C4" s="56"/>
      <c r="D4" s="56"/>
      <c r="E4" s="56"/>
      <c r="F4" s="43" t="s">
        <v>216</v>
      </c>
      <c r="G4" s="10" t="s">
        <v>213</v>
      </c>
      <c r="H4" s="10" t="s">
        <v>204</v>
      </c>
      <c r="I4" s="10" t="s">
        <v>230</v>
      </c>
      <c r="J4" s="10" t="s">
        <v>217</v>
      </c>
      <c r="K4" s="17" t="s">
        <v>223</v>
      </c>
      <c r="L4" s="17" t="s">
        <v>221</v>
      </c>
      <c r="M4" s="10" t="s">
        <v>218</v>
      </c>
      <c r="N4" s="17" t="s">
        <v>224</v>
      </c>
      <c r="O4" s="17" t="s">
        <v>226</v>
      </c>
      <c r="P4" s="17" t="s">
        <v>227</v>
      </c>
    </row>
    <row r="5" spans="1:16" x14ac:dyDescent="0.2">
      <c r="A5" s="42"/>
      <c r="B5" s="56"/>
      <c r="C5" s="56"/>
      <c r="D5" s="56"/>
      <c r="E5" s="56"/>
      <c r="F5" s="44" t="str" cm="1">
        <f t="array" ref="F5:F12">Lists!$A$2:$A$9</f>
        <v>Eataly Flatiron</v>
      </c>
      <c r="G5" t="s">
        <v>219</v>
      </c>
      <c r="H5" s="28">
        <v>3.8888888888888883E-2</v>
      </c>
      <c r="I5">
        <v>2714</v>
      </c>
      <c r="J5" s="28">
        <v>4.432684926584677E-2</v>
      </c>
      <c r="K5" s="28">
        <f>IF(G5="NO SALE", "-", (J5-H5)/H5)</f>
        <v>0.13983326683605998</v>
      </c>
      <c r="L5" s="26">
        <v>16.130947370972944</v>
      </c>
      <c r="M5" s="26">
        <v>14.375910585160286</v>
      </c>
      <c r="N5" s="28">
        <f>(M5-L5)/L5</f>
        <v>-0.10879936221047892</v>
      </c>
      <c r="O5" s="41">
        <f>L5*N5</f>
        <v>-1.7550367858126581</v>
      </c>
      <c r="P5" s="26">
        <f>I5*O5</f>
        <v>-4763.1698366955543</v>
      </c>
    </row>
    <row r="6" spans="1:16" x14ac:dyDescent="0.2">
      <c r="A6" s="42"/>
      <c r="B6" s="56"/>
      <c r="C6" s="56"/>
      <c r="D6" s="56"/>
      <c r="E6" s="56"/>
      <c r="F6" s="45" t="str">
        <v>Eataly Downtown NYC</v>
      </c>
      <c r="G6" t="s">
        <v>222</v>
      </c>
      <c r="H6" s="28">
        <v>4.3749999999999997E-2</v>
      </c>
      <c r="I6">
        <v>491</v>
      </c>
      <c r="J6" s="28">
        <v>1.0200000000000001E-2</v>
      </c>
      <c r="K6" s="28">
        <f>IF(G6="NO SALE", "-", (J6-H6)/H6)</f>
        <v>-0.76685714285714279</v>
      </c>
      <c r="L6" s="26">
        <v>15.837498514089441</v>
      </c>
      <c r="M6" s="26">
        <v>14.61</v>
      </c>
      <c r="N6" s="28">
        <f t="shared" ref="N6:N12" si="0">(M6-L6)/L6</f>
        <v>-7.7505832944352163E-2</v>
      </c>
      <c r="O6" s="41">
        <f t="shared" ref="O6:O12" si="1">L6*N6</f>
        <v>-1.2274985140894419</v>
      </c>
      <c r="P6" s="26" t="s">
        <v>25</v>
      </c>
    </row>
    <row r="7" spans="1:16" x14ac:dyDescent="0.2">
      <c r="A7" s="42"/>
      <c r="B7" s="56"/>
      <c r="C7" s="56"/>
      <c r="D7" s="56"/>
      <c r="E7" s="56"/>
      <c r="F7" s="45" t="str">
        <v>Eataly Boston</v>
      </c>
      <c r="G7" t="s">
        <v>225</v>
      </c>
      <c r="H7" s="28" t="s">
        <v>25</v>
      </c>
      <c r="I7" t="s">
        <v>25</v>
      </c>
      <c r="J7" s="28" t="s">
        <v>25</v>
      </c>
      <c r="K7" s="28" t="s">
        <v>25</v>
      </c>
      <c r="L7" s="26" t="s">
        <v>25</v>
      </c>
      <c r="M7" s="26">
        <v>0</v>
      </c>
      <c r="N7" s="28" t="s">
        <v>25</v>
      </c>
      <c r="O7" s="18" t="s">
        <v>25</v>
      </c>
      <c r="P7" s="26" t="s">
        <v>25</v>
      </c>
    </row>
    <row r="8" spans="1:16" x14ac:dyDescent="0.2">
      <c r="A8" s="42"/>
      <c r="B8" s="56"/>
      <c r="C8" s="56"/>
      <c r="D8" s="56"/>
      <c r="E8" s="56"/>
      <c r="F8" s="45" t="str">
        <v>Eataly Chicago</v>
      </c>
      <c r="G8" t="s">
        <v>219</v>
      </c>
      <c r="H8" s="28">
        <v>4.3749999999999997E-2</v>
      </c>
      <c r="I8">
        <v>1798</v>
      </c>
      <c r="J8" s="28">
        <v>4.9399999999999999E-2</v>
      </c>
      <c r="K8" s="28">
        <f>IF(G8="NO SALE", "-", (J8-H8)/H8)</f>
        <v>0.1291428571428572</v>
      </c>
      <c r="L8" s="26">
        <v>15.53263114726864</v>
      </c>
      <c r="M8" s="26">
        <v>14.16</v>
      </c>
      <c r="N8" s="28">
        <f t="shared" si="0"/>
        <v>-8.8370806868095397E-2</v>
      </c>
      <c r="O8" s="41">
        <f t="shared" si="1"/>
        <v>-1.3726311472686401</v>
      </c>
      <c r="P8" s="26">
        <f>I8*O8</f>
        <v>-2467.9908027890151</v>
      </c>
    </row>
    <row r="9" spans="1:16" x14ac:dyDescent="0.2">
      <c r="A9" s="42"/>
      <c r="B9" s="56"/>
      <c r="C9" s="56"/>
      <c r="D9" s="56"/>
      <c r="E9" s="56"/>
      <c r="F9" s="45" t="str">
        <v>Eataly Los Angeles</v>
      </c>
      <c r="G9" t="s">
        <v>225</v>
      </c>
      <c r="H9" s="28" t="s">
        <v>25</v>
      </c>
      <c r="I9" t="s">
        <v>25</v>
      </c>
      <c r="J9" s="28" t="s">
        <v>25</v>
      </c>
      <c r="K9" s="28" t="s">
        <v>25</v>
      </c>
      <c r="L9" s="26" t="s">
        <v>25</v>
      </c>
      <c r="M9" s="26">
        <v>0</v>
      </c>
      <c r="N9" s="28" t="s">
        <v>25</v>
      </c>
      <c r="O9" s="18" t="s">
        <v>25</v>
      </c>
      <c r="P9" s="26" t="s">
        <v>25</v>
      </c>
    </row>
    <row r="10" spans="1:16" x14ac:dyDescent="0.2">
      <c r="A10" s="42"/>
      <c r="B10" s="56"/>
      <c r="C10" s="56"/>
      <c r="D10" s="56"/>
      <c r="E10" s="56"/>
      <c r="F10" s="45" t="str">
        <v>Eataly Las Vegas</v>
      </c>
      <c r="G10" t="s">
        <v>220</v>
      </c>
      <c r="H10" s="28">
        <v>3.8888888888888883E-2</v>
      </c>
      <c r="I10">
        <v>1954</v>
      </c>
      <c r="J10" s="28">
        <v>3.7199999999999997E-2</v>
      </c>
      <c r="K10" s="28">
        <f>IF(G10="NO SALE", "-", (J10-H10)/H10)</f>
        <v>-4.3428571428571351E-2</v>
      </c>
      <c r="L10" s="26">
        <v>16.695704654072134</v>
      </c>
      <c r="M10" s="26">
        <v>15.07</v>
      </c>
      <c r="N10" s="28">
        <f t="shared" si="0"/>
        <v>-9.7372628933970723E-2</v>
      </c>
      <c r="O10" s="41">
        <f t="shared" si="1"/>
        <v>-1.625704654072134</v>
      </c>
      <c r="P10" s="26">
        <f>I10*O10</f>
        <v>-3176.6268940569498</v>
      </c>
    </row>
    <row r="11" spans="1:16" x14ac:dyDescent="0.2">
      <c r="A11" s="42"/>
      <c r="B11" s="56"/>
      <c r="C11" s="56"/>
      <c r="D11" s="56"/>
      <c r="E11" s="56"/>
      <c r="F11" s="45" t="str">
        <v>Eataly Dallas</v>
      </c>
      <c r="G11" t="s">
        <v>220</v>
      </c>
      <c r="H11" s="28">
        <v>3.8888888888888883E-2</v>
      </c>
      <c r="I11">
        <v>984</v>
      </c>
      <c r="J11" s="28">
        <v>3.2000000000000001E-2</v>
      </c>
      <c r="K11" s="28">
        <f>IF(G11="NO SALE", "-", (J11-H11)/H11)</f>
        <v>-0.17714285714285699</v>
      </c>
      <c r="L11" s="26">
        <v>13.485909791798328</v>
      </c>
      <c r="M11" s="26">
        <v>12.22</v>
      </c>
      <c r="N11" s="28">
        <f t="shared" si="0"/>
        <v>-9.3869068631039665E-2</v>
      </c>
      <c r="O11" s="41">
        <f t="shared" si="1"/>
        <v>-1.2659097917983271</v>
      </c>
      <c r="P11" s="26">
        <f>I11*O11</f>
        <v>-1245.6552351295538</v>
      </c>
    </row>
    <row r="12" spans="1:16" x14ac:dyDescent="0.2">
      <c r="A12" s="42"/>
      <c r="B12" s="56"/>
      <c r="C12" s="56"/>
      <c r="D12" s="56"/>
      <c r="E12" s="56"/>
      <c r="F12" s="45" t="str">
        <v>Eataly San Jose</v>
      </c>
      <c r="G12" t="s">
        <v>220</v>
      </c>
      <c r="H12" s="28">
        <v>3.8888888888888883E-2</v>
      </c>
      <c r="I12">
        <v>623</v>
      </c>
      <c r="J12" s="28">
        <v>3.1199999999999999E-2</v>
      </c>
      <c r="K12" s="28">
        <f>IF(G12="NO SALE", "-", (J12-H12)/H12)</f>
        <v>-0.19771428571428562</v>
      </c>
      <c r="L12" s="26">
        <v>15.200190012587591</v>
      </c>
      <c r="M12" s="26">
        <v>14.22</v>
      </c>
      <c r="N12" s="28">
        <f t="shared" si="0"/>
        <v>-6.4485378918018421E-2</v>
      </c>
      <c r="O12" s="41">
        <f t="shared" si="1"/>
        <v>-0.98019001258758998</v>
      </c>
      <c r="P12" s="26">
        <f>I12*O12</f>
        <v>-610.6583778420686</v>
      </c>
    </row>
    <row r="13" spans="1:16" x14ac:dyDescent="0.2">
      <c r="A13" s="42"/>
      <c r="B13" s="56"/>
      <c r="C13" s="56"/>
      <c r="D13" s="56"/>
      <c r="E13" s="56"/>
      <c r="K13" s="18"/>
      <c r="L13" s="22"/>
      <c r="M13" s="18"/>
      <c r="N13" s="18"/>
      <c r="O13" s="17" t="s">
        <v>231</v>
      </c>
      <c r="P13" s="27">
        <f>SUM(P5:P12)</f>
        <v>-12264.101146513141</v>
      </c>
    </row>
    <row r="14" spans="1:16" x14ac:dyDescent="0.2">
      <c r="A14" s="42"/>
      <c r="B14" s="56"/>
      <c r="C14" s="56"/>
      <c r="D14" s="56"/>
      <c r="E14" s="56"/>
    </row>
    <row r="15" spans="1:16" x14ac:dyDescent="0.2">
      <c r="A15" s="42"/>
      <c r="B15" s="56"/>
      <c r="C15" s="56"/>
      <c r="D15" s="56"/>
      <c r="E15" s="56"/>
    </row>
    <row r="16" spans="1:16" x14ac:dyDescent="0.2">
      <c r="A16" s="42"/>
      <c r="B16" s="56"/>
      <c r="C16" s="56"/>
      <c r="D16" s="56"/>
      <c r="E16" s="56"/>
    </row>
    <row r="17" spans="1:15" x14ac:dyDescent="0.2">
      <c r="A17" s="42"/>
      <c r="B17" s="56"/>
      <c r="C17" s="56"/>
      <c r="D17" s="56"/>
      <c r="E17" s="56"/>
    </row>
    <row r="18" spans="1:15" x14ac:dyDescent="0.2">
      <c r="A18" s="42"/>
      <c r="B18" s="56"/>
      <c r="C18" s="56"/>
      <c r="D18" s="56"/>
      <c r="E18" s="56"/>
    </row>
    <row r="19" spans="1:15" x14ac:dyDescent="0.2">
      <c r="A19" s="42"/>
      <c r="B19" s="56"/>
      <c r="C19" s="56"/>
      <c r="D19" s="56"/>
      <c r="E19" s="56"/>
    </row>
    <row r="20" spans="1:15" x14ac:dyDescent="0.2">
      <c r="A20" s="42"/>
      <c r="B20" s="56"/>
      <c r="C20" s="56"/>
      <c r="D20" s="56"/>
      <c r="E20" s="56"/>
    </row>
    <row r="21" spans="1:15" x14ac:dyDescent="0.2">
      <c r="A21" s="42"/>
      <c r="B21" s="56"/>
      <c r="C21" s="56"/>
      <c r="D21" s="56"/>
      <c r="E21" s="56"/>
    </row>
    <row r="22" spans="1:15" x14ac:dyDescent="0.2">
      <c r="A22" s="42"/>
      <c r="B22" s="56"/>
      <c r="C22" s="56"/>
      <c r="D22" s="56"/>
      <c r="E22" s="56"/>
    </row>
    <row r="23" spans="1:15" x14ac:dyDescent="0.2">
      <c r="A23" s="42"/>
      <c r="B23" s="56"/>
      <c r="C23" s="56"/>
      <c r="D23" s="56"/>
      <c r="E23" s="56"/>
    </row>
    <row r="24" spans="1:15" x14ac:dyDescent="0.2">
      <c r="A24" s="42"/>
      <c r="B24" s="56"/>
      <c r="C24" s="56"/>
      <c r="D24" s="56"/>
      <c r="E24" s="56"/>
    </row>
    <row r="25" spans="1:15" x14ac:dyDescent="0.2">
      <c r="A25" s="42"/>
      <c r="B25" s="42"/>
      <c r="C25" s="42"/>
      <c r="D25" s="42"/>
    </row>
    <row r="26" spans="1:15" x14ac:dyDescent="0.2">
      <c r="A26" s="42"/>
      <c r="B26" s="42"/>
      <c r="C26" s="42"/>
      <c r="D26" s="42"/>
    </row>
    <row r="27" spans="1:15" x14ac:dyDescent="0.2">
      <c r="A27" s="42"/>
      <c r="B27" s="42"/>
      <c r="C27" s="42"/>
      <c r="D27" s="42"/>
      <c r="E27" s="10"/>
    </row>
    <row r="28" spans="1:15" x14ac:dyDescent="0.2">
      <c r="A28" s="42"/>
      <c r="B28" s="42"/>
      <c r="C28" s="42"/>
      <c r="D28" s="42"/>
      <c r="E28" s="43"/>
      <c r="F28" s="10"/>
      <c r="G28" s="10"/>
      <c r="H28" s="10"/>
      <c r="I28" s="10"/>
      <c r="J28" s="17"/>
      <c r="K28" s="17"/>
      <c r="L28" s="10"/>
      <c r="M28" s="17"/>
      <c r="N28" s="17"/>
      <c r="O28" s="17"/>
    </row>
    <row r="29" spans="1:15" x14ac:dyDescent="0.2">
      <c r="A29" s="42"/>
      <c r="B29" s="42"/>
      <c r="C29" s="42"/>
      <c r="D29" s="42"/>
      <c r="E29" s="44"/>
      <c r="G29" s="28"/>
      <c r="I29" s="28"/>
      <c r="J29" s="28"/>
      <c r="K29" s="26"/>
      <c r="L29" s="26"/>
      <c r="M29" s="28"/>
      <c r="N29" s="41"/>
      <c r="O29" s="26"/>
    </row>
    <row r="30" spans="1:15" x14ac:dyDescent="0.2">
      <c r="A30" s="42"/>
      <c r="B30" s="42"/>
      <c r="C30" s="42"/>
      <c r="D30" s="42"/>
      <c r="E30" s="45"/>
      <c r="G30" s="28"/>
      <c r="I30" s="28"/>
      <c r="J30" s="28"/>
      <c r="K30" s="26"/>
      <c r="L30" s="26"/>
      <c r="M30" s="28"/>
      <c r="N30" s="41"/>
      <c r="O30" s="26"/>
    </row>
    <row r="31" spans="1:15" x14ac:dyDescent="0.2">
      <c r="E31" s="45"/>
      <c r="G31" s="28"/>
      <c r="I31" s="28"/>
      <c r="J31" s="28"/>
      <c r="K31" s="26"/>
      <c r="L31" s="26"/>
      <c r="M31" s="28"/>
      <c r="N31" s="18"/>
      <c r="O31" s="26"/>
    </row>
    <row r="32" spans="1:15" x14ac:dyDescent="0.2">
      <c r="E32" s="45"/>
      <c r="G32" s="28"/>
      <c r="I32" s="28"/>
      <c r="J32" s="28"/>
      <c r="K32" s="26"/>
      <c r="L32" s="26"/>
      <c r="M32" s="28"/>
      <c r="N32" s="41"/>
      <c r="O32" s="26"/>
    </row>
    <row r="33" spans="5:15" x14ac:dyDescent="0.2">
      <c r="E33" s="45"/>
      <c r="G33" s="28"/>
      <c r="I33" s="28"/>
      <c r="J33" s="28"/>
      <c r="K33" s="26"/>
      <c r="L33" s="26"/>
      <c r="M33" s="28"/>
      <c r="N33" s="18"/>
      <c r="O33" s="26"/>
    </row>
    <row r="34" spans="5:15" x14ac:dyDescent="0.2">
      <c r="E34" s="45"/>
      <c r="G34" s="28"/>
      <c r="I34" s="28"/>
      <c r="J34" s="28"/>
      <c r="K34" s="26"/>
      <c r="L34" s="26"/>
      <c r="M34" s="28"/>
      <c r="N34" s="41"/>
      <c r="O34" s="26"/>
    </row>
    <row r="35" spans="5:15" x14ac:dyDescent="0.2">
      <c r="E35" s="45"/>
      <c r="G35" s="28"/>
      <c r="I35" s="28"/>
      <c r="J35" s="28"/>
      <c r="K35" s="26"/>
      <c r="L35" s="26"/>
      <c r="M35" s="28"/>
      <c r="N35" s="41"/>
      <c r="O35" s="26"/>
    </row>
    <row r="36" spans="5:15" x14ac:dyDescent="0.2">
      <c r="E36" s="45"/>
      <c r="G36" s="28"/>
      <c r="I36" s="28"/>
      <c r="J36" s="28"/>
      <c r="K36" s="26"/>
      <c r="L36" s="26"/>
      <c r="M36" s="28"/>
      <c r="N36" s="41"/>
      <c r="O36" s="26"/>
    </row>
    <row r="37" spans="5:15" x14ac:dyDescent="0.2">
      <c r="J37" s="18"/>
      <c r="K37" s="22"/>
      <c r="L37" s="18"/>
      <c r="M37" s="18"/>
      <c r="N37" s="17"/>
      <c r="O37" s="27"/>
    </row>
  </sheetData>
  <mergeCells count="1">
    <mergeCell ref="B4:E24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28</v>
      </c>
      <c r="B1" s="10" t="s">
        <v>30</v>
      </c>
      <c r="C1" s="10" t="s">
        <v>171</v>
      </c>
      <c r="D1" s="10" t="s">
        <v>29</v>
      </c>
      <c r="E1" s="24" t="s">
        <v>33</v>
      </c>
      <c r="F1" s="10" t="s">
        <v>31</v>
      </c>
      <c r="G1" s="24" t="s">
        <v>34</v>
      </c>
      <c r="H1" s="10" t="s">
        <v>37</v>
      </c>
      <c r="I1" s="17" t="s">
        <v>35</v>
      </c>
      <c r="J1" s="19" t="s">
        <v>36</v>
      </c>
      <c r="K1" s="17" t="s">
        <v>38</v>
      </c>
      <c r="L1" s="10" t="s">
        <v>173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 t="shared" ref="L2:L33" si="0">IF(J2&lt;$O$3, 1, 0)</f>
        <v>0</v>
      </c>
    </row>
    <row r="3" spans="1:15" x14ac:dyDescent="0.2">
      <c r="A3">
        <v>1</v>
      </c>
      <c r="B3">
        <v>2</v>
      </c>
      <c r="C3" t="str">
        <f t="shared" ref="C3:C66" si="1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2">E3-G3</f>
        <v>17.234999999999999</v>
      </c>
      <c r="J3" s="28">
        <f t="shared" ref="J3:J66" si="3">I3/E3</f>
        <v>0.71812500000000001</v>
      </c>
      <c r="K3" s="27">
        <f t="shared" ref="K3:K66" si="4">I3*H3</f>
        <v>101359.035</v>
      </c>
      <c r="L3">
        <f t="shared" si="0"/>
        <v>0</v>
      </c>
      <c r="N3" s="30" t="s">
        <v>172</v>
      </c>
      <c r="O3" s="31">
        <v>0.7</v>
      </c>
    </row>
    <row r="4" spans="1:15" x14ac:dyDescent="0.2">
      <c r="A4">
        <v>1</v>
      </c>
      <c r="B4">
        <v>3</v>
      </c>
      <c r="C4" t="str">
        <f t="shared" si="1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2"/>
        <v>21.84</v>
      </c>
      <c r="J4" s="28">
        <f t="shared" si="3"/>
        <v>0.85647058823529409</v>
      </c>
      <c r="K4" s="27">
        <f t="shared" si="4"/>
        <v>64362.48</v>
      </c>
      <c r="L4">
        <f t="shared" si="0"/>
        <v>0</v>
      </c>
      <c r="N4" s="30" t="s">
        <v>174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1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2"/>
        <v>14.01</v>
      </c>
      <c r="J5" s="28">
        <f t="shared" si="3"/>
        <v>0.66714285714285715</v>
      </c>
      <c r="K5" s="27">
        <f t="shared" si="4"/>
        <v>60116.909999999996</v>
      </c>
      <c r="L5">
        <f t="shared" si="0"/>
        <v>1</v>
      </c>
    </row>
    <row r="6" spans="1:15" x14ac:dyDescent="0.2">
      <c r="A6">
        <v>1</v>
      </c>
      <c r="B6">
        <v>5</v>
      </c>
      <c r="C6" t="str">
        <f t="shared" si="1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2"/>
        <v>14.05</v>
      </c>
      <c r="J6" s="28">
        <f t="shared" si="3"/>
        <v>0.66904761904761911</v>
      </c>
      <c r="K6" s="27">
        <f t="shared" si="4"/>
        <v>40211.1</v>
      </c>
      <c r="L6">
        <f t="shared" si="0"/>
        <v>1</v>
      </c>
      <c r="N6" s="29" t="s">
        <v>175</v>
      </c>
    </row>
    <row r="7" spans="1:15" x14ac:dyDescent="0.2">
      <c r="A7">
        <v>1</v>
      </c>
      <c r="B7">
        <v>6</v>
      </c>
      <c r="C7" t="str">
        <f t="shared" si="1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2"/>
        <v>18.2425</v>
      </c>
      <c r="J7" s="28">
        <f t="shared" si="3"/>
        <v>0.79315217391304349</v>
      </c>
      <c r="K7" s="27">
        <f t="shared" si="4"/>
        <v>65508.817499999997</v>
      </c>
      <c r="L7">
        <f t="shared" si="0"/>
        <v>0</v>
      </c>
      <c r="N7" t="s">
        <v>184</v>
      </c>
    </row>
    <row r="8" spans="1:15" x14ac:dyDescent="0.2">
      <c r="A8">
        <v>1</v>
      </c>
      <c r="B8">
        <v>7</v>
      </c>
      <c r="C8" t="str">
        <f t="shared" si="1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2"/>
        <v>7.6050000000000004</v>
      </c>
      <c r="J8" s="28">
        <f t="shared" si="3"/>
        <v>0.72428571428571431</v>
      </c>
      <c r="K8" s="27">
        <f t="shared" si="4"/>
        <v>37720.800000000003</v>
      </c>
      <c r="L8">
        <f t="shared" si="0"/>
        <v>0</v>
      </c>
      <c r="N8" s="23" t="s">
        <v>176</v>
      </c>
    </row>
    <row r="9" spans="1:15" x14ac:dyDescent="0.2">
      <c r="A9">
        <v>1</v>
      </c>
      <c r="B9">
        <v>8</v>
      </c>
      <c r="C9" t="str">
        <f t="shared" si="1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2"/>
        <v>11.818332999999999</v>
      </c>
      <c r="J9" s="28">
        <f t="shared" si="3"/>
        <v>0.94546663999999991</v>
      </c>
      <c r="K9" s="27">
        <f t="shared" si="4"/>
        <v>36471.375637999998</v>
      </c>
      <c r="L9">
        <f t="shared" si="0"/>
        <v>0</v>
      </c>
      <c r="N9" s="23" t="s">
        <v>183</v>
      </c>
    </row>
    <row r="10" spans="1:15" x14ac:dyDescent="0.2">
      <c r="A10">
        <v>1</v>
      </c>
      <c r="B10">
        <v>9</v>
      </c>
      <c r="C10" t="str">
        <f t="shared" si="1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2"/>
        <v>31.25</v>
      </c>
      <c r="J10" s="28">
        <f t="shared" si="3"/>
        <v>0.63131313131313127</v>
      </c>
      <c r="K10" s="27">
        <f t="shared" si="4"/>
        <v>52062.5</v>
      </c>
      <c r="L10">
        <f t="shared" si="0"/>
        <v>1</v>
      </c>
      <c r="N10" s="23" t="s">
        <v>177</v>
      </c>
    </row>
    <row r="11" spans="1:15" x14ac:dyDescent="0.2">
      <c r="A11">
        <v>1</v>
      </c>
      <c r="B11">
        <v>11</v>
      </c>
      <c r="C11" t="str">
        <f t="shared" si="1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2"/>
        <v>19.024999999999999</v>
      </c>
      <c r="J11" s="28">
        <f t="shared" si="3"/>
        <v>0.90595238095238084</v>
      </c>
      <c r="K11" s="27">
        <f t="shared" si="4"/>
        <v>94249.849999999991</v>
      </c>
      <c r="L11">
        <f t="shared" si="0"/>
        <v>0</v>
      </c>
      <c r="N11" s="23" t="s">
        <v>178</v>
      </c>
    </row>
    <row r="12" spans="1:15" x14ac:dyDescent="0.2">
      <c r="A12">
        <v>1</v>
      </c>
      <c r="B12">
        <v>12</v>
      </c>
      <c r="C12" t="str">
        <f t="shared" si="1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2"/>
        <v>19.4175</v>
      </c>
      <c r="J12" s="28">
        <f t="shared" si="3"/>
        <v>0.88261363636363643</v>
      </c>
      <c r="K12" s="27">
        <f t="shared" si="4"/>
        <v>68019.502500000002</v>
      </c>
      <c r="L12">
        <f t="shared" si="0"/>
        <v>0</v>
      </c>
      <c r="N12" s="23" t="s">
        <v>179</v>
      </c>
    </row>
    <row r="13" spans="1:15" x14ac:dyDescent="0.2">
      <c r="A13">
        <v>1</v>
      </c>
      <c r="B13">
        <v>13</v>
      </c>
      <c r="C13" t="str">
        <f t="shared" si="1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2"/>
        <v>16.134999999999998</v>
      </c>
      <c r="J13" s="28">
        <f t="shared" si="3"/>
        <v>0.7015217391304347</v>
      </c>
      <c r="K13" s="27">
        <f t="shared" si="4"/>
        <v>60312.62999999999</v>
      </c>
      <c r="L13">
        <f t="shared" si="0"/>
        <v>0</v>
      </c>
    </row>
    <row r="14" spans="1:15" x14ac:dyDescent="0.2">
      <c r="A14">
        <v>1</v>
      </c>
      <c r="B14">
        <v>14</v>
      </c>
      <c r="C14" t="str">
        <f t="shared" si="1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2"/>
        <v>23.923333</v>
      </c>
      <c r="J14" s="28">
        <f t="shared" si="3"/>
        <v>0.85440474999999994</v>
      </c>
      <c r="K14" s="27">
        <f t="shared" si="4"/>
        <v>79210.155562999993</v>
      </c>
      <c r="L14">
        <f t="shared" si="0"/>
        <v>0</v>
      </c>
    </row>
    <row r="15" spans="1:15" x14ac:dyDescent="0.2">
      <c r="A15">
        <v>1</v>
      </c>
      <c r="B15">
        <v>15</v>
      </c>
      <c r="C15" t="str">
        <f t="shared" si="1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2"/>
        <v>22.285</v>
      </c>
      <c r="J15" s="28">
        <f t="shared" si="3"/>
        <v>0.89139999999999997</v>
      </c>
      <c r="K15" s="27">
        <f t="shared" si="4"/>
        <v>75590.720000000001</v>
      </c>
      <c r="L15">
        <f t="shared" si="0"/>
        <v>0</v>
      </c>
      <c r="N15" s="30" t="s">
        <v>180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1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2"/>
        <v>7.4391670000000003</v>
      </c>
      <c r="J16" s="28">
        <f t="shared" si="3"/>
        <v>0.82657411111111112</v>
      </c>
      <c r="K16" s="27">
        <f t="shared" si="4"/>
        <v>25851.105325</v>
      </c>
      <c r="L16">
        <f t="shared" si="0"/>
        <v>0</v>
      </c>
      <c r="N16" s="30" t="s">
        <v>181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1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2"/>
        <v>6.5962499999999995</v>
      </c>
      <c r="J17" s="28">
        <f t="shared" si="3"/>
        <v>0.82453124999999994</v>
      </c>
      <c r="K17" s="27">
        <f t="shared" si="4"/>
        <v>26121.149999999998</v>
      </c>
      <c r="L17">
        <f t="shared" si="0"/>
        <v>0</v>
      </c>
      <c r="N17" s="10" t="s">
        <v>182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1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2"/>
        <v>17.57</v>
      </c>
      <c r="J18" s="28">
        <f t="shared" si="3"/>
        <v>0.74765957446808506</v>
      </c>
      <c r="K18" s="27">
        <f t="shared" si="4"/>
        <v>43362.76</v>
      </c>
      <c r="L18">
        <f t="shared" si="0"/>
        <v>0</v>
      </c>
    </row>
    <row r="19" spans="1:15" x14ac:dyDescent="0.2">
      <c r="A19">
        <v>2</v>
      </c>
      <c r="B19">
        <v>1</v>
      </c>
      <c r="C19" t="str">
        <f t="shared" si="1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2"/>
        <v>18.04</v>
      </c>
      <c r="J19" s="28">
        <f t="shared" si="3"/>
        <v>0.82</v>
      </c>
      <c r="K19" s="27">
        <f t="shared" si="4"/>
        <v>87764.599999999991</v>
      </c>
      <c r="L19">
        <f t="shared" si="0"/>
        <v>0</v>
      </c>
    </row>
    <row r="20" spans="1:15" x14ac:dyDescent="0.2">
      <c r="A20">
        <v>2</v>
      </c>
      <c r="B20">
        <v>2</v>
      </c>
      <c r="C20" t="str">
        <f t="shared" si="1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2"/>
        <v>17.305</v>
      </c>
      <c r="J20" s="28">
        <f t="shared" si="3"/>
        <v>0.72104166666666669</v>
      </c>
      <c r="K20" s="27">
        <f t="shared" si="4"/>
        <v>79706.83</v>
      </c>
      <c r="L20">
        <f t="shared" si="0"/>
        <v>0</v>
      </c>
    </row>
    <row r="21" spans="1:15" x14ac:dyDescent="0.2">
      <c r="A21">
        <v>2</v>
      </c>
      <c r="B21">
        <v>3</v>
      </c>
      <c r="C21" t="str">
        <f t="shared" si="1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2"/>
        <v>21.787500000000001</v>
      </c>
      <c r="J21" s="28">
        <f t="shared" si="3"/>
        <v>0.85441176470588243</v>
      </c>
      <c r="K21" s="27">
        <f t="shared" si="4"/>
        <v>52464.3</v>
      </c>
      <c r="L21">
        <f t="shared" si="0"/>
        <v>0</v>
      </c>
    </row>
    <row r="22" spans="1:15" x14ac:dyDescent="0.2">
      <c r="A22">
        <v>2</v>
      </c>
      <c r="B22">
        <v>4</v>
      </c>
      <c r="C22" t="str">
        <f t="shared" si="1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2"/>
        <v>14.11</v>
      </c>
      <c r="J22" s="28">
        <f t="shared" si="3"/>
        <v>0.67190476190476189</v>
      </c>
      <c r="K22" s="27">
        <f t="shared" si="4"/>
        <v>50711.34</v>
      </c>
      <c r="L22">
        <f t="shared" si="0"/>
        <v>1</v>
      </c>
    </row>
    <row r="23" spans="1:15" x14ac:dyDescent="0.2">
      <c r="A23">
        <v>2</v>
      </c>
      <c r="B23">
        <v>6</v>
      </c>
      <c r="C23" t="str">
        <f t="shared" si="1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2"/>
        <v>18.329999999999998</v>
      </c>
      <c r="J23" s="28">
        <f t="shared" si="3"/>
        <v>0.79695652173913034</v>
      </c>
      <c r="K23" s="27">
        <f t="shared" si="4"/>
        <v>55448.249999999993</v>
      </c>
      <c r="L23">
        <f t="shared" si="0"/>
        <v>0</v>
      </c>
    </row>
    <row r="24" spans="1:15" x14ac:dyDescent="0.2">
      <c r="A24">
        <v>2</v>
      </c>
      <c r="B24">
        <v>8</v>
      </c>
      <c r="C24" t="str">
        <f t="shared" si="1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2"/>
        <v>11.838333</v>
      </c>
      <c r="J24" s="28">
        <f t="shared" si="3"/>
        <v>0.94706664000000007</v>
      </c>
      <c r="K24" s="27">
        <f t="shared" si="4"/>
        <v>32626.445748000002</v>
      </c>
      <c r="L24">
        <f t="shared" si="0"/>
        <v>0</v>
      </c>
    </row>
    <row r="25" spans="1:15" x14ac:dyDescent="0.2">
      <c r="A25">
        <v>2</v>
      </c>
      <c r="B25">
        <v>10</v>
      </c>
      <c r="C25" t="str">
        <f t="shared" si="1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2"/>
        <v>12.0525</v>
      </c>
      <c r="J25" s="28">
        <f t="shared" si="3"/>
        <v>0.86089285714285713</v>
      </c>
      <c r="K25" s="27">
        <f t="shared" si="4"/>
        <v>25165.62</v>
      </c>
      <c r="L25">
        <f t="shared" si="0"/>
        <v>0</v>
      </c>
    </row>
    <row r="26" spans="1:15" x14ac:dyDescent="0.2">
      <c r="A26">
        <v>2</v>
      </c>
      <c r="B26">
        <v>11</v>
      </c>
      <c r="C26" t="str">
        <f t="shared" si="1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2"/>
        <v>19.0275</v>
      </c>
      <c r="J26" s="28">
        <f t="shared" si="3"/>
        <v>0.90607142857142853</v>
      </c>
      <c r="K26" s="27">
        <f t="shared" si="4"/>
        <v>86575.125</v>
      </c>
      <c r="L26">
        <f t="shared" si="0"/>
        <v>0</v>
      </c>
    </row>
    <row r="27" spans="1:15" x14ac:dyDescent="0.2">
      <c r="A27">
        <v>2</v>
      </c>
      <c r="B27">
        <v>12</v>
      </c>
      <c r="C27" t="str">
        <f t="shared" si="1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2"/>
        <v>19.475000000000001</v>
      </c>
      <c r="J27" s="28">
        <f t="shared" si="3"/>
        <v>0.88522727272727275</v>
      </c>
      <c r="K27" s="27">
        <f t="shared" si="4"/>
        <v>55640.075000000004</v>
      </c>
      <c r="L27">
        <f t="shared" si="0"/>
        <v>0</v>
      </c>
    </row>
    <row r="28" spans="1:15" x14ac:dyDescent="0.2">
      <c r="A28">
        <v>2</v>
      </c>
      <c r="B28">
        <v>13</v>
      </c>
      <c r="C28" t="str">
        <f t="shared" si="1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2"/>
        <v>16.204999999999998</v>
      </c>
      <c r="J28" s="28">
        <f t="shared" si="3"/>
        <v>0.70456521739130429</v>
      </c>
      <c r="K28" s="27">
        <f t="shared" si="4"/>
        <v>49020.124999999993</v>
      </c>
      <c r="L28">
        <f t="shared" si="0"/>
        <v>0</v>
      </c>
    </row>
    <row r="29" spans="1:15" x14ac:dyDescent="0.2">
      <c r="A29">
        <v>2</v>
      </c>
      <c r="B29">
        <v>14</v>
      </c>
      <c r="C29" t="str">
        <f t="shared" si="1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2"/>
        <v>24.016666999999998</v>
      </c>
      <c r="J29" s="28">
        <f t="shared" si="3"/>
        <v>0.85773810714285703</v>
      </c>
      <c r="K29" s="27">
        <f t="shared" si="4"/>
        <v>59993.634165999996</v>
      </c>
      <c r="L29">
        <f t="shared" si="0"/>
        <v>0</v>
      </c>
    </row>
    <row r="30" spans="1:15" x14ac:dyDescent="0.2">
      <c r="A30">
        <v>2</v>
      </c>
      <c r="B30">
        <v>15</v>
      </c>
      <c r="C30" t="str">
        <f t="shared" si="1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2"/>
        <v>22.285</v>
      </c>
      <c r="J30" s="28">
        <f t="shared" si="3"/>
        <v>0.89139999999999997</v>
      </c>
      <c r="K30" s="27">
        <f t="shared" si="4"/>
        <v>62865.985000000001</v>
      </c>
      <c r="L30">
        <f t="shared" si="0"/>
        <v>0</v>
      </c>
    </row>
    <row r="31" spans="1:15" x14ac:dyDescent="0.2">
      <c r="A31">
        <v>2</v>
      </c>
      <c r="B31">
        <v>16</v>
      </c>
      <c r="C31" t="str">
        <f t="shared" si="1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2"/>
        <v>7.3458329999999998</v>
      </c>
      <c r="J31" s="28">
        <f t="shared" si="3"/>
        <v>0.81620366666666666</v>
      </c>
      <c r="K31" s="27">
        <f t="shared" si="4"/>
        <v>31498.931904000001</v>
      </c>
      <c r="L31">
        <f t="shared" si="0"/>
        <v>0</v>
      </c>
    </row>
    <row r="32" spans="1:15" x14ac:dyDescent="0.2">
      <c r="A32">
        <v>2</v>
      </c>
      <c r="B32">
        <v>17</v>
      </c>
      <c r="C32" t="str">
        <f t="shared" si="1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2"/>
        <v>6.6349999999999998</v>
      </c>
      <c r="J32" s="28">
        <f t="shared" si="3"/>
        <v>0.82937499999999997</v>
      </c>
      <c r="K32" s="27">
        <f t="shared" si="4"/>
        <v>33765.514999999999</v>
      </c>
      <c r="L32">
        <f t="shared" si="0"/>
        <v>0</v>
      </c>
    </row>
    <row r="33" spans="1:12" x14ac:dyDescent="0.2">
      <c r="A33">
        <v>2</v>
      </c>
      <c r="B33">
        <v>18</v>
      </c>
      <c r="C33" t="str">
        <f t="shared" si="1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2"/>
        <v>17.600000000000001</v>
      </c>
      <c r="J33" s="28">
        <f t="shared" si="3"/>
        <v>0.74893617021276604</v>
      </c>
      <c r="K33" s="27">
        <f t="shared" si="4"/>
        <v>34830.400000000001</v>
      </c>
      <c r="L33">
        <f t="shared" si="0"/>
        <v>0</v>
      </c>
    </row>
    <row r="34" spans="1:12" x14ac:dyDescent="0.2">
      <c r="A34">
        <v>3</v>
      </c>
      <c r="B34">
        <v>1</v>
      </c>
      <c r="C34" t="str">
        <f t="shared" si="1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2"/>
        <v>16.927500000000002</v>
      </c>
      <c r="J34" s="28">
        <f t="shared" si="3"/>
        <v>0.80607142857142866</v>
      </c>
      <c r="K34" s="27">
        <f t="shared" si="4"/>
        <v>57468.86250000001</v>
      </c>
      <c r="L34">
        <f t="shared" ref="L34:L65" si="5">IF(J34&lt;$O$3, 1, 0)</f>
        <v>0</v>
      </c>
    </row>
    <row r="35" spans="1:12" x14ac:dyDescent="0.2">
      <c r="A35">
        <v>3</v>
      </c>
      <c r="B35">
        <v>2</v>
      </c>
      <c r="C35" t="str">
        <f t="shared" si="1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2"/>
        <v>16.240000000000002</v>
      </c>
      <c r="J35" s="28">
        <f t="shared" si="3"/>
        <v>0.70608695652173925</v>
      </c>
      <c r="K35" s="27">
        <f t="shared" si="4"/>
        <v>58951.200000000004</v>
      </c>
      <c r="L35">
        <f t="shared" si="5"/>
        <v>0</v>
      </c>
    </row>
    <row r="36" spans="1:12" x14ac:dyDescent="0.2">
      <c r="A36">
        <v>3</v>
      </c>
      <c r="B36">
        <v>4</v>
      </c>
      <c r="C36" t="str">
        <f t="shared" si="1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2"/>
        <v>13.09</v>
      </c>
      <c r="J36" s="28">
        <f t="shared" si="3"/>
        <v>0.65449999999999997</v>
      </c>
      <c r="K36" s="27">
        <f t="shared" si="4"/>
        <v>70018.41</v>
      </c>
      <c r="L36">
        <f t="shared" si="5"/>
        <v>1</v>
      </c>
    </row>
    <row r="37" spans="1:12" x14ac:dyDescent="0.2">
      <c r="A37">
        <v>3</v>
      </c>
      <c r="B37">
        <v>6</v>
      </c>
      <c r="C37" t="str">
        <f t="shared" si="1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2"/>
        <v>17.16</v>
      </c>
      <c r="J37" s="28">
        <f t="shared" si="3"/>
        <v>0.78</v>
      </c>
      <c r="K37" s="27">
        <f t="shared" si="4"/>
        <v>39141.96</v>
      </c>
      <c r="L37">
        <f t="shared" si="5"/>
        <v>0</v>
      </c>
    </row>
    <row r="38" spans="1:12" x14ac:dyDescent="0.2">
      <c r="A38">
        <v>3</v>
      </c>
      <c r="B38">
        <v>7</v>
      </c>
      <c r="C38" t="str">
        <f t="shared" si="1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2"/>
        <v>7.0674999999999999</v>
      </c>
      <c r="J38" s="28">
        <f t="shared" si="3"/>
        <v>0.70674999999999999</v>
      </c>
      <c r="K38" s="27">
        <f t="shared" si="4"/>
        <v>19520.435000000001</v>
      </c>
      <c r="L38">
        <f t="shared" si="5"/>
        <v>0</v>
      </c>
    </row>
    <row r="39" spans="1:12" x14ac:dyDescent="0.2">
      <c r="A39">
        <v>3</v>
      </c>
      <c r="B39">
        <v>9</v>
      </c>
      <c r="C39" t="str">
        <f t="shared" si="1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2"/>
        <v>29.6</v>
      </c>
      <c r="J39" s="28">
        <f t="shared" si="3"/>
        <v>0.62315789473684213</v>
      </c>
      <c r="K39" s="27">
        <f t="shared" si="4"/>
        <v>27912.800000000003</v>
      </c>
      <c r="L39">
        <f t="shared" si="5"/>
        <v>1</v>
      </c>
    </row>
    <row r="40" spans="1:12" x14ac:dyDescent="0.2">
      <c r="A40">
        <v>3</v>
      </c>
      <c r="B40">
        <v>11</v>
      </c>
      <c r="C40" t="str">
        <f t="shared" si="1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2"/>
        <v>17.990000000000002</v>
      </c>
      <c r="J40" s="28">
        <f t="shared" si="3"/>
        <v>0.89950000000000008</v>
      </c>
      <c r="K40" s="27">
        <f t="shared" si="4"/>
        <v>47169.780000000006</v>
      </c>
      <c r="L40">
        <f t="shared" si="5"/>
        <v>0</v>
      </c>
    </row>
    <row r="41" spans="1:12" x14ac:dyDescent="0.2">
      <c r="A41">
        <v>3</v>
      </c>
      <c r="B41">
        <v>12</v>
      </c>
      <c r="C41" t="str">
        <f t="shared" si="1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2"/>
        <v>18.47</v>
      </c>
      <c r="J41" s="28">
        <f t="shared" si="3"/>
        <v>0.87952380952380949</v>
      </c>
      <c r="K41" s="27">
        <f t="shared" si="4"/>
        <v>40984.93</v>
      </c>
      <c r="L41">
        <f t="shared" si="5"/>
        <v>0</v>
      </c>
    </row>
    <row r="42" spans="1:12" x14ac:dyDescent="0.2">
      <c r="A42">
        <v>3</v>
      </c>
      <c r="B42">
        <v>13</v>
      </c>
      <c r="C42" t="str">
        <f t="shared" si="1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2"/>
        <v>15.059999999999999</v>
      </c>
      <c r="J42" s="28">
        <f t="shared" si="3"/>
        <v>0.68454545454545446</v>
      </c>
      <c r="K42" s="27">
        <f t="shared" si="4"/>
        <v>34954.259999999995</v>
      </c>
      <c r="L42">
        <f t="shared" si="5"/>
        <v>1</v>
      </c>
    </row>
    <row r="43" spans="1:12" x14ac:dyDescent="0.2">
      <c r="A43">
        <v>3</v>
      </c>
      <c r="B43">
        <v>14</v>
      </c>
      <c r="C43" t="str">
        <f t="shared" si="1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2"/>
        <v>22.918333000000001</v>
      </c>
      <c r="J43" s="28">
        <f t="shared" si="3"/>
        <v>0.84882714814814819</v>
      </c>
      <c r="K43" s="27">
        <f t="shared" si="4"/>
        <v>30045.934562999999</v>
      </c>
      <c r="L43">
        <f t="shared" si="5"/>
        <v>0</v>
      </c>
    </row>
    <row r="44" spans="1:12" x14ac:dyDescent="0.2">
      <c r="A44">
        <v>3</v>
      </c>
      <c r="B44">
        <v>15</v>
      </c>
      <c r="C44" t="str">
        <f t="shared" si="1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2"/>
        <v>20.795000000000002</v>
      </c>
      <c r="J44" s="28">
        <f t="shared" si="3"/>
        <v>0.88489361702127667</v>
      </c>
      <c r="K44" s="27">
        <f t="shared" si="4"/>
        <v>44917.200000000004</v>
      </c>
      <c r="L44">
        <f t="shared" si="5"/>
        <v>0</v>
      </c>
    </row>
    <row r="45" spans="1:12" x14ac:dyDescent="0.2">
      <c r="A45">
        <v>3</v>
      </c>
      <c r="B45">
        <v>16</v>
      </c>
      <c r="C45" t="str">
        <f t="shared" si="1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2"/>
        <v>6.9350000000000005</v>
      </c>
      <c r="J45" s="28">
        <f t="shared" si="3"/>
        <v>0.8158823529411765</v>
      </c>
      <c r="K45" s="27">
        <f t="shared" si="4"/>
        <v>13946.285000000002</v>
      </c>
      <c r="L45">
        <f t="shared" si="5"/>
        <v>0</v>
      </c>
    </row>
    <row r="46" spans="1:12" x14ac:dyDescent="0.2">
      <c r="A46">
        <v>3</v>
      </c>
      <c r="B46">
        <v>17</v>
      </c>
      <c r="C46" t="str">
        <f t="shared" si="1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2"/>
        <v>6.0912500000000005</v>
      </c>
      <c r="J46" s="28">
        <f t="shared" si="3"/>
        <v>0.8121666666666667</v>
      </c>
      <c r="K46" s="27">
        <f t="shared" si="4"/>
        <v>14283.981250000001</v>
      </c>
      <c r="L46">
        <f t="shared" si="5"/>
        <v>0</v>
      </c>
    </row>
    <row r="47" spans="1:12" x14ac:dyDescent="0.2">
      <c r="A47">
        <v>3</v>
      </c>
      <c r="B47">
        <v>18</v>
      </c>
      <c r="C47" t="str">
        <f t="shared" si="1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2"/>
        <v>17.295000000000002</v>
      </c>
      <c r="J47" s="28">
        <f t="shared" si="3"/>
        <v>0.75195652173913052</v>
      </c>
      <c r="K47" s="27">
        <f t="shared" si="4"/>
        <v>41957.670000000006</v>
      </c>
      <c r="L47">
        <f t="shared" si="5"/>
        <v>0</v>
      </c>
    </row>
    <row r="48" spans="1:12" x14ac:dyDescent="0.2">
      <c r="A48">
        <v>4</v>
      </c>
      <c r="B48">
        <v>1</v>
      </c>
      <c r="C48" t="str">
        <f t="shared" si="1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2"/>
        <v>17.215</v>
      </c>
      <c r="J48" s="28">
        <f t="shared" si="3"/>
        <v>0.8197619047619048</v>
      </c>
      <c r="K48" s="27">
        <f t="shared" si="4"/>
        <v>57894.044999999998</v>
      </c>
      <c r="L48">
        <f t="shared" si="5"/>
        <v>0</v>
      </c>
    </row>
    <row r="49" spans="1:12" x14ac:dyDescent="0.2">
      <c r="A49">
        <v>4</v>
      </c>
      <c r="B49">
        <v>2</v>
      </c>
      <c r="C49" t="str">
        <f t="shared" si="1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2"/>
        <v>16.715</v>
      </c>
      <c r="J49" s="28">
        <f t="shared" si="3"/>
        <v>0.72673913043478255</v>
      </c>
      <c r="K49" s="27">
        <f t="shared" si="4"/>
        <v>54925.49</v>
      </c>
      <c r="L49">
        <f t="shared" si="5"/>
        <v>0</v>
      </c>
    </row>
    <row r="50" spans="1:12" x14ac:dyDescent="0.2">
      <c r="A50">
        <v>4</v>
      </c>
      <c r="B50">
        <v>3</v>
      </c>
      <c r="C50" t="str">
        <f t="shared" si="1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2"/>
        <v>21.34</v>
      </c>
      <c r="J50" s="28">
        <f t="shared" si="3"/>
        <v>0.87102040816326531</v>
      </c>
      <c r="K50" s="27">
        <f t="shared" si="4"/>
        <v>46051.72</v>
      </c>
      <c r="L50">
        <f t="shared" si="5"/>
        <v>0</v>
      </c>
    </row>
    <row r="51" spans="1:12" x14ac:dyDescent="0.2">
      <c r="A51">
        <v>4</v>
      </c>
      <c r="B51">
        <v>5</v>
      </c>
      <c r="C51" t="str">
        <f t="shared" si="1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2"/>
        <v>13.91</v>
      </c>
      <c r="J51" s="28">
        <f t="shared" si="3"/>
        <v>0.69550000000000001</v>
      </c>
      <c r="K51" s="27">
        <f t="shared" si="4"/>
        <v>26192.53</v>
      </c>
      <c r="L51">
        <f t="shared" si="5"/>
        <v>1</v>
      </c>
    </row>
    <row r="52" spans="1:12" x14ac:dyDescent="0.2">
      <c r="A52">
        <v>4</v>
      </c>
      <c r="B52">
        <v>6</v>
      </c>
      <c r="C52" t="str">
        <f t="shared" si="1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2"/>
        <v>17.252500000000001</v>
      </c>
      <c r="J52" s="28">
        <f t="shared" si="3"/>
        <v>0.78420454545454554</v>
      </c>
      <c r="K52" s="27">
        <f t="shared" si="4"/>
        <v>38887.135000000002</v>
      </c>
      <c r="L52">
        <f t="shared" si="5"/>
        <v>0</v>
      </c>
    </row>
    <row r="53" spans="1:12" x14ac:dyDescent="0.2">
      <c r="A53">
        <v>4</v>
      </c>
      <c r="B53">
        <v>8</v>
      </c>
      <c r="C53" t="str">
        <f t="shared" si="1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2"/>
        <v>10.856667</v>
      </c>
      <c r="J53" s="28">
        <f t="shared" si="3"/>
        <v>0.94405799999999995</v>
      </c>
      <c r="K53" s="27">
        <f t="shared" si="4"/>
        <v>27358.80084</v>
      </c>
      <c r="L53">
        <f t="shared" si="5"/>
        <v>0</v>
      </c>
    </row>
    <row r="54" spans="1:12" x14ac:dyDescent="0.2">
      <c r="A54">
        <v>4</v>
      </c>
      <c r="B54">
        <v>9</v>
      </c>
      <c r="C54" t="str">
        <f t="shared" si="1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2"/>
        <v>30.34</v>
      </c>
      <c r="J54" s="28">
        <f t="shared" si="3"/>
        <v>0.63873684210526316</v>
      </c>
      <c r="K54" s="27">
        <f t="shared" si="4"/>
        <v>35467.46</v>
      </c>
      <c r="L54">
        <f t="shared" si="5"/>
        <v>1</v>
      </c>
    </row>
    <row r="55" spans="1:12" x14ac:dyDescent="0.2">
      <c r="A55">
        <v>4</v>
      </c>
      <c r="B55">
        <v>10</v>
      </c>
      <c r="C55" t="str">
        <f t="shared" si="1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2"/>
        <v>11.4375</v>
      </c>
      <c r="J55" s="28">
        <f t="shared" si="3"/>
        <v>0.84722222222222221</v>
      </c>
      <c r="K55" s="27">
        <f t="shared" si="4"/>
        <v>24144.5625</v>
      </c>
      <c r="L55">
        <f t="shared" si="5"/>
        <v>0</v>
      </c>
    </row>
    <row r="56" spans="1:12" x14ac:dyDescent="0.2">
      <c r="A56">
        <v>4</v>
      </c>
      <c r="B56">
        <v>11</v>
      </c>
      <c r="C56" t="str">
        <f t="shared" si="1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2"/>
        <v>18.182500000000001</v>
      </c>
      <c r="J56" s="28">
        <f t="shared" si="3"/>
        <v>0.90912500000000007</v>
      </c>
      <c r="K56" s="27">
        <f t="shared" si="4"/>
        <v>49747.32</v>
      </c>
      <c r="L56">
        <f t="shared" si="5"/>
        <v>0</v>
      </c>
    </row>
    <row r="57" spans="1:12" x14ac:dyDescent="0.2">
      <c r="A57">
        <v>4</v>
      </c>
      <c r="B57">
        <v>12</v>
      </c>
      <c r="C57" t="str">
        <f t="shared" si="1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2"/>
        <v>18.47</v>
      </c>
      <c r="J57" s="28">
        <f t="shared" si="3"/>
        <v>0.87952380952380949</v>
      </c>
      <c r="K57" s="27">
        <f t="shared" si="4"/>
        <v>25008.379999999997</v>
      </c>
      <c r="L57">
        <f t="shared" si="5"/>
        <v>0</v>
      </c>
    </row>
    <row r="58" spans="1:12" x14ac:dyDescent="0.2">
      <c r="A58">
        <v>4</v>
      </c>
      <c r="B58">
        <v>13</v>
      </c>
      <c r="C58" t="str">
        <f t="shared" si="1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2"/>
        <v>15.835000000000001</v>
      </c>
      <c r="J58" s="28">
        <f t="shared" si="3"/>
        <v>0.71977272727272734</v>
      </c>
      <c r="K58" s="27">
        <f t="shared" si="4"/>
        <v>46475.725000000006</v>
      </c>
      <c r="L58">
        <f t="shared" si="5"/>
        <v>0</v>
      </c>
    </row>
    <row r="59" spans="1:12" x14ac:dyDescent="0.2">
      <c r="A59">
        <v>4</v>
      </c>
      <c r="B59">
        <v>14</v>
      </c>
      <c r="C59" t="str">
        <f t="shared" si="1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2"/>
        <v>23.128333000000001</v>
      </c>
      <c r="J59" s="28">
        <f t="shared" si="3"/>
        <v>0.85660492592592596</v>
      </c>
      <c r="K59" s="27">
        <f t="shared" si="4"/>
        <v>38069.236118000001</v>
      </c>
      <c r="L59">
        <f t="shared" si="5"/>
        <v>0</v>
      </c>
    </row>
    <row r="60" spans="1:12" x14ac:dyDescent="0.2">
      <c r="A60">
        <v>4</v>
      </c>
      <c r="B60">
        <v>15</v>
      </c>
      <c r="C60" t="str">
        <f t="shared" si="1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2"/>
        <v>20.7925</v>
      </c>
      <c r="J60" s="28">
        <f t="shared" si="3"/>
        <v>0.88478723404255322</v>
      </c>
      <c r="K60" s="27">
        <f t="shared" si="4"/>
        <v>47448.485000000001</v>
      </c>
      <c r="L60">
        <f t="shared" si="5"/>
        <v>0</v>
      </c>
    </row>
    <row r="61" spans="1:12" x14ac:dyDescent="0.2">
      <c r="A61">
        <v>4</v>
      </c>
      <c r="B61">
        <v>16</v>
      </c>
      <c r="C61" t="str">
        <f t="shared" si="1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2"/>
        <v>7.193333</v>
      </c>
      <c r="J61" s="28">
        <f t="shared" si="3"/>
        <v>0.84627447058823524</v>
      </c>
      <c r="K61" s="27">
        <f t="shared" si="4"/>
        <v>23270.432255</v>
      </c>
      <c r="L61">
        <f t="shared" si="5"/>
        <v>0</v>
      </c>
    </row>
    <row r="62" spans="1:12" x14ac:dyDescent="0.2">
      <c r="A62">
        <v>4</v>
      </c>
      <c r="B62">
        <v>17</v>
      </c>
      <c r="C62" t="str">
        <f t="shared" si="1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2"/>
        <v>6.2424999999999997</v>
      </c>
      <c r="J62" s="28">
        <f t="shared" si="3"/>
        <v>0.83233333333333326</v>
      </c>
      <c r="K62" s="27">
        <f t="shared" si="4"/>
        <v>23178.4025</v>
      </c>
      <c r="L62">
        <f t="shared" si="5"/>
        <v>0</v>
      </c>
    </row>
    <row r="63" spans="1:12" x14ac:dyDescent="0.2">
      <c r="A63">
        <v>4</v>
      </c>
      <c r="B63">
        <v>18</v>
      </c>
      <c r="C63" t="str">
        <f t="shared" si="1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2"/>
        <v>16.504999999999999</v>
      </c>
      <c r="J63" s="28">
        <f t="shared" si="3"/>
        <v>0.71760869565217389</v>
      </c>
      <c r="K63" s="27">
        <f t="shared" si="4"/>
        <v>25269.154999999999</v>
      </c>
      <c r="L63">
        <f t="shared" si="5"/>
        <v>0</v>
      </c>
    </row>
    <row r="64" spans="1:12" x14ac:dyDescent="0.2">
      <c r="A64">
        <v>5</v>
      </c>
      <c r="B64">
        <v>1</v>
      </c>
      <c r="C64" t="str">
        <f t="shared" si="1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2"/>
        <v>17.0975</v>
      </c>
      <c r="J64" s="28">
        <f t="shared" si="3"/>
        <v>0.79523255813953486</v>
      </c>
      <c r="K64" s="27">
        <f t="shared" si="4"/>
        <v>57088.552499999998</v>
      </c>
      <c r="L64">
        <f t="shared" si="5"/>
        <v>0</v>
      </c>
    </row>
    <row r="65" spans="1:12" x14ac:dyDescent="0.2">
      <c r="A65">
        <v>5</v>
      </c>
      <c r="B65">
        <v>2</v>
      </c>
      <c r="C65" t="str">
        <f t="shared" si="1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2"/>
        <v>16.61</v>
      </c>
      <c r="J65" s="28">
        <f t="shared" si="3"/>
        <v>0.69208333333333327</v>
      </c>
      <c r="K65" s="27">
        <f t="shared" si="4"/>
        <v>60244.47</v>
      </c>
      <c r="L65">
        <f t="shared" si="5"/>
        <v>1</v>
      </c>
    </row>
    <row r="66" spans="1:12" x14ac:dyDescent="0.2">
      <c r="A66">
        <v>5</v>
      </c>
      <c r="B66">
        <v>3</v>
      </c>
      <c r="C66" t="str">
        <f t="shared" si="1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2"/>
        <v>21.445</v>
      </c>
      <c r="J66" s="28">
        <f t="shared" si="3"/>
        <v>0.85780000000000001</v>
      </c>
      <c r="K66" s="27">
        <f t="shared" si="4"/>
        <v>39780.474999999999</v>
      </c>
      <c r="L66">
        <f t="shared" ref="L66:L97" si="6">IF(J66&lt;$O$3, 1, 0)</f>
        <v>0</v>
      </c>
    </row>
    <row r="67" spans="1:12" x14ac:dyDescent="0.2">
      <c r="A67">
        <v>5</v>
      </c>
      <c r="B67">
        <v>4</v>
      </c>
      <c r="C67" t="str">
        <f t="shared" ref="C67:C130" si="7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8">E67-G67</f>
        <v>13.04</v>
      </c>
      <c r="J67" s="28">
        <f t="shared" ref="J67:J130" si="9">I67/E67</f>
        <v>0.63609756097560977</v>
      </c>
      <c r="K67" s="27">
        <f t="shared" ref="K67:K130" si="10">I67*H67</f>
        <v>35260.159999999996</v>
      </c>
      <c r="L67">
        <f t="shared" si="6"/>
        <v>1</v>
      </c>
    </row>
    <row r="68" spans="1:12" x14ac:dyDescent="0.2">
      <c r="A68">
        <v>5</v>
      </c>
      <c r="B68">
        <v>7</v>
      </c>
      <c r="C68" t="str">
        <f t="shared" si="7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8"/>
        <v>7.5024999999999995</v>
      </c>
      <c r="J68" s="28">
        <f t="shared" si="9"/>
        <v>0.71452380952380945</v>
      </c>
      <c r="K68" s="27">
        <f t="shared" si="10"/>
        <v>18238.577499999999</v>
      </c>
      <c r="L68">
        <f t="shared" si="6"/>
        <v>0</v>
      </c>
    </row>
    <row r="69" spans="1:12" x14ac:dyDescent="0.2">
      <c r="A69">
        <v>5</v>
      </c>
      <c r="B69">
        <v>8</v>
      </c>
      <c r="C69" t="str">
        <f t="shared" si="7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8"/>
        <v>11.336667</v>
      </c>
      <c r="J69" s="28">
        <f t="shared" si="9"/>
        <v>0.94472224999999999</v>
      </c>
      <c r="K69" s="27">
        <f t="shared" si="10"/>
        <v>16653.563823</v>
      </c>
      <c r="L69">
        <f t="shared" si="6"/>
        <v>0</v>
      </c>
    </row>
    <row r="70" spans="1:12" x14ac:dyDescent="0.2">
      <c r="A70">
        <v>5</v>
      </c>
      <c r="B70">
        <v>10</v>
      </c>
      <c r="C70" t="str">
        <f t="shared" si="7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8"/>
        <v>12.09</v>
      </c>
      <c r="J70" s="28">
        <f t="shared" si="9"/>
        <v>0.86357142857142855</v>
      </c>
      <c r="K70" s="27">
        <f t="shared" si="10"/>
        <v>20710.169999999998</v>
      </c>
      <c r="L70">
        <f t="shared" si="6"/>
        <v>0</v>
      </c>
    </row>
    <row r="71" spans="1:12" x14ac:dyDescent="0.2">
      <c r="A71">
        <v>5</v>
      </c>
      <c r="B71">
        <v>11</v>
      </c>
      <c r="C71" t="str">
        <f t="shared" si="7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8"/>
        <v>18.844999999999999</v>
      </c>
      <c r="J71" s="28">
        <f t="shared" si="9"/>
        <v>0.89738095238095228</v>
      </c>
      <c r="K71" s="27">
        <f t="shared" si="10"/>
        <v>51578.764999999999</v>
      </c>
      <c r="L71">
        <f t="shared" si="6"/>
        <v>0</v>
      </c>
    </row>
    <row r="72" spans="1:12" x14ac:dyDescent="0.2">
      <c r="A72">
        <v>5</v>
      </c>
      <c r="B72">
        <v>12</v>
      </c>
      <c r="C72" t="str">
        <f t="shared" si="7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8"/>
        <v>18.922499999999999</v>
      </c>
      <c r="J72" s="28">
        <f t="shared" si="9"/>
        <v>0.88011627906976742</v>
      </c>
      <c r="K72" s="27">
        <f t="shared" si="10"/>
        <v>40759.065000000002</v>
      </c>
      <c r="L72">
        <f t="shared" si="6"/>
        <v>0</v>
      </c>
    </row>
    <row r="73" spans="1:12" x14ac:dyDescent="0.2">
      <c r="A73">
        <v>5</v>
      </c>
      <c r="B73">
        <v>13</v>
      </c>
      <c r="C73" t="str">
        <f t="shared" si="7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8"/>
        <v>15.17</v>
      </c>
      <c r="J73" s="28">
        <f t="shared" si="9"/>
        <v>0.67422222222222217</v>
      </c>
      <c r="K73" s="27">
        <f t="shared" si="10"/>
        <v>28383.07</v>
      </c>
      <c r="L73">
        <f t="shared" si="6"/>
        <v>1</v>
      </c>
    </row>
    <row r="74" spans="1:12" x14ac:dyDescent="0.2">
      <c r="A74">
        <v>5</v>
      </c>
      <c r="B74">
        <v>14</v>
      </c>
      <c r="C74" t="str">
        <f t="shared" si="7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8"/>
        <v>23.336666999999998</v>
      </c>
      <c r="J74" s="28">
        <f t="shared" si="9"/>
        <v>0.84860607272727262</v>
      </c>
      <c r="K74" s="27">
        <f t="shared" si="10"/>
        <v>31061.103776999997</v>
      </c>
      <c r="L74">
        <f t="shared" si="6"/>
        <v>0</v>
      </c>
    </row>
    <row r="75" spans="1:12" x14ac:dyDescent="0.2">
      <c r="A75">
        <v>5</v>
      </c>
      <c r="B75">
        <v>15</v>
      </c>
      <c r="C75" t="str">
        <f t="shared" si="7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8"/>
        <v>21.2425</v>
      </c>
      <c r="J75" s="28">
        <f t="shared" si="9"/>
        <v>0.88510416666666669</v>
      </c>
      <c r="K75" s="27">
        <f t="shared" si="10"/>
        <v>60604.852500000001</v>
      </c>
      <c r="L75">
        <f t="shared" si="6"/>
        <v>0</v>
      </c>
    </row>
    <row r="76" spans="1:12" x14ac:dyDescent="0.2">
      <c r="A76">
        <v>5</v>
      </c>
      <c r="B76">
        <v>16</v>
      </c>
      <c r="C76" t="str">
        <f t="shared" si="7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8"/>
        <v>7.3725000000000005</v>
      </c>
      <c r="J76" s="28">
        <f t="shared" si="9"/>
        <v>0.81916666666666671</v>
      </c>
      <c r="K76" s="27">
        <f t="shared" si="10"/>
        <v>13012.462500000001</v>
      </c>
      <c r="L76">
        <f t="shared" si="6"/>
        <v>0</v>
      </c>
    </row>
    <row r="77" spans="1:12" x14ac:dyDescent="0.2">
      <c r="A77">
        <v>5</v>
      </c>
      <c r="B77">
        <v>17</v>
      </c>
      <c r="C77" t="str">
        <f t="shared" si="7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8"/>
        <v>5.9975000000000005</v>
      </c>
      <c r="J77" s="28">
        <f t="shared" si="9"/>
        <v>0.79966666666666675</v>
      </c>
      <c r="K77" s="27">
        <f t="shared" si="10"/>
        <v>15203.6625</v>
      </c>
      <c r="L77">
        <f t="shared" si="6"/>
        <v>0</v>
      </c>
    </row>
    <row r="78" spans="1:12" x14ac:dyDescent="0.2">
      <c r="A78">
        <v>5</v>
      </c>
      <c r="B78">
        <v>18</v>
      </c>
      <c r="C78" t="str">
        <f t="shared" si="7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8"/>
        <v>16.765000000000001</v>
      </c>
      <c r="J78" s="28">
        <f t="shared" si="9"/>
        <v>0.72891304347826091</v>
      </c>
      <c r="K78" s="27">
        <f t="shared" si="10"/>
        <v>29187.865000000002</v>
      </c>
      <c r="L78">
        <f t="shared" si="6"/>
        <v>0</v>
      </c>
    </row>
    <row r="79" spans="1:12" x14ac:dyDescent="0.2">
      <c r="A79">
        <v>6</v>
      </c>
      <c r="B79">
        <v>1</v>
      </c>
      <c r="C79" t="str">
        <f t="shared" si="7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8"/>
        <v>18.307500000000001</v>
      </c>
      <c r="J79" s="28">
        <f t="shared" si="9"/>
        <v>0.79597826086956525</v>
      </c>
      <c r="K79" s="27">
        <f t="shared" si="10"/>
        <v>94430.085000000006</v>
      </c>
      <c r="L79">
        <f t="shared" si="6"/>
        <v>0</v>
      </c>
    </row>
    <row r="80" spans="1:12" x14ac:dyDescent="0.2">
      <c r="A80">
        <v>6</v>
      </c>
      <c r="B80">
        <v>2</v>
      </c>
      <c r="C80" t="str">
        <f t="shared" si="7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8"/>
        <v>17.57</v>
      </c>
      <c r="J80" s="28">
        <f t="shared" si="9"/>
        <v>0.68901960784313732</v>
      </c>
      <c r="K80" s="27">
        <f t="shared" si="10"/>
        <v>96020.05</v>
      </c>
      <c r="L80">
        <f t="shared" si="6"/>
        <v>1</v>
      </c>
    </row>
    <row r="81" spans="1:12" x14ac:dyDescent="0.2">
      <c r="A81">
        <v>6</v>
      </c>
      <c r="B81">
        <v>3</v>
      </c>
      <c r="C81" t="str">
        <f t="shared" si="7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8"/>
        <v>23.2775</v>
      </c>
      <c r="J81" s="28">
        <f t="shared" si="9"/>
        <v>0.86212962962962958</v>
      </c>
      <c r="K81" s="27">
        <f t="shared" si="10"/>
        <v>65363.22</v>
      </c>
      <c r="L81">
        <f t="shared" si="6"/>
        <v>0</v>
      </c>
    </row>
    <row r="82" spans="1:12" x14ac:dyDescent="0.2">
      <c r="A82">
        <v>6</v>
      </c>
      <c r="B82">
        <v>4</v>
      </c>
      <c r="C82" t="str">
        <f t="shared" si="7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8"/>
        <v>14.025</v>
      </c>
      <c r="J82" s="28">
        <f t="shared" si="9"/>
        <v>0.63750000000000007</v>
      </c>
      <c r="K82" s="27">
        <f t="shared" si="10"/>
        <v>42678.075000000004</v>
      </c>
      <c r="L82">
        <f t="shared" si="6"/>
        <v>1</v>
      </c>
    </row>
    <row r="83" spans="1:12" x14ac:dyDescent="0.2">
      <c r="A83">
        <v>6</v>
      </c>
      <c r="B83">
        <v>5</v>
      </c>
      <c r="C83" t="str">
        <f t="shared" si="7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8"/>
        <v>14.99</v>
      </c>
      <c r="J83" s="28">
        <f t="shared" si="9"/>
        <v>0.68136363636363639</v>
      </c>
      <c r="K83" s="27">
        <f t="shared" si="10"/>
        <v>30879.4</v>
      </c>
      <c r="L83">
        <f t="shared" si="6"/>
        <v>1</v>
      </c>
    </row>
    <row r="84" spans="1:12" x14ac:dyDescent="0.2">
      <c r="A84">
        <v>6</v>
      </c>
      <c r="B84">
        <v>6</v>
      </c>
      <c r="C84" t="str">
        <f t="shared" si="7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8"/>
        <v>18.397500000000001</v>
      </c>
      <c r="J84" s="28">
        <f t="shared" si="9"/>
        <v>0.76656250000000004</v>
      </c>
      <c r="K84" s="27">
        <f t="shared" si="10"/>
        <v>64096.89</v>
      </c>
      <c r="L84">
        <f t="shared" si="6"/>
        <v>0</v>
      </c>
    </row>
    <row r="85" spans="1:12" x14ac:dyDescent="0.2">
      <c r="A85">
        <v>6</v>
      </c>
      <c r="B85">
        <v>7</v>
      </c>
      <c r="C85" t="str">
        <f t="shared" si="7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8"/>
        <v>7.7349999999999994</v>
      </c>
      <c r="J85" s="28">
        <f t="shared" si="9"/>
        <v>0.70318181818181813</v>
      </c>
      <c r="K85" s="27">
        <f t="shared" si="10"/>
        <v>32920.159999999996</v>
      </c>
      <c r="L85">
        <f t="shared" si="6"/>
        <v>0</v>
      </c>
    </row>
    <row r="86" spans="1:12" x14ac:dyDescent="0.2">
      <c r="A86">
        <v>6</v>
      </c>
      <c r="B86">
        <v>8</v>
      </c>
      <c r="C86" t="str">
        <f t="shared" si="7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8"/>
        <v>12.308332999999999</v>
      </c>
      <c r="J86" s="28">
        <f t="shared" si="9"/>
        <v>0.94679484615384613</v>
      </c>
      <c r="K86" s="27">
        <f t="shared" si="10"/>
        <v>29010.740880999998</v>
      </c>
      <c r="L86">
        <f t="shared" si="6"/>
        <v>0</v>
      </c>
    </row>
    <row r="87" spans="1:12" x14ac:dyDescent="0.2">
      <c r="A87">
        <v>6</v>
      </c>
      <c r="B87">
        <v>9</v>
      </c>
      <c r="C87" t="str">
        <f t="shared" si="7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8"/>
        <v>32.295000000000002</v>
      </c>
      <c r="J87" s="28">
        <f t="shared" si="9"/>
        <v>0.62105769230769237</v>
      </c>
      <c r="K87" s="27">
        <f t="shared" si="10"/>
        <v>51801.18</v>
      </c>
      <c r="L87">
        <f t="shared" si="6"/>
        <v>1</v>
      </c>
    </row>
    <row r="88" spans="1:12" x14ac:dyDescent="0.2">
      <c r="A88">
        <v>6</v>
      </c>
      <c r="B88">
        <v>10</v>
      </c>
      <c r="C88" t="str">
        <f t="shared" si="7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8"/>
        <v>13.05</v>
      </c>
      <c r="J88" s="28">
        <f t="shared" si="9"/>
        <v>0.87</v>
      </c>
      <c r="K88" s="27">
        <f t="shared" si="10"/>
        <v>24468.75</v>
      </c>
      <c r="L88">
        <f t="shared" si="6"/>
        <v>0</v>
      </c>
    </row>
    <row r="89" spans="1:12" x14ac:dyDescent="0.2">
      <c r="A89">
        <v>6</v>
      </c>
      <c r="B89">
        <v>11</v>
      </c>
      <c r="C89" t="str">
        <f t="shared" si="7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8"/>
        <v>19.73</v>
      </c>
      <c r="J89" s="28">
        <f t="shared" si="9"/>
        <v>0.89681818181818185</v>
      </c>
      <c r="K89" s="27">
        <f t="shared" si="10"/>
        <v>79294.87</v>
      </c>
      <c r="L89">
        <f t="shared" si="6"/>
        <v>0</v>
      </c>
    </row>
    <row r="90" spans="1:12" x14ac:dyDescent="0.2">
      <c r="A90">
        <v>6</v>
      </c>
      <c r="B90">
        <v>12</v>
      </c>
      <c r="C90" t="str">
        <f t="shared" si="7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8"/>
        <v>20.225000000000001</v>
      </c>
      <c r="J90" s="28">
        <f t="shared" si="9"/>
        <v>0.87934782608695661</v>
      </c>
      <c r="K90" s="27">
        <f t="shared" si="10"/>
        <v>64659.325000000004</v>
      </c>
      <c r="L90">
        <f t="shared" si="6"/>
        <v>0</v>
      </c>
    </row>
    <row r="91" spans="1:12" x14ac:dyDescent="0.2">
      <c r="A91">
        <v>6</v>
      </c>
      <c r="B91">
        <v>13</v>
      </c>
      <c r="C91" t="str">
        <f t="shared" si="7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8"/>
        <v>16.009999999999998</v>
      </c>
      <c r="J91" s="28">
        <f t="shared" si="9"/>
        <v>0.66708333333333325</v>
      </c>
      <c r="K91" s="27">
        <f t="shared" si="10"/>
        <v>57251.759999999995</v>
      </c>
      <c r="L91">
        <f t="shared" si="6"/>
        <v>1</v>
      </c>
    </row>
    <row r="92" spans="1:12" x14ac:dyDescent="0.2">
      <c r="A92">
        <v>6</v>
      </c>
      <c r="B92">
        <v>14</v>
      </c>
      <c r="C92" t="str">
        <f t="shared" si="7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8"/>
        <v>25.018332999999998</v>
      </c>
      <c r="J92" s="28">
        <f t="shared" si="9"/>
        <v>0.84807908474576266</v>
      </c>
      <c r="K92" s="27">
        <f t="shared" si="10"/>
        <v>38878.489481999997</v>
      </c>
      <c r="L92">
        <f t="shared" si="6"/>
        <v>0</v>
      </c>
    </row>
    <row r="93" spans="1:12" x14ac:dyDescent="0.2">
      <c r="A93">
        <v>6</v>
      </c>
      <c r="B93">
        <v>15</v>
      </c>
      <c r="C93" t="str">
        <f t="shared" si="7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8"/>
        <v>22.662500000000001</v>
      </c>
      <c r="J93" s="28">
        <f t="shared" si="9"/>
        <v>0.88872549019607849</v>
      </c>
      <c r="K93" s="27">
        <f t="shared" si="10"/>
        <v>71341.55</v>
      </c>
      <c r="L93">
        <f t="shared" si="6"/>
        <v>0</v>
      </c>
    </row>
    <row r="94" spans="1:12" x14ac:dyDescent="0.2">
      <c r="A94">
        <v>6</v>
      </c>
      <c r="B94">
        <v>16</v>
      </c>
      <c r="C94" t="str">
        <f t="shared" si="7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8"/>
        <v>7.2725</v>
      </c>
      <c r="J94" s="28">
        <f t="shared" si="9"/>
        <v>0.80805555555555553</v>
      </c>
      <c r="K94" s="27">
        <f t="shared" si="10"/>
        <v>18166.704999999998</v>
      </c>
      <c r="L94">
        <f t="shared" si="6"/>
        <v>0</v>
      </c>
    </row>
    <row r="95" spans="1:12" x14ac:dyDescent="0.2">
      <c r="A95">
        <v>6</v>
      </c>
      <c r="B95">
        <v>17</v>
      </c>
      <c r="C95" t="str">
        <f t="shared" si="7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8"/>
        <v>6.9225000000000003</v>
      </c>
      <c r="J95" s="28">
        <f t="shared" si="9"/>
        <v>0.81441176470588239</v>
      </c>
      <c r="K95" s="27">
        <f t="shared" si="10"/>
        <v>24048.764999999999</v>
      </c>
      <c r="L95">
        <f t="shared" si="6"/>
        <v>0</v>
      </c>
    </row>
    <row r="96" spans="1:12" x14ac:dyDescent="0.2">
      <c r="A96">
        <v>6</v>
      </c>
      <c r="B96">
        <v>18</v>
      </c>
      <c r="C96" t="str">
        <f t="shared" si="7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8"/>
        <v>18.762499999999999</v>
      </c>
      <c r="J96" s="28">
        <f t="shared" si="9"/>
        <v>0.75049999999999994</v>
      </c>
      <c r="K96" s="27">
        <f t="shared" si="10"/>
        <v>42140.574999999997</v>
      </c>
      <c r="L96">
        <f t="shared" si="6"/>
        <v>0</v>
      </c>
    </row>
    <row r="97" spans="1:12" x14ac:dyDescent="0.2">
      <c r="A97">
        <v>7</v>
      </c>
      <c r="B97">
        <v>1</v>
      </c>
      <c r="C97" t="str">
        <f t="shared" si="7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8"/>
        <v>15.19</v>
      </c>
      <c r="J97" s="28">
        <f t="shared" si="9"/>
        <v>0.79947368421052634</v>
      </c>
      <c r="K97" s="27">
        <f t="shared" si="10"/>
        <v>43185.17</v>
      </c>
      <c r="L97">
        <f t="shared" si="6"/>
        <v>0</v>
      </c>
    </row>
    <row r="98" spans="1:12" x14ac:dyDescent="0.2">
      <c r="A98">
        <v>7</v>
      </c>
      <c r="B98">
        <v>2</v>
      </c>
      <c r="C98" t="str">
        <f t="shared" si="7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8"/>
        <v>14.49</v>
      </c>
      <c r="J98" s="28">
        <f t="shared" si="9"/>
        <v>0.69000000000000006</v>
      </c>
      <c r="K98" s="27">
        <f t="shared" si="10"/>
        <v>42803.46</v>
      </c>
      <c r="L98">
        <f t="shared" ref="L98:L132" si="11">IF(J98&lt;$O$3, 1, 0)</f>
        <v>1</v>
      </c>
    </row>
    <row r="99" spans="1:12" x14ac:dyDescent="0.2">
      <c r="A99">
        <v>7</v>
      </c>
      <c r="B99">
        <v>3</v>
      </c>
      <c r="C99" t="str">
        <f t="shared" si="7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8"/>
        <v>18.59</v>
      </c>
      <c r="J99" s="28">
        <f t="shared" si="9"/>
        <v>0.84499999999999997</v>
      </c>
      <c r="K99" s="27">
        <f t="shared" si="10"/>
        <v>22977.24</v>
      </c>
      <c r="L99">
        <f t="shared" si="11"/>
        <v>0</v>
      </c>
    </row>
    <row r="100" spans="1:12" x14ac:dyDescent="0.2">
      <c r="A100">
        <v>7</v>
      </c>
      <c r="B100">
        <v>4</v>
      </c>
      <c r="C100" t="str">
        <f t="shared" si="7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8"/>
        <v>11.145</v>
      </c>
      <c r="J100" s="28">
        <f t="shared" si="9"/>
        <v>0.61916666666666664</v>
      </c>
      <c r="K100" s="27">
        <f t="shared" si="10"/>
        <v>21855.344999999998</v>
      </c>
      <c r="L100">
        <f t="shared" si="11"/>
        <v>1</v>
      </c>
    </row>
    <row r="101" spans="1:12" x14ac:dyDescent="0.2">
      <c r="A101">
        <v>7</v>
      </c>
      <c r="B101">
        <v>5</v>
      </c>
      <c r="C101" t="str">
        <f t="shared" si="7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8"/>
        <v>11.95</v>
      </c>
      <c r="J101" s="28">
        <f t="shared" si="9"/>
        <v>0.6459459459459459</v>
      </c>
      <c r="K101" s="27">
        <f t="shared" si="10"/>
        <v>12368.25</v>
      </c>
      <c r="L101">
        <f t="shared" si="11"/>
        <v>1</v>
      </c>
    </row>
    <row r="102" spans="1:12" x14ac:dyDescent="0.2">
      <c r="A102">
        <v>7</v>
      </c>
      <c r="B102">
        <v>6</v>
      </c>
      <c r="C102" t="str">
        <f t="shared" si="7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8"/>
        <v>14.925000000000001</v>
      </c>
      <c r="J102" s="28">
        <f t="shared" si="9"/>
        <v>0.76538461538461544</v>
      </c>
      <c r="K102" s="27">
        <f t="shared" si="10"/>
        <v>27581.4</v>
      </c>
      <c r="L102">
        <f t="shared" si="11"/>
        <v>0</v>
      </c>
    </row>
    <row r="103" spans="1:12" x14ac:dyDescent="0.2">
      <c r="A103">
        <v>7</v>
      </c>
      <c r="B103">
        <v>7</v>
      </c>
      <c r="C103" t="str">
        <f t="shared" si="7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8"/>
        <v>6.1225000000000005</v>
      </c>
      <c r="J103" s="28">
        <f t="shared" si="9"/>
        <v>0.68027777777777787</v>
      </c>
      <c r="K103" s="27">
        <f t="shared" si="10"/>
        <v>15985.847500000002</v>
      </c>
      <c r="L103">
        <f t="shared" si="11"/>
        <v>1</v>
      </c>
    </row>
    <row r="104" spans="1:12" x14ac:dyDescent="0.2">
      <c r="A104">
        <v>7</v>
      </c>
      <c r="B104">
        <v>8</v>
      </c>
      <c r="C104" t="str">
        <f t="shared" si="7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8"/>
        <v>10.355</v>
      </c>
      <c r="J104" s="28">
        <f t="shared" si="9"/>
        <v>0.9413636363636364</v>
      </c>
      <c r="K104" s="27">
        <f t="shared" si="10"/>
        <v>15781.02</v>
      </c>
      <c r="L104">
        <f t="shared" si="11"/>
        <v>0</v>
      </c>
    </row>
    <row r="105" spans="1:12" x14ac:dyDescent="0.2">
      <c r="A105">
        <v>7</v>
      </c>
      <c r="B105">
        <v>9</v>
      </c>
      <c r="C105" t="str">
        <f t="shared" si="7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8"/>
        <v>27.142499999999998</v>
      </c>
      <c r="J105" s="28">
        <f t="shared" si="9"/>
        <v>0.6312209302325581</v>
      </c>
      <c r="K105" s="27">
        <f t="shared" si="10"/>
        <v>18484.0425</v>
      </c>
      <c r="L105">
        <f t="shared" si="11"/>
        <v>1</v>
      </c>
    </row>
    <row r="106" spans="1:12" x14ac:dyDescent="0.2">
      <c r="A106">
        <v>7</v>
      </c>
      <c r="B106">
        <v>10</v>
      </c>
      <c r="C106" t="str">
        <f t="shared" si="7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8"/>
        <v>10.015000000000001</v>
      </c>
      <c r="J106" s="28">
        <f t="shared" si="9"/>
        <v>0.83458333333333334</v>
      </c>
      <c r="K106" s="27">
        <f t="shared" si="10"/>
        <v>11176.74</v>
      </c>
      <c r="L106">
        <f t="shared" si="11"/>
        <v>0</v>
      </c>
    </row>
    <row r="107" spans="1:12" x14ac:dyDescent="0.2">
      <c r="A107">
        <v>7</v>
      </c>
      <c r="B107">
        <v>11</v>
      </c>
      <c r="C107" t="str">
        <f t="shared" si="7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8"/>
        <v>16.392499999999998</v>
      </c>
      <c r="J107" s="28">
        <f t="shared" si="9"/>
        <v>0.88608108108108097</v>
      </c>
      <c r="K107" s="27">
        <f t="shared" si="10"/>
        <v>36702.807499999995</v>
      </c>
      <c r="L107">
        <f t="shared" si="11"/>
        <v>0</v>
      </c>
    </row>
    <row r="108" spans="1:12" x14ac:dyDescent="0.2">
      <c r="A108">
        <v>7</v>
      </c>
      <c r="B108">
        <v>12</v>
      </c>
      <c r="C108" t="str">
        <f t="shared" si="7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8"/>
        <v>16.407499999999999</v>
      </c>
      <c r="J108" s="28">
        <f t="shared" si="9"/>
        <v>0.86355263157894735</v>
      </c>
      <c r="K108" s="27">
        <f t="shared" si="10"/>
        <v>21198.489999999998</v>
      </c>
      <c r="L108">
        <f t="shared" si="11"/>
        <v>0</v>
      </c>
    </row>
    <row r="109" spans="1:12" x14ac:dyDescent="0.2">
      <c r="A109">
        <v>7</v>
      </c>
      <c r="B109">
        <v>13</v>
      </c>
      <c r="C109" t="str">
        <f t="shared" si="7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8"/>
        <v>12.559999999999999</v>
      </c>
      <c r="J109" s="28">
        <f t="shared" si="9"/>
        <v>0.64410256410256406</v>
      </c>
      <c r="K109" s="27">
        <f t="shared" si="10"/>
        <v>29013.599999999999</v>
      </c>
      <c r="L109">
        <f t="shared" si="11"/>
        <v>1</v>
      </c>
    </row>
    <row r="110" spans="1:12" x14ac:dyDescent="0.2">
      <c r="A110">
        <v>7</v>
      </c>
      <c r="B110">
        <v>14</v>
      </c>
      <c r="C110" t="str">
        <f t="shared" si="7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8"/>
        <v>20.971667</v>
      </c>
      <c r="J110" s="28">
        <f t="shared" si="9"/>
        <v>0.85598640816326532</v>
      </c>
      <c r="K110" s="27">
        <f t="shared" si="10"/>
        <v>31520.415500999999</v>
      </c>
      <c r="L110">
        <f t="shared" si="11"/>
        <v>0</v>
      </c>
    </row>
    <row r="111" spans="1:12" x14ac:dyDescent="0.2">
      <c r="A111">
        <v>7</v>
      </c>
      <c r="B111">
        <v>15</v>
      </c>
      <c r="C111" t="str">
        <f t="shared" si="7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8"/>
        <v>18.634999999999998</v>
      </c>
      <c r="J111" s="28">
        <f t="shared" si="9"/>
        <v>0.88738095238095227</v>
      </c>
      <c r="K111" s="27">
        <f t="shared" si="10"/>
        <v>51227.614999999998</v>
      </c>
      <c r="L111">
        <f t="shared" si="11"/>
        <v>0</v>
      </c>
    </row>
    <row r="112" spans="1:12" x14ac:dyDescent="0.2">
      <c r="A112">
        <v>7</v>
      </c>
      <c r="B112">
        <v>16</v>
      </c>
      <c r="C112" t="str">
        <f t="shared" si="7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8"/>
        <v>6.0616669999999999</v>
      </c>
      <c r="J112" s="28">
        <f t="shared" si="9"/>
        <v>0.80822226666666663</v>
      </c>
      <c r="K112" s="27">
        <f t="shared" si="10"/>
        <v>9571.3721929999992</v>
      </c>
      <c r="L112">
        <f t="shared" si="11"/>
        <v>0</v>
      </c>
    </row>
    <row r="113" spans="1:12" x14ac:dyDescent="0.2">
      <c r="A113">
        <v>7</v>
      </c>
      <c r="B113">
        <v>17</v>
      </c>
      <c r="C113" t="str">
        <f t="shared" si="7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8"/>
        <v>5.5912500000000005</v>
      </c>
      <c r="J113" s="28">
        <f t="shared" si="9"/>
        <v>0.79875000000000007</v>
      </c>
      <c r="K113" s="27">
        <f t="shared" si="10"/>
        <v>11020.35375</v>
      </c>
      <c r="L113">
        <f t="shared" si="11"/>
        <v>0</v>
      </c>
    </row>
    <row r="114" spans="1:12" x14ac:dyDescent="0.2">
      <c r="A114">
        <v>7</v>
      </c>
      <c r="B114">
        <v>18</v>
      </c>
      <c r="C114" t="str">
        <f t="shared" si="7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8"/>
        <v>14.504999999999999</v>
      </c>
      <c r="J114" s="28">
        <f t="shared" si="9"/>
        <v>0.70756097560975606</v>
      </c>
      <c r="K114" s="27">
        <f t="shared" si="10"/>
        <v>12909.449999999999</v>
      </c>
      <c r="L114">
        <f t="shared" si="11"/>
        <v>0</v>
      </c>
    </row>
    <row r="115" spans="1:12" x14ac:dyDescent="0.2">
      <c r="A115">
        <v>8</v>
      </c>
      <c r="B115">
        <v>1</v>
      </c>
      <c r="C115" t="str">
        <f t="shared" si="7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8"/>
        <v>16.767499999999998</v>
      </c>
      <c r="J115" s="28">
        <f t="shared" si="9"/>
        <v>0.7798837209302325</v>
      </c>
      <c r="K115" s="27">
        <f t="shared" si="10"/>
        <v>29728.777499999997</v>
      </c>
      <c r="L115">
        <f t="shared" si="11"/>
        <v>0</v>
      </c>
    </row>
    <row r="116" spans="1:12" x14ac:dyDescent="0.2">
      <c r="A116">
        <v>8</v>
      </c>
      <c r="B116">
        <v>2</v>
      </c>
      <c r="C116" t="str">
        <f t="shared" si="7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8"/>
        <v>16.315000000000001</v>
      </c>
      <c r="J116" s="28">
        <f t="shared" si="9"/>
        <v>0.67979166666666668</v>
      </c>
      <c r="K116" s="27">
        <f t="shared" si="10"/>
        <v>29073.33</v>
      </c>
      <c r="L116">
        <f t="shared" si="11"/>
        <v>1</v>
      </c>
    </row>
    <row r="117" spans="1:12" x14ac:dyDescent="0.2">
      <c r="A117">
        <v>8</v>
      </c>
      <c r="B117">
        <v>3</v>
      </c>
      <c r="C117" t="str">
        <f t="shared" si="7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8"/>
        <v>21.2575</v>
      </c>
      <c r="J117" s="28">
        <f t="shared" si="9"/>
        <v>0.85030000000000006</v>
      </c>
      <c r="K117" s="27">
        <f t="shared" si="10"/>
        <v>20343.427500000002</v>
      </c>
      <c r="L117">
        <f t="shared" si="11"/>
        <v>0</v>
      </c>
    </row>
    <row r="118" spans="1:12" x14ac:dyDescent="0.2">
      <c r="A118">
        <v>8</v>
      </c>
      <c r="B118">
        <v>4</v>
      </c>
      <c r="C118" t="str">
        <f t="shared" si="7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8"/>
        <v>12.725</v>
      </c>
      <c r="J118" s="28">
        <f t="shared" si="9"/>
        <v>0.62073170731707317</v>
      </c>
      <c r="K118" s="27">
        <f t="shared" si="10"/>
        <v>16911.524999999998</v>
      </c>
      <c r="L118">
        <f t="shared" si="11"/>
        <v>1</v>
      </c>
    </row>
    <row r="119" spans="1:12" x14ac:dyDescent="0.2">
      <c r="A119">
        <v>8</v>
      </c>
      <c r="B119">
        <v>5</v>
      </c>
      <c r="C119" t="str">
        <f t="shared" si="7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8"/>
        <v>13.95</v>
      </c>
      <c r="J119" s="28">
        <f t="shared" si="9"/>
        <v>0.66428571428571426</v>
      </c>
      <c r="K119" s="27">
        <f t="shared" si="10"/>
        <v>9137.25</v>
      </c>
      <c r="L119">
        <f t="shared" si="11"/>
        <v>1</v>
      </c>
    </row>
    <row r="120" spans="1:12" x14ac:dyDescent="0.2">
      <c r="A120">
        <v>8</v>
      </c>
      <c r="B120">
        <v>6</v>
      </c>
      <c r="C120" t="str">
        <f t="shared" si="7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8"/>
        <v>17.05</v>
      </c>
      <c r="J120" s="28">
        <f t="shared" si="9"/>
        <v>0.75777777777777777</v>
      </c>
      <c r="K120" s="27">
        <f t="shared" si="10"/>
        <v>20886.25</v>
      </c>
      <c r="L120">
        <f t="shared" si="11"/>
        <v>0</v>
      </c>
    </row>
    <row r="121" spans="1:12" x14ac:dyDescent="0.2">
      <c r="A121">
        <v>8</v>
      </c>
      <c r="B121">
        <v>7</v>
      </c>
      <c r="C121" t="str">
        <f t="shared" si="7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8"/>
        <v>7.3912499999999994</v>
      </c>
      <c r="J121" s="28">
        <f t="shared" si="9"/>
        <v>0.70392857142857135</v>
      </c>
      <c r="K121" s="27">
        <f t="shared" si="10"/>
        <v>12609.4725</v>
      </c>
      <c r="L121">
        <f t="shared" si="11"/>
        <v>0</v>
      </c>
    </row>
    <row r="122" spans="1:12" x14ac:dyDescent="0.2">
      <c r="A122">
        <v>8</v>
      </c>
      <c r="B122">
        <v>8</v>
      </c>
      <c r="C122" t="str">
        <f t="shared" si="7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8"/>
        <v>11.3</v>
      </c>
      <c r="J122" s="28">
        <f t="shared" si="9"/>
        <v>0.94166666666666676</v>
      </c>
      <c r="K122" s="27">
        <f t="shared" si="10"/>
        <v>10565.5</v>
      </c>
      <c r="L122">
        <f t="shared" si="11"/>
        <v>0</v>
      </c>
    </row>
    <row r="123" spans="1:12" x14ac:dyDescent="0.2">
      <c r="A123">
        <v>8</v>
      </c>
      <c r="B123">
        <v>9</v>
      </c>
      <c r="C123" t="str">
        <f t="shared" si="7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8"/>
        <v>28.385000000000002</v>
      </c>
      <c r="J123" s="28">
        <f t="shared" si="9"/>
        <v>0.58525773195876296</v>
      </c>
      <c r="K123" s="27">
        <f t="shared" si="10"/>
        <v>12489.400000000001</v>
      </c>
      <c r="L123">
        <f t="shared" si="11"/>
        <v>1</v>
      </c>
    </row>
    <row r="124" spans="1:12" x14ac:dyDescent="0.2">
      <c r="A124">
        <v>8</v>
      </c>
      <c r="B124">
        <v>10</v>
      </c>
      <c r="C124" t="str">
        <f t="shared" si="7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8"/>
        <v>12.0375</v>
      </c>
      <c r="J124" s="28">
        <f t="shared" si="9"/>
        <v>0.85982142857142851</v>
      </c>
      <c r="K124" s="27">
        <f t="shared" si="10"/>
        <v>11652.3</v>
      </c>
      <c r="L124">
        <f t="shared" si="11"/>
        <v>0</v>
      </c>
    </row>
    <row r="125" spans="1:12" x14ac:dyDescent="0.2">
      <c r="A125">
        <v>8</v>
      </c>
      <c r="B125">
        <v>11</v>
      </c>
      <c r="C125" t="str">
        <f t="shared" si="7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8"/>
        <v>18.649999999999999</v>
      </c>
      <c r="J125" s="28">
        <f t="shared" si="9"/>
        <v>0.88809523809523805</v>
      </c>
      <c r="K125" s="27">
        <f t="shared" si="10"/>
        <v>26165.949999999997</v>
      </c>
      <c r="L125">
        <f t="shared" si="11"/>
        <v>0</v>
      </c>
    </row>
    <row r="126" spans="1:12" x14ac:dyDescent="0.2">
      <c r="A126">
        <v>8</v>
      </c>
      <c r="B126">
        <v>12</v>
      </c>
      <c r="C126" t="str">
        <f t="shared" si="7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8"/>
        <v>18.732500000000002</v>
      </c>
      <c r="J126" s="28">
        <f t="shared" si="9"/>
        <v>0.87127906976744196</v>
      </c>
      <c r="K126" s="27">
        <f t="shared" si="10"/>
        <v>31283.275000000001</v>
      </c>
      <c r="L126">
        <f t="shared" si="11"/>
        <v>0</v>
      </c>
    </row>
    <row r="127" spans="1:12" x14ac:dyDescent="0.2">
      <c r="A127">
        <v>8</v>
      </c>
      <c r="B127">
        <v>13</v>
      </c>
      <c r="C127" t="str">
        <f t="shared" si="7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8"/>
        <v>14.780000000000001</v>
      </c>
      <c r="J127" s="28">
        <f t="shared" si="9"/>
        <v>0.65688888888888897</v>
      </c>
      <c r="K127" s="27">
        <f t="shared" si="10"/>
        <v>17942.920000000002</v>
      </c>
      <c r="L127">
        <f t="shared" si="11"/>
        <v>1</v>
      </c>
    </row>
    <row r="128" spans="1:12" x14ac:dyDescent="0.2">
      <c r="A128">
        <v>8</v>
      </c>
      <c r="B128">
        <v>14</v>
      </c>
      <c r="C128" t="str">
        <f t="shared" si="7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8"/>
        <v>23.081666999999999</v>
      </c>
      <c r="J128" s="28">
        <f t="shared" si="9"/>
        <v>0.83933334545454541</v>
      </c>
      <c r="K128" s="27">
        <f t="shared" si="10"/>
        <v>16387.98357</v>
      </c>
      <c r="L128">
        <f t="shared" si="11"/>
        <v>0</v>
      </c>
    </row>
    <row r="129" spans="1:12" x14ac:dyDescent="0.2">
      <c r="A129">
        <v>8</v>
      </c>
      <c r="B129">
        <v>15</v>
      </c>
      <c r="C129" t="str">
        <f t="shared" si="7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8"/>
        <v>21.11</v>
      </c>
      <c r="J129" s="28">
        <f t="shared" si="9"/>
        <v>0.87958333333333327</v>
      </c>
      <c r="K129" s="27">
        <f t="shared" si="10"/>
        <v>27801.87</v>
      </c>
      <c r="L129">
        <f t="shared" si="11"/>
        <v>0</v>
      </c>
    </row>
    <row r="130" spans="1:12" x14ac:dyDescent="0.2">
      <c r="A130">
        <v>8</v>
      </c>
      <c r="B130">
        <v>16</v>
      </c>
      <c r="C130" t="str">
        <f t="shared" si="7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8"/>
        <v>7.2750000000000004</v>
      </c>
      <c r="J130" s="28">
        <f t="shared" si="9"/>
        <v>0.80833333333333335</v>
      </c>
      <c r="K130" s="27">
        <f t="shared" si="10"/>
        <v>6773.0250000000005</v>
      </c>
      <c r="L130">
        <f t="shared" si="11"/>
        <v>0</v>
      </c>
    </row>
    <row r="131" spans="1:12" x14ac:dyDescent="0.2">
      <c r="A131">
        <v>8</v>
      </c>
      <c r="B131">
        <v>17</v>
      </c>
      <c r="C131" t="str">
        <f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>E131-G131</f>
        <v>5.9399999999999995</v>
      </c>
      <c r="J131" s="28">
        <f>I131/E131</f>
        <v>0.79199999999999993</v>
      </c>
      <c r="K131" s="27">
        <f>I131*H131</f>
        <v>8512.0199999999986</v>
      </c>
      <c r="L131">
        <f t="shared" si="11"/>
        <v>0</v>
      </c>
    </row>
    <row r="132" spans="1:12" x14ac:dyDescent="0.2">
      <c r="A132">
        <v>8</v>
      </c>
      <c r="B132">
        <v>18</v>
      </c>
      <c r="C132" t="str">
        <f>(A132&amp;", "&amp; B132)</f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>E132-G132</f>
        <v>16.715</v>
      </c>
      <c r="J132" s="28">
        <f>I132/E132</f>
        <v>0.72673913043478255</v>
      </c>
      <c r="K132" s="27">
        <f>I132*H132</f>
        <v>12686.684999999999</v>
      </c>
      <c r="L132">
        <f t="shared" si="11"/>
        <v>0</v>
      </c>
    </row>
  </sheetData>
  <conditionalFormatting sqref="L1:L1048576">
    <cfRule type="cellIs" dxfId="17" priority="3" stopIfTrue="1" operator="between">
      <formula>1</formula>
      <formula>1</formula>
    </cfRule>
  </conditionalFormatting>
  <conditionalFormatting sqref="O17">
    <cfRule type="cellIs" dxfId="16" priority="1" operator="equal">
      <formula>"Equal"</formula>
    </cfRule>
    <cfRule type="cellIs" dxfId="15" priority="2" operator="equal">
      <formula>"RPM missing rows"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B1:P2646"/>
  <sheetViews>
    <sheetView tabSelected="1" topLeftCell="A39" zoomScale="98" zoomScaleNormal="135" workbookViewId="0">
      <selection activeCell="G84" sqref="G84"/>
    </sheetView>
  </sheetViews>
  <sheetFormatPr baseColWidth="10" defaultRowHeight="16" x14ac:dyDescent="0.2"/>
  <cols>
    <col min="1" max="1" width="2" customWidth="1"/>
    <col min="2" max="2" width="13.33203125" style="9" bestFit="1" customWidth="1"/>
    <col min="3" max="3" width="21.5" bestFit="1" customWidth="1"/>
    <col min="4" max="4" width="14.1640625" bestFit="1" customWidth="1"/>
    <col min="5" max="5" width="17.1640625" bestFit="1" customWidth="1"/>
    <col min="6" max="6" width="17.33203125" bestFit="1" customWidth="1"/>
    <col min="7" max="7" width="33.33203125" bestFit="1" customWidth="1"/>
    <col min="8" max="8" width="21.83203125" style="18" bestFit="1" customWidth="1"/>
    <col min="9" max="9" width="11.83203125" style="22" bestFit="1" customWidth="1"/>
    <col min="10" max="10" width="12" style="18" bestFit="1" customWidth="1"/>
    <col min="11" max="11" width="20.33203125" customWidth="1"/>
    <col min="12" max="12" width="13.33203125" bestFit="1" customWidth="1"/>
    <col min="13" max="13" width="11.83203125" bestFit="1" customWidth="1"/>
    <col min="14" max="14" width="10.5" bestFit="1" customWidth="1"/>
    <col min="15" max="15" width="20.6640625" bestFit="1" customWidth="1"/>
    <col min="16" max="16" width="17.1640625" bestFit="1" customWidth="1"/>
  </cols>
  <sheetData>
    <row r="1" spans="2:16" x14ac:dyDescent="0.2">
      <c r="F1" s="57" t="str">
        <f>"Menu Performance" &amp; " (" &amp; Menu_Performance!$C$3 &amp; ": " &amp; TEXT(C5, "mmm yyyy") &amp; " - " &amp; TEXT(C6, "mmm yyyy") &amp; ")"</f>
        <v>Menu Performance (Eataly Downtown NYC: Feb 2025 - May 2025)</v>
      </c>
      <c r="G1" s="57"/>
      <c r="H1" s="57"/>
    </row>
    <row r="2" spans="2:16" x14ac:dyDescent="0.2">
      <c r="B2" s="40" t="s">
        <v>214</v>
      </c>
      <c r="C2" s="55" t="s">
        <v>215</v>
      </c>
      <c r="D2" s="55"/>
      <c r="E2" s="55"/>
      <c r="F2" s="55"/>
    </row>
    <row r="3" spans="2:16" x14ac:dyDescent="0.2">
      <c r="B3" s="11" t="s">
        <v>29</v>
      </c>
      <c r="C3" t="s">
        <v>58</v>
      </c>
      <c r="H3" s="54" t="s">
        <v>239</v>
      </c>
      <c r="I3" s="48">
        <f xml:space="preserve"> SUMIFS(raw_menu_engineering!K:K, raw_menu_engineering!A:A, "&gt;="&amp; $C$5, raw_menu_engineering!A:A, "&lt;="&amp; $C$6, raw_menu_engineering!B:B, $C$4)</f>
        <v>0</v>
      </c>
      <c r="J3"/>
    </row>
    <row r="4" spans="2:16" x14ac:dyDescent="0.2">
      <c r="B4" s="38" t="s">
        <v>28</v>
      </c>
      <c r="C4" s="22">
        <f>INDEX(Lists!$B:$B, MATCH(C3,Lists!$A:$A, 0))</f>
        <v>2</v>
      </c>
      <c r="E4" s="30" t="s">
        <v>207</v>
      </c>
      <c r="F4" s="39">
        <v>5.0000000000000001E-3</v>
      </c>
      <c r="G4" t="s">
        <v>200</v>
      </c>
      <c r="H4" s="54"/>
      <c r="I4"/>
      <c r="J4" s="49" t="str">
        <f>IF(I3=0, "OK", "unconverted ingredient")</f>
        <v>OK</v>
      </c>
      <c r="K4" s="10" t="s">
        <v>205</v>
      </c>
      <c r="L4">
        <v>0.7</v>
      </c>
    </row>
    <row r="5" spans="2:16" x14ac:dyDescent="0.2">
      <c r="B5" s="38" t="s">
        <v>193</v>
      </c>
      <c r="C5" s="47">
        <v>45689</v>
      </c>
      <c r="E5" s="30" t="s">
        <v>199</v>
      </c>
      <c r="F5">
        <f>(YEAR(C6) - YEAR(C5)) * 12 + MONTH(C6) - MONTH(C5) + 1</f>
        <v>4</v>
      </c>
      <c r="H5" s="54" t="s">
        <v>164</v>
      </c>
      <c r="I5" s="48">
        <f xml:space="preserve"> SUMIFS(raw_location_month_performance!S:S, raw_location_month_performance!C:C, "&gt;="&amp; $C$5, raw_location_month_performance!C:C, "&lt;="&amp; $C$6, raw_location_month_performance!A:A, $C$4)</f>
        <v>0</v>
      </c>
      <c r="J5" t="str">
        <f>IF(I5=0, "OK", "unconverted recipe")</f>
        <v>OK</v>
      </c>
      <c r="K5" s="10" t="s">
        <v>208</v>
      </c>
      <c r="L5">
        <f>COUNTIF($E$9:$E$26, "&gt;0")</f>
        <v>16</v>
      </c>
    </row>
    <row r="6" spans="2:16" x14ac:dyDescent="0.2">
      <c r="B6" s="38" t="s">
        <v>194</v>
      </c>
      <c r="C6" s="47">
        <v>45778</v>
      </c>
      <c r="D6" s="51" t="str">
        <f>IF(C6&lt;C5, "End before Start", "")</f>
        <v/>
      </c>
      <c r="E6" s="30" t="s">
        <v>201</v>
      </c>
      <c r="F6" s="28" t="str">
        <f>IF(AND(E28=0,C5&lt;=C6),"NO SALES",IF(C6&lt;C5,"END BEFORE START",IF(AND(D31="PASS",E31="PASS",F31="PASS",G31="PASS"),IF(AND(J4="OK", J5="OK"),"PASS","FAIL"), "FAIL")))</f>
        <v>PASS</v>
      </c>
      <c r="H6" s="54"/>
      <c r="I6"/>
      <c r="J6"/>
      <c r="K6" s="10" t="s">
        <v>209</v>
      </c>
      <c r="L6" s="28">
        <f>IF(L5=0,"-",(L4*(1/L5)))</f>
        <v>4.3749999999999997E-2</v>
      </c>
    </row>
    <row r="7" spans="2:16" x14ac:dyDescent="0.2">
      <c r="B7"/>
      <c r="K7" s="10" t="s">
        <v>210</v>
      </c>
      <c r="L7" s="26">
        <f>IF(E28=0, "-", G28/E28)</f>
        <v>15.948756314956654</v>
      </c>
    </row>
    <row r="8" spans="2:16" x14ac:dyDescent="0.2">
      <c r="B8" s="79" t="s">
        <v>30</v>
      </c>
      <c r="C8" s="60" t="s">
        <v>31</v>
      </c>
      <c r="D8" s="60" t="s">
        <v>67</v>
      </c>
      <c r="E8" s="60" t="s">
        <v>68</v>
      </c>
      <c r="F8" s="60" t="s">
        <v>70</v>
      </c>
      <c r="G8" s="60" t="s">
        <v>71</v>
      </c>
      <c r="H8" s="60" t="s">
        <v>195</v>
      </c>
      <c r="I8" s="60" t="s">
        <v>202</v>
      </c>
      <c r="J8" s="60" t="s">
        <v>203</v>
      </c>
      <c r="K8" s="60" t="s">
        <v>35</v>
      </c>
      <c r="L8" s="60" t="s">
        <v>211</v>
      </c>
      <c r="M8" s="60" t="s">
        <v>213</v>
      </c>
      <c r="N8" s="60" t="s">
        <v>234</v>
      </c>
      <c r="O8" s="10"/>
      <c r="P8" s="10"/>
    </row>
    <row r="9" spans="2:16" x14ac:dyDescent="0.2">
      <c r="B9" s="61">
        <v>1</v>
      </c>
      <c r="C9" s="61" t="str">
        <f>INDEX(raw_menu_engineering!$E:$E, MATCH(B9, raw_menu_engineering!$D:$D, 0))</f>
        <v>Spaghetti alla Carbonara</v>
      </c>
      <c r="D9" s="65">
        <f xml:space="preserve"> SUMIFS(raw_menu_engineering!F:F, raw_menu_engineering!A:A, "&gt;="&amp; $C$5, raw_menu_engineering!A:A, "&lt;="&amp; $C$6, raw_menu_engineering!B:B, $C$4, raw_menu_engineering!D:D,$B9)</f>
        <v>19250</v>
      </c>
      <c r="E9" s="80">
        <f xml:space="preserve"> SUMIFS(raw_menu_engineering!G:G, raw_menu_engineering!A:A, "&gt;="&amp; $C$5, raw_menu_engineering!A:A, "&lt;="&amp; $C$6, raw_menu_engineering!B:B, $C$4, raw_menu_engineering!D:D,$B9)</f>
        <v>875</v>
      </c>
      <c r="F9" s="65">
        <f xml:space="preserve"> SUMIFS(raw_menu_engineering!I:I, raw_menu_engineering!A:A, "&gt;="&amp; $C$5, raw_menu_engineering!A:A, "&lt;="&amp; $C$6, raw_menu_engineering!B:B, $C$4, raw_menu_engineering!D:D,$B9)</f>
        <v>3297.5230266969361</v>
      </c>
      <c r="G9" s="66">
        <f>IF(E9=0, "-", D9-F9)</f>
        <v>15952.476973303064</v>
      </c>
      <c r="H9" s="67">
        <f>IF(D9 = 0, "-", G9/D9)</f>
        <v>0.82870010250925008</v>
      </c>
      <c r="I9" s="67">
        <f>IF(E9=0, "-", E9/$E$28)</f>
        <v>9.0429929723026048E-2</v>
      </c>
      <c r="J9" s="61">
        <f t="shared" ref="J9:J26" si="0">IF(E9=0,"-",(IF(I9&gt;=$L$6,1,0)))</f>
        <v>1</v>
      </c>
      <c r="K9" s="66">
        <f>IF(E9=0, "-", G9/E9)</f>
        <v>18.231402255203502</v>
      </c>
      <c r="L9" s="61">
        <f t="shared" ref="L9:L26" si="1">IF(E9=0, "-", IF(K9 &gt;=$L$7, 1, 0))</f>
        <v>1</v>
      </c>
      <c r="M9" s="61" t="str">
        <f>IF(AND(J9=0,L9=0),"DOG",IF(AND(J9=1,L9=0),"PLOWHORSE",IF(AND(J9=0,L9=1),"PUZZLE",IF(AND(J9=1,L9=1),"STAR","-"))))</f>
        <v>STAR</v>
      </c>
      <c r="N9" s="61">
        <f>IF(G9="-", "-", RANK(G9,$G$9:$G$26, 0))</f>
        <v>1</v>
      </c>
    </row>
    <row r="10" spans="2:16" x14ac:dyDescent="0.2">
      <c r="B10" s="61">
        <v>2</v>
      </c>
      <c r="C10" s="61" t="str">
        <f>INDEX(raw_menu_engineering!$E:$E, MATCH(B10, raw_menu_engineering!$D:$D, 0))</f>
        <v>Margherita Pizza</v>
      </c>
      <c r="D10" s="65">
        <f xml:space="preserve"> SUMIFS(raw_menu_engineering!F:F, raw_menu_engineering!A:A, "&gt;="&amp; $C$5, raw_menu_engineering!A:A, "&lt;="&amp; $C$6, raw_menu_engineering!B:B, $C$4, raw_menu_engineering!D:D,$B10)</f>
        <v>20088</v>
      </c>
      <c r="E10" s="80">
        <f xml:space="preserve"> SUMIFS(raw_menu_engineering!G:G, raw_menu_engineering!A:A, "&gt;="&amp; $C$5, raw_menu_engineering!A:A, "&lt;="&amp; $C$6, raw_menu_engineering!B:B, $C$4, raw_menu_engineering!D:D,$B10)</f>
        <v>837</v>
      </c>
      <c r="F10" s="65">
        <f xml:space="preserve"> SUMIFS(raw_menu_engineering!I:I, raw_menu_engineering!A:A, "&gt;="&amp; $C$5, raw_menu_engineering!A:A, "&lt;="&amp; $C$6, raw_menu_engineering!B:B, $C$4, raw_menu_engineering!D:D,$B10)</f>
        <v>5388.9466691338803</v>
      </c>
      <c r="G10" s="66">
        <f t="shared" ref="G10:G26" si="2">IF(E10=0, "-", D10-F10)</f>
        <v>14699.05333086612</v>
      </c>
      <c r="H10" s="67">
        <f t="shared" ref="H10:H26" si="3">IF(D10 = 0, "-", G10/D10)</f>
        <v>0.73173304116219229</v>
      </c>
      <c r="I10" s="67">
        <f t="shared" ref="I10:I26" si="4">IF(E10=0, "-", E10/$E$28)</f>
        <v>8.6502687060768912E-2</v>
      </c>
      <c r="J10" s="61">
        <f t="shared" si="0"/>
        <v>1</v>
      </c>
      <c r="K10" s="66">
        <f t="shared" ref="K10:K26" si="5">IF(E10=0, "-", G10/E10)</f>
        <v>17.561592987892617</v>
      </c>
      <c r="L10" s="61">
        <f t="shared" si="1"/>
        <v>1</v>
      </c>
      <c r="M10" s="61" t="str">
        <f t="shared" ref="M10:M26" si="6">IF(AND(J10=0,L10=0),"DOG",IF(AND(J10=1,L10=0),"PLOWHORSE",IF(AND(J10=0,L10=1),"PUZZLE",IF(AND(J10=1,L10=1),"STAR","-"))))</f>
        <v>STAR</v>
      </c>
      <c r="N10" s="61">
        <f t="shared" ref="N10:N26" si="7">IF(G10="-", "-", RANK(G10,$G$9:$G$26, 0))</f>
        <v>3</v>
      </c>
    </row>
    <row r="11" spans="2:16" x14ac:dyDescent="0.2">
      <c r="B11" s="61">
        <v>3</v>
      </c>
      <c r="C11" s="61" t="str">
        <f>INDEX(raw_menu_engineering!$E:$E, MATCH(B11, raw_menu_engineering!$D:$D, 0))</f>
        <v>Risotto alla Milanese</v>
      </c>
      <c r="D11" s="65">
        <f xml:space="preserve"> SUMIFS(raw_menu_engineering!F:F, raw_menu_engineering!A:A, "&gt;="&amp; $C$5, raw_menu_engineering!A:A, "&lt;="&amp; $C$6, raw_menu_engineering!B:B, $C$4, raw_menu_engineering!D:D,$B11)</f>
        <v>12571.5</v>
      </c>
      <c r="E11" s="80">
        <f xml:space="preserve"> SUMIFS(raw_menu_engineering!G:G, raw_menu_engineering!A:A, "&gt;="&amp; $C$5, raw_menu_engineering!A:A, "&lt;="&amp; $C$6, raw_menu_engineering!B:B, $C$4, raw_menu_engineering!D:D,$B11)</f>
        <v>493</v>
      </c>
      <c r="F11" s="65">
        <f xml:space="preserve"> SUMIFS(raw_menu_engineering!I:I, raw_menu_engineering!A:A, "&gt;="&amp; $C$5, raw_menu_engineering!A:A, "&lt;="&amp; $C$6, raw_menu_engineering!B:B, $C$4, raw_menu_engineering!D:D,$B11)</f>
        <v>1711.941467384255</v>
      </c>
      <c r="G11" s="66">
        <f t="shared" si="2"/>
        <v>10859.558532615745</v>
      </c>
      <c r="H11" s="67">
        <f t="shared" si="3"/>
        <v>0.86382361155118681</v>
      </c>
      <c r="I11" s="67">
        <f t="shared" si="4"/>
        <v>5.0950806118230677E-2</v>
      </c>
      <c r="J11" s="61">
        <f t="shared" si="0"/>
        <v>1</v>
      </c>
      <c r="K11" s="66">
        <f t="shared" si="5"/>
        <v>22.027502094555263</v>
      </c>
      <c r="L11" s="61">
        <f t="shared" si="1"/>
        <v>1</v>
      </c>
      <c r="M11" s="61" t="str">
        <f t="shared" si="6"/>
        <v>STAR</v>
      </c>
      <c r="N11" s="61">
        <f t="shared" si="7"/>
        <v>6</v>
      </c>
    </row>
    <row r="12" spans="2:16" x14ac:dyDescent="0.2">
      <c r="B12" s="61">
        <v>4</v>
      </c>
      <c r="C12" s="61" t="str">
        <f>INDEX(raw_menu_engineering!$E:$E, MATCH(B12, raw_menu_engineering!$D:$D, 0))</f>
        <v>Caprese Salad</v>
      </c>
      <c r="D12" s="65">
        <f xml:space="preserve"> SUMIFS(raw_menu_engineering!F:F, raw_menu_engineering!A:A, "&gt;="&amp; $C$5, raw_menu_engineering!A:A, "&lt;="&amp; $C$6, raw_menu_engineering!B:B, $C$4, raw_menu_engineering!D:D,$B12)</f>
        <v>11907</v>
      </c>
      <c r="E12" s="80">
        <f xml:space="preserve"> SUMIFS(raw_menu_engineering!G:G, raw_menu_engineering!A:A, "&gt;="&amp; $C$5, raw_menu_engineering!A:A, "&lt;="&amp; $C$6, raw_menu_engineering!B:B, $C$4, raw_menu_engineering!D:D,$B12)</f>
        <v>567</v>
      </c>
      <c r="F12" s="65">
        <f xml:space="preserve"> SUMIFS(raw_menu_engineering!I:I, raw_menu_engineering!A:A, "&gt;="&amp; $C$5, raw_menu_engineering!A:A, "&lt;="&amp; $C$6, raw_menu_engineering!B:B, $C$4, raw_menu_engineering!D:D,$B12)</f>
        <v>3859.9514235890406</v>
      </c>
      <c r="G12" s="66">
        <f t="shared" si="2"/>
        <v>8047.0485764109599</v>
      </c>
      <c r="H12" s="67">
        <f t="shared" si="3"/>
        <v>0.67582502531376165</v>
      </c>
      <c r="I12" s="67">
        <f t="shared" si="4"/>
        <v>5.8598594460520875E-2</v>
      </c>
      <c r="J12" s="61">
        <f t="shared" si="0"/>
        <v>1</v>
      </c>
      <c r="K12" s="66">
        <f t="shared" si="5"/>
        <v>14.192325531588995</v>
      </c>
      <c r="L12" s="61">
        <f t="shared" si="1"/>
        <v>0</v>
      </c>
      <c r="M12" s="61" t="str">
        <f t="shared" si="6"/>
        <v>PLOWHORSE</v>
      </c>
      <c r="N12" s="61">
        <f t="shared" si="7"/>
        <v>10</v>
      </c>
    </row>
    <row r="13" spans="2:16" x14ac:dyDescent="0.2">
      <c r="B13" s="81">
        <v>5</v>
      </c>
      <c r="C13" s="81" t="str">
        <f>INDEX(raw_menu_engineering!$E:$E, MATCH(B13, raw_menu_engineering!$D:$D, 0))</f>
        <v>Prosciutto e Melone</v>
      </c>
      <c r="D13" s="82">
        <f xml:space="preserve"> SUMIFS(raw_menu_engineering!F:F, raw_menu_engineering!A:A, "&gt;="&amp; $C$5, raw_menu_engineering!A:A, "&lt;="&amp; $C$6, raw_menu_engineering!B:B, $C$4, raw_menu_engineering!D:D,$B13)</f>
        <v>7812</v>
      </c>
      <c r="E13" s="83">
        <f xml:space="preserve"> SUMIFS(raw_menu_engineering!G:G, raw_menu_engineering!A:A, "&gt;="&amp; $C$5, raw_menu_engineering!A:A, "&lt;="&amp; $C$6, raw_menu_engineering!B:B, $C$4, raw_menu_engineering!D:D,$B13)</f>
        <v>372</v>
      </c>
      <c r="F13" s="82">
        <f xml:space="preserve"> SUMIFS(raw_menu_engineering!I:I, raw_menu_engineering!A:A, "&gt;="&amp; $C$5, raw_menu_engineering!A:A, "&lt;="&amp; $C$6, raw_menu_engineering!B:B, $C$4, raw_menu_engineering!D:D,$B13)</f>
        <v>2413.014427083333</v>
      </c>
      <c r="G13" s="84">
        <f t="shared" si="2"/>
        <v>5398.9855729166666</v>
      </c>
      <c r="H13" s="85">
        <f t="shared" si="3"/>
        <v>0.69111438465395114</v>
      </c>
      <c r="I13" s="85">
        <f t="shared" si="4"/>
        <v>3.8445638693675073E-2</v>
      </c>
      <c r="J13" s="81">
        <f t="shared" si="0"/>
        <v>0</v>
      </c>
      <c r="K13" s="84">
        <f t="shared" si="5"/>
        <v>14.513402077732975</v>
      </c>
      <c r="L13" s="81">
        <f t="shared" si="1"/>
        <v>0</v>
      </c>
      <c r="M13" s="81" t="str">
        <f t="shared" si="6"/>
        <v>DOG</v>
      </c>
      <c r="N13" s="81">
        <f t="shared" si="7"/>
        <v>15</v>
      </c>
    </row>
    <row r="14" spans="2:16" x14ac:dyDescent="0.2">
      <c r="B14" s="61">
        <v>6</v>
      </c>
      <c r="C14" s="61" t="str">
        <f>INDEX(raw_menu_engineering!$E:$E, MATCH(B14, raw_menu_engineering!$D:$D, 0))</f>
        <v>Bucatini all'Amatriciana</v>
      </c>
      <c r="D14" s="65">
        <f xml:space="preserve"> SUMIFS(raw_menu_engineering!F:F, raw_menu_engineering!A:A, "&gt;="&amp; $C$5, raw_menu_engineering!A:A, "&lt;="&amp; $C$6, raw_menu_engineering!B:B, $C$4, raw_menu_engineering!D:D,$B14)</f>
        <v>13202</v>
      </c>
      <c r="E14" s="80">
        <f xml:space="preserve"> SUMIFS(raw_menu_engineering!G:G, raw_menu_engineering!A:A, "&gt;="&amp; $C$5, raw_menu_engineering!A:A, "&lt;="&amp; $C$6, raw_menu_engineering!B:B, $C$4, raw_menu_engineering!D:D,$B14)</f>
        <v>574</v>
      </c>
      <c r="F14" s="65">
        <f xml:space="preserve"> SUMIFS(raw_menu_engineering!I:I, raw_menu_engineering!A:A, "&gt;="&amp; $C$5, raw_menu_engineering!A:A, "&lt;="&amp; $C$6, raw_menu_engineering!B:B, $C$4, raw_menu_engineering!D:D,$B14)</f>
        <v>2588.629467083214</v>
      </c>
      <c r="G14" s="66">
        <f t="shared" si="2"/>
        <v>10613.370532916786</v>
      </c>
      <c r="H14" s="67">
        <f t="shared" si="3"/>
        <v>0.8039214159155269</v>
      </c>
      <c r="I14" s="67">
        <f t="shared" si="4"/>
        <v>5.9322033898305086E-2</v>
      </c>
      <c r="J14" s="61">
        <f t="shared" si="0"/>
        <v>1</v>
      </c>
      <c r="K14" s="66">
        <f t="shared" si="5"/>
        <v>18.490192566057118</v>
      </c>
      <c r="L14" s="61">
        <f t="shared" si="1"/>
        <v>1</v>
      </c>
      <c r="M14" s="61" t="str">
        <f t="shared" si="6"/>
        <v>STAR</v>
      </c>
      <c r="N14" s="61">
        <f t="shared" si="7"/>
        <v>7</v>
      </c>
    </row>
    <row r="15" spans="2:16" x14ac:dyDescent="0.2">
      <c r="B15" s="61">
        <v>7</v>
      </c>
      <c r="C15" s="61" t="str">
        <f>INDEX(raw_menu_engineering!$E:$E, MATCH(B15, raw_menu_engineering!$D:$D, 0))</f>
        <v>Tiramisu</v>
      </c>
      <c r="D15" s="65">
        <f xml:space="preserve"> SUMIFS(raw_menu_engineering!F:F, raw_menu_engineering!A:A, "&gt;="&amp; $C$5, raw_menu_engineering!A:A, "&lt;="&amp; $C$6, raw_menu_engineering!B:B, $C$4, raw_menu_engineering!D:D,$B15)</f>
        <v>0</v>
      </c>
      <c r="E15" s="80">
        <f xml:space="preserve"> SUMIFS(raw_menu_engineering!G:G, raw_menu_engineering!A:A, "&gt;="&amp; $C$5, raw_menu_engineering!A:A, "&lt;="&amp; $C$6, raw_menu_engineering!B:B, $C$4, raw_menu_engineering!D:D,$B15)</f>
        <v>0</v>
      </c>
      <c r="F15" s="65">
        <f xml:space="preserve"> SUMIFS(raw_menu_engineering!I:I, raw_menu_engineering!A:A, "&gt;="&amp; $C$5, raw_menu_engineering!A:A, "&lt;="&amp; $C$6, raw_menu_engineering!B:B, $C$4, raw_menu_engineering!D:D,$B15)</f>
        <v>0</v>
      </c>
      <c r="G15" s="66" t="str">
        <f t="shared" si="2"/>
        <v>-</v>
      </c>
      <c r="H15" s="67" t="str">
        <f t="shared" si="3"/>
        <v>-</v>
      </c>
      <c r="I15" s="67" t="str">
        <f t="shared" si="4"/>
        <v>-</v>
      </c>
      <c r="J15" s="61" t="str">
        <f t="shared" si="0"/>
        <v>-</v>
      </c>
      <c r="K15" s="66" t="str">
        <f t="shared" si="5"/>
        <v>-</v>
      </c>
      <c r="L15" s="61" t="str">
        <f t="shared" si="1"/>
        <v>-</v>
      </c>
      <c r="M15" s="61" t="str">
        <f t="shared" si="6"/>
        <v>-</v>
      </c>
      <c r="N15" s="61" t="str">
        <f t="shared" si="7"/>
        <v>-</v>
      </c>
    </row>
    <row r="16" spans="2:16" ht="17" customHeight="1" x14ac:dyDescent="0.2">
      <c r="B16" s="61">
        <v>8</v>
      </c>
      <c r="C16" s="61" t="str">
        <f>INDEX(raw_menu_engineering!$E:$E, MATCH(B16, raw_menu_engineering!$D:$D, 0))</f>
        <v>Focaccia Genovese</v>
      </c>
      <c r="D16" s="65">
        <f xml:space="preserve"> SUMIFS(raw_menu_engineering!F:F, raw_menu_engineering!A:A, "&gt;="&amp; $C$5, raw_menu_engineering!A:A, "&lt;="&amp; $C$6, raw_menu_engineering!B:B, $C$4, raw_menu_engineering!D:D,$B16)</f>
        <v>5887.5</v>
      </c>
      <c r="E16" s="80">
        <f xml:space="preserve"> SUMIFS(raw_menu_engineering!G:G, raw_menu_engineering!A:A, "&gt;="&amp; $C$5, raw_menu_engineering!A:A, "&lt;="&amp; $C$6, raw_menu_engineering!B:B, $C$4, raw_menu_engineering!D:D,$B16)</f>
        <v>471</v>
      </c>
      <c r="F16" s="65">
        <f xml:space="preserve"> SUMIFS(raw_menu_engineering!I:I, raw_menu_engineering!A:A, "&gt;="&amp; $C$5, raw_menu_engineering!A:A, "&lt;="&amp; $C$6, raw_menu_engineering!B:B, $C$4, raw_menu_engineering!D:D,$B16)</f>
        <v>319.79340820247847</v>
      </c>
      <c r="G16" s="66">
        <f t="shared" si="2"/>
        <v>5567.7065917975215</v>
      </c>
      <c r="H16" s="67">
        <f t="shared" si="3"/>
        <v>0.94568264828832638</v>
      </c>
      <c r="I16" s="67">
        <f t="shared" si="4"/>
        <v>4.8677139313766021E-2</v>
      </c>
      <c r="J16" s="61">
        <f t="shared" si="0"/>
        <v>1</v>
      </c>
      <c r="K16" s="66">
        <f t="shared" si="5"/>
        <v>11.82103310360408</v>
      </c>
      <c r="L16" s="61">
        <f t="shared" si="1"/>
        <v>0</v>
      </c>
      <c r="M16" s="61" t="str">
        <f t="shared" si="6"/>
        <v>PLOWHORSE</v>
      </c>
      <c r="N16" s="61">
        <f t="shared" si="7"/>
        <v>14</v>
      </c>
    </row>
    <row r="17" spans="2:15" x14ac:dyDescent="0.2">
      <c r="B17" s="61">
        <v>9</v>
      </c>
      <c r="C17" s="61" t="str">
        <f>INDEX(raw_menu_engineering!$E:$E, MATCH(B17, raw_menu_engineering!$D:$D, 0))</f>
        <v>Osso Buco</v>
      </c>
      <c r="D17" s="65">
        <f xml:space="preserve"> SUMIFS(raw_menu_engineering!F:F, raw_menu_engineering!A:A, "&gt;="&amp; $C$5, raw_menu_engineering!A:A, "&lt;="&amp; $C$6, raw_menu_engineering!B:B, $C$4, raw_menu_engineering!D:D,$B17)</f>
        <v>0</v>
      </c>
      <c r="E17" s="80">
        <f xml:space="preserve"> SUMIFS(raw_menu_engineering!G:G, raw_menu_engineering!A:A, "&gt;="&amp; $C$5, raw_menu_engineering!A:A, "&lt;="&amp; $C$6, raw_menu_engineering!B:B, $C$4, raw_menu_engineering!D:D,$B17)</f>
        <v>0</v>
      </c>
      <c r="F17" s="65">
        <f xml:space="preserve"> SUMIFS(raw_menu_engineering!I:I, raw_menu_engineering!A:A, "&gt;="&amp; $C$5, raw_menu_engineering!A:A, "&lt;="&amp; $C$6, raw_menu_engineering!B:B, $C$4, raw_menu_engineering!D:D,$B17)</f>
        <v>0</v>
      </c>
      <c r="G17" s="66" t="str">
        <f t="shared" si="2"/>
        <v>-</v>
      </c>
      <c r="H17" s="67" t="str">
        <f t="shared" si="3"/>
        <v>-</v>
      </c>
      <c r="I17" s="67" t="str">
        <f t="shared" si="4"/>
        <v>-</v>
      </c>
      <c r="J17" s="61" t="str">
        <f t="shared" si="0"/>
        <v>-</v>
      </c>
      <c r="K17" s="66" t="str">
        <f t="shared" si="5"/>
        <v>-</v>
      </c>
      <c r="L17" s="61" t="str">
        <f t="shared" si="1"/>
        <v>-</v>
      </c>
      <c r="M17" s="61" t="str">
        <f t="shared" si="6"/>
        <v>-</v>
      </c>
      <c r="N17" s="61" t="str">
        <f t="shared" si="7"/>
        <v>-</v>
      </c>
    </row>
    <row r="18" spans="2:15" x14ac:dyDescent="0.2">
      <c r="B18" s="61">
        <v>10</v>
      </c>
      <c r="C18" s="61" t="str">
        <f>INDEX(raw_menu_engineering!$E:$E, MATCH(B18, raw_menu_engineering!$D:$D, 0))</f>
        <v>Panzanella</v>
      </c>
      <c r="D18" s="65">
        <f xml:space="preserve"> SUMIFS(raw_menu_engineering!F:F, raw_menu_engineering!A:A, "&gt;="&amp; $C$5, raw_menu_engineering!A:A, "&lt;="&amp; $C$6, raw_menu_engineering!B:B, $C$4, raw_menu_engineering!D:D,$B18)</f>
        <v>4746</v>
      </c>
      <c r="E18" s="80">
        <f xml:space="preserve"> SUMIFS(raw_menu_engineering!G:G, raw_menu_engineering!A:A, "&gt;="&amp; $C$5, raw_menu_engineering!A:A, "&lt;="&amp; $C$6, raw_menu_engineering!B:B, $C$4, raw_menu_engineering!D:D,$B18)</f>
        <v>339</v>
      </c>
      <c r="F18" s="65">
        <f xml:space="preserve"> SUMIFS(raw_menu_engineering!I:I, raw_menu_engineering!A:A, "&gt;="&amp; $C$5, raw_menu_engineering!A:A, "&lt;="&amp; $C$6, raw_menu_engineering!B:B, $C$4, raw_menu_engineering!D:D,$B18)</f>
        <v>687.40133530675701</v>
      </c>
      <c r="G18" s="66">
        <f t="shared" si="2"/>
        <v>4058.5986646932429</v>
      </c>
      <c r="H18" s="67">
        <f t="shared" si="3"/>
        <v>0.85516196053376381</v>
      </c>
      <c r="I18" s="67">
        <f t="shared" si="4"/>
        <v>3.503513848697809E-2</v>
      </c>
      <c r="J18" s="61">
        <f t="shared" si="0"/>
        <v>0</v>
      </c>
      <c r="K18" s="66">
        <f t="shared" si="5"/>
        <v>11.972267447472692</v>
      </c>
      <c r="L18" s="61">
        <f t="shared" si="1"/>
        <v>0</v>
      </c>
      <c r="M18" s="61" t="str">
        <f t="shared" si="6"/>
        <v>DOG</v>
      </c>
      <c r="N18" s="61">
        <f t="shared" si="7"/>
        <v>16</v>
      </c>
    </row>
    <row r="19" spans="2:15" x14ac:dyDescent="0.2">
      <c r="B19" s="61">
        <v>11</v>
      </c>
      <c r="C19" s="61" t="str">
        <f>INDEX(raw_menu_engineering!$E:$E, MATCH(B19, raw_menu_engineering!$D:$D, 0))</f>
        <v>Cacio e Pepe</v>
      </c>
      <c r="D19" s="65">
        <f xml:space="preserve"> SUMIFS(raw_menu_engineering!F:F, raw_menu_engineering!A:A, "&gt;="&amp; $C$5, raw_menu_engineering!A:A, "&lt;="&amp; $C$6, raw_menu_engineering!B:B, $C$4, raw_menu_engineering!D:D,$B19)</f>
        <v>17346</v>
      </c>
      <c r="E19" s="80">
        <f xml:space="preserve"> SUMIFS(raw_menu_engineering!G:G, raw_menu_engineering!A:A, "&gt;="&amp; $C$5, raw_menu_engineering!A:A, "&lt;="&amp; $C$6, raw_menu_engineering!B:B, $C$4, raw_menu_engineering!D:D,$B19)</f>
        <v>826</v>
      </c>
      <c r="F19" s="65">
        <f xml:space="preserve"> SUMIFS(raw_menu_engineering!I:I, raw_menu_engineering!A:A, "&gt;="&amp; $C$5, raw_menu_engineering!A:A, "&lt;="&amp; $C$6, raw_menu_engineering!B:B, $C$4, raw_menu_engineering!D:D,$B19)</f>
        <v>1542.2261565416661</v>
      </c>
      <c r="G19" s="66">
        <f t="shared" si="2"/>
        <v>15803.773843458333</v>
      </c>
      <c r="H19" s="67">
        <f t="shared" si="3"/>
        <v>0.91109038645557094</v>
      </c>
      <c r="I19" s="67">
        <f t="shared" si="4"/>
        <v>8.5365853658536592E-2</v>
      </c>
      <c r="J19" s="61">
        <f t="shared" si="0"/>
        <v>1</v>
      </c>
      <c r="K19" s="66">
        <f t="shared" si="5"/>
        <v>19.132898115566988</v>
      </c>
      <c r="L19" s="61">
        <f t="shared" si="1"/>
        <v>1</v>
      </c>
      <c r="M19" s="61" t="str">
        <f t="shared" si="6"/>
        <v>STAR</v>
      </c>
      <c r="N19" s="61">
        <f t="shared" si="7"/>
        <v>2</v>
      </c>
    </row>
    <row r="20" spans="2:15" x14ac:dyDescent="0.2">
      <c r="B20" s="61">
        <v>12</v>
      </c>
      <c r="C20" s="61" t="str">
        <f>INDEX(raw_menu_engineering!$E:$E, MATCH(B20, raw_menu_engineering!$D:$D, 0))</f>
        <v>Pesto alla Genovese</v>
      </c>
      <c r="D20" s="65">
        <f xml:space="preserve"> SUMIFS(raw_menu_engineering!F:F, raw_menu_engineering!A:A, "&gt;="&amp; $C$5, raw_menu_engineering!A:A, "&lt;="&amp; $C$6, raw_menu_engineering!B:B, $C$4, raw_menu_engineering!D:D,$B20)</f>
        <v>11968</v>
      </c>
      <c r="E20" s="80">
        <f xml:space="preserve"> SUMIFS(raw_menu_engineering!G:G, raw_menu_engineering!A:A, "&gt;="&amp; $C$5, raw_menu_engineering!A:A, "&lt;="&amp; $C$6, raw_menu_engineering!B:B, $C$4, raw_menu_engineering!D:D,$B20)</f>
        <v>544</v>
      </c>
      <c r="F20" s="65">
        <f xml:space="preserve"> SUMIFS(raw_menu_engineering!I:I, raw_menu_engineering!A:A, "&gt;="&amp; $C$5, raw_menu_engineering!A:A, "&lt;="&amp; $C$6, raw_menu_engineering!B:B, $C$4, raw_menu_engineering!D:D,$B20)</f>
        <v>1361.6587831353031</v>
      </c>
      <c r="G20" s="66">
        <f t="shared" si="2"/>
        <v>10606.341216864697</v>
      </c>
      <c r="H20" s="67">
        <f t="shared" si="3"/>
        <v>0.88622503483160908</v>
      </c>
      <c r="I20" s="67">
        <f t="shared" si="4"/>
        <v>5.6221579164944191E-2</v>
      </c>
      <c r="J20" s="61">
        <f t="shared" si="0"/>
        <v>1</v>
      </c>
      <c r="K20" s="66">
        <f t="shared" si="5"/>
        <v>19.496950766295399</v>
      </c>
      <c r="L20" s="61">
        <f t="shared" si="1"/>
        <v>1</v>
      </c>
      <c r="M20" s="61" t="str">
        <f t="shared" si="6"/>
        <v>STAR</v>
      </c>
      <c r="N20" s="61">
        <f t="shared" si="7"/>
        <v>8</v>
      </c>
    </row>
    <row r="21" spans="2:15" x14ac:dyDescent="0.2">
      <c r="B21" s="61">
        <v>13</v>
      </c>
      <c r="C21" s="61" t="str">
        <f>INDEX(raw_menu_engineering!$E:$E, MATCH(B21, raw_menu_engineering!$D:$D, 0))</f>
        <v>Quattro Formaggi Pizza</v>
      </c>
      <c r="D21" s="65">
        <f xml:space="preserve"> SUMIFS(raw_menu_engineering!F:F, raw_menu_engineering!A:A, "&gt;="&amp; $C$5, raw_menu_engineering!A:A, "&lt;="&amp; $C$6, raw_menu_engineering!B:B, $C$4, raw_menu_engineering!D:D,$B21)</f>
        <v>14007</v>
      </c>
      <c r="E21" s="80">
        <f xml:space="preserve"> SUMIFS(raw_menu_engineering!G:G, raw_menu_engineering!A:A, "&gt;="&amp; $C$5, raw_menu_engineering!A:A, "&lt;="&amp; $C$6, raw_menu_engineering!B:B, $C$4, raw_menu_engineering!D:D,$B21)</f>
        <v>609</v>
      </c>
      <c r="F21" s="65">
        <f xml:space="preserve"> SUMIFS(raw_menu_engineering!I:I, raw_menu_engineering!A:A, "&gt;="&amp; $C$5, raw_menu_engineering!A:A, "&lt;="&amp; $C$6, raw_menu_engineering!B:B, $C$4, raw_menu_engineering!D:D,$B21)</f>
        <v>3818.9403762051234</v>
      </c>
      <c r="G21" s="66">
        <f t="shared" si="2"/>
        <v>10188.059623794878</v>
      </c>
      <c r="H21" s="67">
        <f t="shared" si="3"/>
        <v>0.7273548671232154</v>
      </c>
      <c r="I21" s="67">
        <f t="shared" si="4"/>
        <v>6.2939231087226127E-2</v>
      </c>
      <c r="J21" s="61">
        <f t="shared" si="0"/>
        <v>1</v>
      </c>
      <c r="K21" s="66">
        <f t="shared" si="5"/>
        <v>16.729161943833954</v>
      </c>
      <c r="L21" s="61">
        <f t="shared" si="1"/>
        <v>1</v>
      </c>
      <c r="M21" s="61" t="str">
        <f t="shared" si="6"/>
        <v>STAR</v>
      </c>
      <c r="N21" s="61">
        <f t="shared" si="7"/>
        <v>9</v>
      </c>
    </row>
    <row r="22" spans="2:15" x14ac:dyDescent="0.2">
      <c r="B22" s="61">
        <v>14</v>
      </c>
      <c r="C22" s="61" t="str">
        <f>INDEX(raw_menu_engineering!$E:$E, MATCH(B22, raw_menu_engineering!$D:$D, 0))</f>
        <v>Porchetta</v>
      </c>
      <c r="D22" s="65">
        <f xml:space="preserve"> SUMIFS(raw_menu_engineering!F:F, raw_menu_engineering!A:A, "&gt;="&amp; $C$5, raw_menu_engineering!A:A, "&lt;="&amp; $C$6, raw_menu_engineering!B:B, $C$4, raw_menu_engineering!D:D,$B22)</f>
        <v>14056</v>
      </c>
      <c r="E22" s="80">
        <f xml:space="preserve"> SUMIFS(raw_menu_engineering!G:G, raw_menu_engineering!A:A, "&gt;="&amp; $C$5, raw_menu_engineering!A:A, "&lt;="&amp; $C$6, raw_menu_engineering!B:B, $C$4, raw_menu_engineering!D:D,$B22)</f>
        <v>502</v>
      </c>
      <c r="F22" s="65">
        <f xml:space="preserve"> SUMIFS(raw_menu_engineering!I:I, raw_menu_engineering!A:A, "&gt;="&amp; $C$5, raw_menu_engineering!A:A, "&lt;="&amp; $C$6, raw_menu_engineering!B:B, $C$4, raw_menu_engineering!D:D,$B22)</f>
        <v>2212.8924287400059</v>
      </c>
      <c r="G22" s="66">
        <f t="shared" si="2"/>
        <v>11843.107571259994</v>
      </c>
      <c r="H22" s="67">
        <f t="shared" si="3"/>
        <v>0.84256599112549757</v>
      </c>
      <c r="I22" s="67">
        <f t="shared" si="4"/>
        <v>5.1880942538238939E-2</v>
      </c>
      <c r="J22" s="61">
        <f t="shared" si="0"/>
        <v>1</v>
      </c>
      <c r="K22" s="66">
        <f t="shared" si="5"/>
        <v>23.591847751513932</v>
      </c>
      <c r="L22" s="61">
        <f t="shared" si="1"/>
        <v>1</v>
      </c>
      <c r="M22" s="61" t="str">
        <f t="shared" si="6"/>
        <v>STAR</v>
      </c>
      <c r="N22" s="61">
        <f t="shared" si="7"/>
        <v>4</v>
      </c>
    </row>
    <row r="23" spans="2:15" x14ac:dyDescent="0.2">
      <c r="B23" s="61">
        <v>15</v>
      </c>
      <c r="C23" s="61" t="str">
        <f>INDEX(raw_menu_engineering!$E:$E, MATCH(B23, raw_menu_engineering!$D:$D, 0))</f>
        <v>Pollo alla Griglia</v>
      </c>
      <c r="D23" s="65">
        <f xml:space="preserve"> SUMIFS(raw_menu_engineering!F:F, raw_menu_engineering!A:A, "&gt;="&amp; $C$5, raw_menu_engineering!A:A, "&lt;="&amp; $C$6, raw_menu_engineering!B:B, $C$4, raw_menu_engineering!D:D,$B23)</f>
        <v>12825</v>
      </c>
      <c r="E23" s="80">
        <f xml:space="preserve"> SUMIFS(raw_menu_engineering!G:G, raw_menu_engineering!A:A, "&gt;="&amp; $C$5, raw_menu_engineering!A:A, "&lt;="&amp; $C$6, raw_menu_engineering!B:B, $C$4, raw_menu_engineering!D:D,$B23)</f>
        <v>513</v>
      </c>
      <c r="F23" s="65">
        <f xml:space="preserve"> SUMIFS(raw_menu_engineering!I:I, raw_menu_engineering!A:A, "&gt;="&amp; $C$5, raw_menu_engineering!A:A, "&lt;="&amp; $C$6, raw_menu_engineering!B:B, $C$4, raw_menu_engineering!D:D,$B23)</f>
        <v>1391.8324566256481</v>
      </c>
      <c r="G23" s="66">
        <f t="shared" si="2"/>
        <v>11433.167543374351</v>
      </c>
      <c r="H23" s="67">
        <f t="shared" si="3"/>
        <v>0.89147505211495914</v>
      </c>
      <c r="I23" s="67">
        <f t="shared" si="4"/>
        <v>5.3017775940471266E-2</v>
      </c>
      <c r="J23" s="61">
        <f t="shared" si="0"/>
        <v>1</v>
      </c>
      <c r="K23" s="66">
        <f t="shared" si="5"/>
        <v>22.286876302873978</v>
      </c>
      <c r="L23" s="61">
        <f t="shared" si="1"/>
        <v>1</v>
      </c>
      <c r="M23" s="61" t="str">
        <f t="shared" si="6"/>
        <v>STAR</v>
      </c>
      <c r="N23" s="61">
        <f t="shared" si="7"/>
        <v>5</v>
      </c>
    </row>
    <row r="24" spans="2:15" x14ac:dyDescent="0.2">
      <c r="B24" s="61">
        <v>16</v>
      </c>
      <c r="C24" s="61" t="str">
        <f>INDEX(raw_menu_engineering!$E:$E, MATCH(B24, raw_menu_engineering!$D:$D, 0))</f>
        <v>Cannoli</v>
      </c>
      <c r="D24" s="65">
        <f xml:space="preserve"> SUMIFS(raw_menu_engineering!F:F, raw_menu_engineering!A:A, "&gt;="&amp; $C$5, raw_menu_engineering!A:A, "&lt;="&amp; $C$6, raw_menu_engineering!B:B, $C$4, raw_menu_engineering!D:D,$B24)</f>
        <v>8136</v>
      </c>
      <c r="E24" s="80">
        <f xml:space="preserve"> SUMIFS(raw_menu_engineering!G:G, raw_menu_engineering!A:A, "&gt;="&amp; $C$5, raw_menu_engineering!A:A, "&lt;="&amp; $C$6, raw_menu_engineering!B:B, $C$4, raw_menu_engineering!D:D,$B24)</f>
        <v>904</v>
      </c>
      <c r="F24" s="65">
        <f xml:space="preserve"> SUMIFS(raw_menu_engineering!I:I, raw_menu_engineering!A:A, "&gt;="&amp; $C$5, raw_menu_engineering!A:A, "&lt;="&amp; $C$6, raw_menu_engineering!B:B, $C$4, raw_menu_engineering!D:D,$B24)</f>
        <v>1408.3111355049109</v>
      </c>
      <c r="G24" s="66">
        <f t="shared" si="2"/>
        <v>6727.6888644950886</v>
      </c>
      <c r="H24" s="67">
        <f t="shared" si="3"/>
        <v>0.82690374440696768</v>
      </c>
      <c r="I24" s="67">
        <f t="shared" si="4"/>
        <v>9.3427035965274907E-2</v>
      </c>
      <c r="J24" s="61">
        <f t="shared" si="0"/>
        <v>1</v>
      </c>
      <c r="K24" s="66">
        <f t="shared" si="5"/>
        <v>7.4421336996627083</v>
      </c>
      <c r="L24" s="61">
        <f t="shared" si="1"/>
        <v>0</v>
      </c>
      <c r="M24" s="61" t="str">
        <f t="shared" si="6"/>
        <v>PLOWHORSE</v>
      </c>
      <c r="N24" s="61">
        <f t="shared" si="7"/>
        <v>11</v>
      </c>
    </row>
    <row r="25" spans="2:15" x14ac:dyDescent="0.2">
      <c r="B25" s="61">
        <v>17</v>
      </c>
      <c r="C25" s="61" t="str">
        <f>INDEX(raw_menu_engineering!$E:$E, MATCH(B25, raw_menu_engineering!$D:$D, 0))</f>
        <v>Pistachio Gelato</v>
      </c>
      <c r="D25" s="65">
        <f xml:space="preserve"> SUMIFS(raw_menu_engineering!F:F, raw_menu_engineering!A:A, "&gt;="&amp; $C$5, raw_menu_engineering!A:A, "&lt;="&amp; $C$6, raw_menu_engineering!B:B, $C$4, raw_menu_engineering!D:D,$B25)</f>
        <v>7024</v>
      </c>
      <c r="E25" s="80">
        <f xml:space="preserve"> SUMIFS(raw_menu_engineering!G:G, raw_menu_engineering!A:A, "&gt;="&amp; $C$5, raw_menu_engineering!A:A, "&lt;="&amp; $C$6, raw_menu_engineering!B:B, $C$4, raw_menu_engineering!D:D,$B25)</f>
        <v>878</v>
      </c>
      <c r="F25" s="65">
        <f xml:space="preserve"> SUMIFS(raw_menu_engineering!I:I, raw_menu_engineering!A:A, "&gt;="&amp; $C$5, raw_menu_engineering!A:A, "&lt;="&amp; $C$6, raw_menu_engineering!B:B, $C$4, raw_menu_engineering!D:D,$B25)</f>
        <v>1178.6157815136989</v>
      </c>
      <c r="G25" s="66">
        <f t="shared" si="2"/>
        <v>5845.3842184863006</v>
      </c>
      <c r="H25" s="67">
        <f t="shared" si="3"/>
        <v>0.83220162563871025</v>
      </c>
      <c r="I25" s="67">
        <f t="shared" si="4"/>
        <v>9.0739975196362135E-2</v>
      </c>
      <c r="J25" s="61">
        <f t="shared" si="0"/>
        <v>1</v>
      </c>
      <c r="K25" s="66">
        <f t="shared" si="5"/>
        <v>6.657613005109682</v>
      </c>
      <c r="L25" s="61">
        <f t="shared" si="1"/>
        <v>0</v>
      </c>
      <c r="M25" s="61" t="str">
        <f t="shared" si="6"/>
        <v>PLOWHORSE</v>
      </c>
      <c r="N25" s="61">
        <f t="shared" si="7"/>
        <v>13</v>
      </c>
    </row>
    <row r="26" spans="2:15" x14ac:dyDescent="0.2">
      <c r="B26" s="61">
        <v>18</v>
      </c>
      <c r="C26" s="61" t="str">
        <f>INDEX(raw_menu_engineering!$E:$E, MATCH(B26, raw_menu_engineering!$D:$D, 0))</f>
        <v>Insalata di Mare</v>
      </c>
      <c r="D26" s="65">
        <f xml:space="preserve"> SUMIFS(raw_menu_engineering!F:F, raw_menu_engineering!A:A, "&gt;="&amp; $C$5, raw_menu_engineering!A:A, "&lt;="&amp; $C$6, raw_menu_engineering!B:B, $C$4, raw_menu_engineering!D:D,$B26)</f>
        <v>8742</v>
      </c>
      <c r="E26" s="80">
        <f xml:space="preserve"> SUMIFS(raw_menu_engineering!G:G, raw_menu_engineering!A:A, "&gt;="&amp; $C$5, raw_menu_engineering!A:A, "&lt;="&amp; $C$6, raw_menu_engineering!B:B, $C$4, raw_menu_engineering!D:D,$B26)</f>
        <v>372</v>
      </c>
      <c r="F26" s="65">
        <f xml:space="preserve"> SUMIFS(raw_menu_engineering!I:I, raw_menu_engineering!A:A, "&gt;="&amp; $C$5, raw_menu_engineering!A:A, "&lt;="&amp; $C$6, raw_menu_engineering!B:B, $C$4, raw_menu_engineering!D:D,$B26)</f>
        <v>2066.1555537331842</v>
      </c>
      <c r="G26" s="66">
        <f t="shared" si="2"/>
        <v>6675.8444462668158</v>
      </c>
      <c r="H26" s="67">
        <f t="shared" si="3"/>
        <v>0.76365184697630017</v>
      </c>
      <c r="I26" s="67">
        <f t="shared" si="4"/>
        <v>3.8445638693675073E-2</v>
      </c>
      <c r="J26" s="61">
        <f t="shared" si="0"/>
        <v>0</v>
      </c>
      <c r="K26" s="66">
        <f t="shared" si="5"/>
        <v>17.945818403943054</v>
      </c>
      <c r="L26" s="61">
        <f t="shared" si="1"/>
        <v>1</v>
      </c>
      <c r="M26" s="61" t="str">
        <f t="shared" si="6"/>
        <v>PUZZLE</v>
      </c>
      <c r="N26" s="61">
        <f t="shared" si="7"/>
        <v>12</v>
      </c>
    </row>
    <row r="27" spans="2:15" x14ac:dyDescent="0.2">
      <c r="B27"/>
      <c r="C27" s="61"/>
      <c r="D27" s="61"/>
      <c r="E27" s="61"/>
      <c r="F27" s="61"/>
      <c r="G27" s="61"/>
      <c r="H27" s="61"/>
      <c r="I27" s="10" t="s">
        <v>206</v>
      </c>
      <c r="J27">
        <f>IF(L5=0, "-", COUNTIF(J9:J26, "=1"))</f>
        <v>13</v>
      </c>
      <c r="K27" s="10" t="s">
        <v>212</v>
      </c>
      <c r="L27">
        <f>IF(E28=0, "-", COUNTIF(L9:L26, "=1"))</f>
        <v>10</v>
      </c>
      <c r="N27" s="10"/>
    </row>
    <row r="28" spans="2:15" x14ac:dyDescent="0.2">
      <c r="B28"/>
      <c r="C28" s="60" t="s">
        <v>196</v>
      </c>
      <c r="D28" s="66">
        <f>SUM(D9:D26)</f>
        <v>189568</v>
      </c>
      <c r="E28" s="80">
        <f>SUM(E9:E26)</f>
        <v>9676</v>
      </c>
      <c r="F28" s="66">
        <f>SUM(F9:F26)</f>
        <v>35247.833896479424</v>
      </c>
      <c r="G28" s="66">
        <f>SUM(G9:G26)</f>
        <v>154320.16610352058</v>
      </c>
      <c r="H28" s="67">
        <f>IF(G28 = 0, "-", G28/D28)</f>
        <v>0.81406232119092137</v>
      </c>
    </row>
    <row r="29" spans="2:15" x14ac:dyDescent="0.2">
      <c r="B29"/>
      <c r="C29" s="60" t="s">
        <v>197</v>
      </c>
      <c r="D29" s="65">
        <f xml:space="preserve"> SUMIFS(raw_location_month_performance!D:D, raw_location_month_performance!C:C, "&gt;="&amp; $C$5, raw_location_month_performance!C:C, "&lt;="&amp; $C$6, raw_location_month_performance!A:A, $C$4)</f>
        <v>189568</v>
      </c>
      <c r="E29" s="61">
        <f xml:space="preserve"> SUMIFS(raw_menu_engineering!G:G, raw_menu_engineering!A:A, "&gt;="&amp; $C$5, raw_menu_engineering!A:A, "&lt;="&amp; $C$6, raw_menu_engineering!B:B, $C$4)</f>
        <v>9676</v>
      </c>
      <c r="F29" s="65">
        <f xml:space="preserve"> SUMIFS(raw_location_month_performance!J:J, raw_location_month_performance!C:C, "&gt;="&amp; $C$5, raw_location_month_performance!C:C, "&lt;="&amp; $C$6, raw_location_month_performance!A:A, $C$4)</f>
        <v>35247.840000000004</v>
      </c>
      <c r="G29" s="65">
        <f>D29-F29</f>
        <v>154320.16</v>
      </c>
      <c r="H29" s="67">
        <f>IF(G29=0, "-", G29/D29)</f>
        <v>0.81406228899392308</v>
      </c>
      <c r="I29" s="10" t="s">
        <v>237</v>
      </c>
      <c r="J29" s="53" t="str" cm="1">
        <f t="array" ref="J29">IF($F$6&lt;&gt;"PASS","-",_xlfn._xlws.FILTER($C$9:$C$26,N9:N26=MIN(N9:N26)))</f>
        <v>Spaghetti alla Carbonara</v>
      </c>
      <c r="K29" s="53"/>
      <c r="L29" s="10" t="s">
        <v>238</v>
      </c>
      <c r="M29" s="53" t="str" cm="1">
        <f t="array" ref="M29">IF(F6&lt;&gt;"PASS", "-", _xlfn._xlws.FILTER($C$9:$C$26, N9:N26=MAX(N9:N26), "NONE"))</f>
        <v>Panzanella</v>
      </c>
      <c r="N29" s="53"/>
    </row>
    <row r="30" spans="2:15" x14ac:dyDescent="0.2">
      <c r="B30"/>
      <c r="C30" s="60" t="s">
        <v>166</v>
      </c>
      <c r="D30" s="66">
        <f>D28-D29</f>
        <v>0</v>
      </c>
      <c r="E30" s="80">
        <f>E28-E29</f>
        <v>0</v>
      </c>
      <c r="F30" s="66">
        <f>F28-F29</f>
        <v>-6.1035205799271353E-3</v>
      </c>
      <c r="G30" s="66">
        <f>G28-G29</f>
        <v>6.1035205726511776E-3</v>
      </c>
      <c r="H30" s="67">
        <f>IF(AND(H28="-", H29="-"), "-", H28-H29)</f>
        <v>3.2196998289713008E-8</v>
      </c>
      <c r="I30"/>
      <c r="J30"/>
    </row>
    <row r="31" spans="2:15" x14ac:dyDescent="0.2">
      <c r="B31" s="10"/>
      <c r="C31" s="10" t="s">
        <v>198</v>
      </c>
      <c r="D31" t="str">
        <f>IF(E28=0, "NO SALES", IF(AND(D30&gt;= -($F$5*$F$4),  D30&lt;= ($F$5*$F$4)), "PASS", "FAIL"))</f>
        <v>PASS</v>
      </c>
      <c r="E31" t="str">
        <f>IF(E28=0, "NO SALES", IF(E28=E29, "PASS", "FAIL"))</f>
        <v>PASS</v>
      </c>
      <c r="F31" t="str">
        <f>IF(E28=0, "NO SALES", IF(AND(F30&gt;= -($F$5*$F$4),  F30&lt;= ($F$5*$F$4)), "PASS", "FAIL"))</f>
        <v>PASS</v>
      </c>
      <c r="G31" t="str">
        <f>IF(E28=0, "NO SALES", IF(AND(G30&gt;= -($F$5*$F$4),  G30&lt;= ($F$5*$F$4)), "PASS", "FAIL"))</f>
        <v>PASS</v>
      </c>
      <c r="H31"/>
      <c r="I31"/>
    </row>
    <row r="32" spans="2:15" x14ac:dyDescent="0.2">
      <c r="B32"/>
      <c r="C32" s="10"/>
      <c r="H32"/>
      <c r="I32"/>
      <c r="J32" s="58"/>
      <c r="K32" s="59" t="str">
        <f>Menu_Performance!$C$3 &amp; " (" &amp; TEXT(C5, "mmm yyyy") &amp; " - " &amp; TEXT(C6, "mmm yyyy") &amp; ") - " &amp;K33</f>
        <v>Eataly Downtown NYC (Feb 2025 - May 2025) - Margherita Pizza</v>
      </c>
      <c r="L32" s="59"/>
      <c r="M32" s="59"/>
      <c r="N32" s="59"/>
      <c r="O32" s="57"/>
    </row>
    <row r="33" spans="2:16" x14ac:dyDescent="0.2">
      <c r="B33" s="61"/>
      <c r="C33" s="60" t="s">
        <v>244</v>
      </c>
      <c r="D33" s="60" t="s">
        <v>245</v>
      </c>
      <c r="E33" s="60" t="s">
        <v>219</v>
      </c>
      <c r="F33" s="60" t="s">
        <v>220</v>
      </c>
      <c r="G33" s="60" t="s">
        <v>246</v>
      </c>
      <c r="H33" s="60" t="s">
        <v>196</v>
      </c>
      <c r="J33" s="60" t="s">
        <v>254</v>
      </c>
      <c r="K33" s="61" t="s">
        <v>42</v>
      </c>
      <c r="L33" s="61"/>
      <c r="M33" s="61"/>
      <c r="N33" s="61"/>
    </row>
    <row r="34" spans="2:16" ht="17" x14ac:dyDescent="0.2">
      <c r="B34" s="71" t="s">
        <v>247</v>
      </c>
      <c r="C34" s="72">
        <f>COUNTIF($M$9:$M$26, "STAR")</f>
        <v>9</v>
      </c>
      <c r="D34" s="72">
        <f>COUNTIF($M$9:$M$26, "PUZZLE")</f>
        <v>1</v>
      </c>
      <c r="E34" s="72">
        <f>COUNTIF($M$9:$M$26, "PLOWHORSE")</f>
        <v>4</v>
      </c>
      <c r="F34" s="72">
        <f>COUNTIF($M$9:$M$26, "DOG")</f>
        <v>2</v>
      </c>
      <c r="G34" s="72">
        <f>COUNTIF($M$9:$M$26, "-")</f>
        <v>2</v>
      </c>
      <c r="H34" s="72">
        <f>SUM(C34:G34)</f>
        <v>18</v>
      </c>
      <c r="J34" s="62" t="s">
        <v>30</v>
      </c>
      <c r="K34" s="61">
        <f>INDEX(raw_menu_engineering!$D:$D, MATCH(K33, raw_menu_engineering!$E:$E, 0))</f>
        <v>2</v>
      </c>
      <c r="L34" s="61"/>
      <c r="M34" s="61"/>
      <c r="N34" s="61"/>
    </row>
    <row r="35" spans="2:16" ht="17" x14ac:dyDescent="0.2">
      <c r="B35" s="71" t="s">
        <v>242</v>
      </c>
      <c r="C35" s="65">
        <f xml:space="preserve"> SUMIFS($D$9:$D$26,$M$9:$M$26, "STAR")</f>
        <v>135313.5</v>
      </c>
      <c r="D35" s="65">
        <f xml:space="preserve"> SUMIFS($D$9:$D$26,$M$9:$M$26,"PUZZLE")</f>
        <v>8742</v>
      </c>
      <c r="E35" s="65">
        <f xml:space="preserve"> SUMIFS($D$9:$D$26,$M$9:$M$26, "PLOWHORSE")</f>
        <v>32954.5</v>
      </c>
      <c r="F35" s="65">
        <f xml:space="preserve"> SUMIFS($D$9:$D$26,$M$9:$M$26, "DOG")</f>
        <v>12558</v>
      </c>
      <c r="G35" s="65">
        <f xml:space="preserve"> SUMIFS($D$9:$D$26,$M$9:$M$26, "-")</f>
        <v>0</v>
      </c>
      <c r="H35" s="73">
        <f>SUM(C35:G35)</f>
        <v>189568</v>
      </c>
      <c r="I35" s="22" t="str">
        <f>IF(AND(H35-D28 &gt;=-F4*F5, H35-D28 &lt;=F4*F5), "PASS", "FAIL")</f>
        <v>PASS</v>
      </c>
      <c r="J35" s="63" t="s">
        <v>66</v>
      </c>
      <c r="K35" s="60" t="s">
        <v>242</v>
      </c>
      <c r="L35" s="60" t="s">
        <v>250</v>
      </c>
      <c r="M35" s="60" t="s">
        <v>243</v>
      </c>
      <c r="N35" s="60" t="s">
        <v>195</v>
      </c>
      <c r="O35" s="11" t="s">
        <v>256</v>
      </c>
      <c r="P35" s="10" t="s">
        <v>257</v>
      </c>
    </row>
    <row r="36" spans="2:16" ht="34" x14ac:dyDescent="0.2">
      <c r="B36" s="74" t="s">
        <v>248</v>
      </c>
      <c r="C36" s="67">
        <f>C35/$H$35</f>
        <v>0.71379926991897369</v>
      </c>
      <c r="D36" s="67">
        <f>D35/$H$35</f>
        <v>4.611537812288994E-2</v>
      </c>
      <c r="E36" s="67">
        <f>E35/$H$35</f>
        <v>0.17383999409182985</v>
      </c>
      <c r="F36" s="67">
        <f>F35/$H$35</f>
        <v>6.6245357866306545E-2</v>
      </c>
      <c r="G36" s="67">
        <f>G35/$H$35</f>
        <v>0</v>
      </c>
      <c r="H36" s="75">
        <f>SUM(C36:G36)</f>
        <v>1</v>
      </c>
      <c r="J36" s="64" cm="1">
        <f t="array" ref="J36:J39">_xlfn._xlws.FILTER(Lists!$G$2:$G$21,(Lists!$G$2:$G$21&gt;=C5) *(Lists!$G$2:$G$21&lt;=C6))</f>
        <v>45689</v>
      </c>
      <c r="K36" s="65">
        <f>IF(J36="", "", SUMIFS(raw_menu_engineering!F:F, raw_menu_engineering!A:A, "="&amp;J36, raw_menu_engineering!B:B, $C$4, raw_menu_engineering!D:D,$K$34))</f>
        <v>3744</v>
      </c>
      <c r="L36" s="65">
        <f>IF(J36="", "", SUMIFS(raw_menu_engineering!I:I, raw_menu_engineering!A:A, "="&amp;J36, raw_menu_engineering!B:B, $C$4, raw_menu_engineering!D:D,$K$34))</f>
        <v>1008.34779616628</v>
      </c>
      <c r="M36" s="66">
        <f>IF(J36="", "", K36-L36)</f>
        <v>2735.6522038337198</v>
      </c>
      <c r="N36" s="67">
        <f>IF(J36="", "", M36/K36)</f>
        <v>0.73067633649404906</v>
      </c>
      <c r="O36" s="13" t="e">
        <f>IF(N36=MAX($N$36:$N$55),N36,NA())</f>
        <v>#N/A</v>
      </c>
      <c r="P36" s="13" t="e">
        <f t="shared" ref="P36:P55" si="8">IF(AND(N36=MIN($N$36:$N$55), MAX($N$36:$N$55)&lt;&gt;MIN($N$36:$N$55)), N36, NA())</f>
        <v>#N/A</v>
      </c>
    </row>
    <row r="37" spans="2:16" ht="17" x14ac:dyDescent="0.2">
      <c r="B37" s="71" t="s">
        <v>243</v>
      </c>
      <c r="C37" s="65">
        <f>SUMIFS($G$9:$G$26,$M$9:$M$26, "STAR")</f>
        <v>111998.90916845397</v>
      </c>
      <c r="D37" s="65">
        <f xml:space="preserve"> SUMIFS($G$9:$G$26,$M$9:$M$26, "PUZZLE")</f>
        <v>6675.8444462668158</v>
      </c>
      <c r="E37" s="65">
        <f xml:space="preserve"> SUMIFS($G$9:$G$26,$M$9:$M$26, "PLOWHORSE")</f>
        <v>26187.828251189872</v>
      </c>
      <c r="F37" s="65">
        <f xml:space="preserve"> SUMIFS($G$9:$G$26,$M$9:$M$26, "DOG")</f>
        <v>9457.5842376099099</v>
      </c>
      <c r="G37" s="65">
        <f xml:space="preserve"> SUMIFS($G$9:$G$26,$M$9:$M$26, "-")</f>
        <v>0</v>
      </c>
      <c r="H37" s="76">
        <f>SUM(C37:G37)</f>
        <v>154320.16610352058</v>
      </c>
      <c r="I37" s="22" t="str">
        <f>IF(AND(H37-G28 &gt;=-F4*F5, H37-G28 &lt;=F4*F5), "PASS", "FAIL")</f>
        <v>PASS</v>
      </c>
      <c r="J37" s="64">
        <v>45717</v>
      </c>
      <c r="K37" s="65">
        <f>IF(J37="", "", SUMIFS(raw_menu_engineering!F:F, raw_menu_engineering!A:A, "="&amp;J37, raw_menu_engineering!B:B, $C$4, raw_menu_engineering!D:D,$K$34))</f>
        <v>5184</v>
      </c>
      <c r="L37" s="65">
        <f>IF(J37="", "", SUMIFS(raw_menu_engineering!I:I, raw_menu_engineering!A:A, "="&amp;J37, raw_menu_engineering!B:B, $C$4, raw_menu_engineering!D:D,$K$34))</f>
        <v>1386.1720881792</v>
      </c>
      <c r="M37" s="66">
        <f t="shared" ref="M37:M55" si="9">IF(J37="", "", K37-L37)</f>
        <v>3797.8279118208002</v>
      </c>
      <c r="N37" s="67">
        <f t="shared" ref="N37:N55" si="10">IF(J37="", "", M37/K37)</f>
        <v>0.73260569286666666</v>
      </c>
      <c r="O37" s="13" t="e">
        <f t="shared" ref="O37:O55" si="11">IF(N37=MAX($N$36:$N$55),N37,NA())</f>
        <v>#N/A</v>
      </c>
      <c r="P37" s="13" t="e">
        <f t="shared" si="8"/>
        <v>#N/A</v>
      </c>
    </row>
    <row r="38" spans="2:16" ht="34" x14ac:dyDescent="0.2">
      <c r="B38" s="74" t="s">
        <v>249</v>
      </c>
      <c r="C38" s="67">
        <f>C37/$H$37</f>
        <v>0.72575679508615365</v>
      </c>
      <c r="D38" s="67">
        <f>D37/$H$37</f>
        <v>4.3259702311287992E-2</v>
      </c>
      <c r="E38" s="67">
        <f>E37/$H$37</f>
        <v>0.16969803048049231</v>
      </c>
      <c r="F38" s="67">
        <f>F37/$H$37</f>
        <v>6.1285472122066031E-2</v>
      </c>
      <c r="G38" s="67">
        <f>G37/$H$37</f>
        <v>0</v>
      </c>
      <c r="H38" s="75">
        <f>SUM(C38:G38)</f>
        <v>0.99999999999999989</v>
      </c>
      <c r="J38" s="64">
        <v>45748</v>
      </c>
      <c r="K38" s="65">
        <f>IF(J38="", "", SUMIFS(raw_menu_engineering!F:F, raw_menu_engineering!A:A, "="&amp;J38, raw_menu_engineering!B:B, $C$4, raw_menu_engineering!D:D,$K$34))</f>
        <v>5256</v>
      </c>
      <c r="L38" s="65">
        <f>IF(J38="", "", SUMIFS(raw_menu_engineering!I:I, raw_menu_engineering!A:A, "="&amp;J38, raw_menu_engineering!B:B, $C$4, raw_menu_engineering!D:D,$K$34))</f>
        <v>1416.9701885731999</v>
      </c>
      <c r="M38" s="66">
        <f t="shared" si="9"/>
        <v>3839.0298114267998</v>
      </c>
      <c r="N38" s="67">
        <f t="shared" si="10"/>
        <v>0.73040902043888889</v>
      </c>
      <c r="O38" s="13" t="e">
        <f t="shared" si="11"/>
        <v>#N/A</v>
      </c>
      <c r="P38" s="13">
        <f t="shared" si="8"/>
        <v>0.73040902043888889</v>
      </c>
    </row>
    <row r="39" spans="2:16" ht="17" x14ac:dyDescent="0.2">
      <c r="B39" s="71" t="s">
        <v>251</v>
      </c>
      <c r="C39" s="61" t="str" cm="1">
        <f t="array" ref="C39:C47">_xlfn._xlws.FILTER($C$9:$C$26, $M$9:$M$26="STAR", "NO STAR DISHES")</f>
        <v>Spaghetti alla Carbonara</v>
      </c>
      <c r="D39" s="61" t="str" cm="1">
        <f t="array" ref="D39">_xlfn._xlws.FILTER(C9:C26, M9:M26="PUZZLE", "NO PUZZLE DISHES")</f>
        <v>Insalata di Mare</v>
      </c>
      <c r="E39" s="61" t="str" cm="1">
        <f t="array" ref="E39:E42">_xlfn._xlws.FILTER(C9:C26, M9:M26="PLOWHORSE", "NO PLOWHORSE DISHES")</f>
        <v>Caprese Salad</v>
      </c>
      <c r="F39" s="61" t="str" cm="1">
        <f t="array" ref="F39:F40">_xlfn._xlws.FILTER(C9:C26, M9:M26="DOG", "NO DOG DISHES")</f>
        <v>Prosciutto e Melone</v>
      </c>
      <c r="G39" s="61" t="str" cm="1">
        <f t="array" ref="G39:G40">_xlfn._xlws.FILTER(C9:C26, M9:M26="-", "ALL DISHES HAVE SALES")</f>
        <v>Tiramisu</v>
      </c>
      <c r="H39" s="61"/>
      <c r="J39" s="64">
        <v>45778</v>
      </c>
      <c r="K39" s="65">
        <f>IF(J39="", "", SUMIFS(raw_menu_engineering!F:F, raw_menu_engineering!A:A, "="&amp;J39, raw_menu_engineering!B:B, $C$4, raw_menu_engineering!D:D,$K$34))</f>
        <v>5904</v>
      </c>
      <c r="L39" s="65">
        <f>IF(J39="", "", SUMIFS(raw_menu_engineering!I:I, raw_menu_engineering!A:A, "="&amp;J39, raw_menu_engineering!B:B, $C$4, raw_menu_engineering!D:D,$K$34))</f>
        <v>1577.4565962152001</v>
      </c>
      <c r="M39" s="66">
        <f t="shared" si="9"/>
        <v>4326.5434037847999</v>
      </c>
      <c r="N39" s="67">
        <f t="shared" si="10"/>
        <v>0.73281561717222221</v>
      </c>
      <c r="O39" s="13">
        <f t="shared" si="11"/>
        <v>0.73281561717222221</v>
      </c>
      <c r="P39" s="13" t="e">
        <f t="shared" si="8"/>
        <v>#N/A</v>
      </c>
    </row>
    <row r="40" spans="2:16" x14ac:dyDescent="0.2">
      <c r="B40" s="61"/>
      <c r="C40" s="77" t="str">
        <v>Margherita Pizza</v>
      </c>
      <c r="D40" s="61"/>
      <c r="E40" s="61" t="str">
        <v>Focaccia Genovese</v>
      </c>
      <c r="F40" s="61" t="str">
        <v>Panzanella</v>
      </c>
      <c r="G40" s="61" t="str">
        <v>Osso Buco</v>
      </c>
      <c r="H40" s="61"/>
      <c r="J40" s="64"/>
      <c r="K40" s="65" t="str">
        <f>IF(J40="", "", SUMIFS(raw_menu_engineering!F:F, raw_menu_engineering!A:A, "="&amp;J40, raw_menu_engineering!B:B, $C$4, raw_menu_engineering!D:D,$K$34))</f>
        <v/>
      </c>
      <c r="L40" s="65" t="str">
        <f>IF(J40="", "", SUMIFS(raw_menu_engineering!I:I, raw_menu_engineering!A:A, "="&amp;J40, raw_menu_engineering!B:B, $C$4, raw_menu_engineering!D:D,$K$34))</f>
        <v/>
      </c>
      <c r="M40" s="66" t="str">
        <f t="shared" si="9"/>
        <v/>
      </c>
      <c r="N40" s="67" t="str">
        <f t="shared" si="10"/>
        <v/>
      </c>
      <c r="O40" s="13" t="e">
        <f t="shared" si="11"/>
        <v>#N/A</v>
      </c>
      <c r="P40" s="13" t="e">
        <f t="shared" si="8"/>
        <v>#N/A</v>
      </c>
    </row>
    <row r="41" spans="2:16" x14ac:dyDescent="0.2">
      <c r="B41" s="61"/>
      <c r="C41" s="61" t="str">
        <v>Risotto alla Milanese</v>
      </c>
      <c r="D41" s="61"/>
      <c r="E41" s="61" t="str">
        <v>Cannoli</v>
      </c>
      <c r="F41" s="61"/>
      <c r="G41" s="61"/>
      <c r="H41" s="61"/>
      <c r="J41" s="64"/>
      <c r="K41" s="65" t="str">
        <f>IF(J41="", "", SUMIFS(raw_menu_engineering!F:F, raw_menu_engineering!A:A, "="&amp;J41, raw_menu_engineering!B:B, $C$4, raw_menu_engineering!D:D,$K$34))</f>
        <v/>
      </c>
      <c r="L41" s="65" t="str">
        <f>IF(J41="", "", SUMIFS(raw_menu_engineering!I:I, raw_menu_engineering!A:A, "="&amp;J41, raw_menu_engineering!B:B, $C$4, raw_menu_engineering!D:D,$K$34))</f>
        <v/>
      </c>
      <c r="M41" s="66" t="str">
        <f t="shared" si="9"/>
        <v/>
      </c>
      <c r="N41" s="67" t="str">
        <f t="shared" si="10"/>
        <v/>
      </c>
      <c r="O41" s="13" t="e">
        <f t="shared" si="11"/>
        <v>#N/A</v>
      </c>
      <c r="P41" s="13" t="e">
        <f t="shared" si="8"/>
        <v>#N/A</v>
      </c>
    </row>
    <row r="42" spans="2:16" x14ac:dyDescent="0.2">
      <c r="B42" s="61"/>
      <c r="C42" s="61" t="str">
        <v>Bucatini all'Amatriciana</v>
      </c>
      <c r="D42" s="61"/>
      <c r="E42" s="61" t="str">
        <v>Pistachio Gelato</v>
      </c>
      <c r="F42" s="61"/>
      <c r="G42" s="61"/>
      <c r="H42" s="61"/>
      <c r="J42" s="64"/>
      <c r="K42" s="65" t="str">
        <f>IF(J42="", "", SUMIFS(raw_menu_engineering!F:F, raw_menu_engineering!A:A, "="&amp;J42, raw_menu_engineering!B:B, $C$4, raw_menu_engineering!D:D,$K$34))</f>
        <v/>
      </c>
      <c r="L42" s="65" t="str">
        <f>IF(J42="", "", SUMIFS(raw_menu_engineering!I:I, raw_menu_engineering!A:A, "="&amp;J42, raw_menu_engineering!B:B, $C$4, raw_menu_engineering!D:D,$K$34))</f>
        <v/>
      </c>
      <c r="M42" s="66" t="str">
        <f t="shared" si="9"/>
        <v/>
      </c>
      <c r="N42" s="67" t="str">
        <f t="shared" si="10"/>
        <v/>
      </c>
      <c r="O42" s="13" t="e">
        <f t="shared" si="11"/>
        <v>#N/A</v>
      </c>
      <c r="P42" s="13" t="e">
        <f>IF(AND(N42=MIN($N$36:$N$55), MAX($N$36:$N$55)&lt;&gt;MIN($N$36:$N$55)), N42, NA())</f>
        <v>#N/A</v>
      </c>
    </row>
    <row r="43" spans="2:16" x14ac:dyDescent="0.2">
      <c r="B43" s="61"/>
      <c r="C43" s="61" t="str">
        <v>Cacio e Pepe</v>
      </c>
      <c r="D43" s="61"/>
      <c r="E43" s="61"/>
      <c r="F43" s="61"/>
      <c r="G43" s="61"/>
      <c r="H43" s="61"/>
      <c r="J43" s="64"/>
      <c r="K43" s="65" t="str">
        <f>IF(J43="", "", SUMIFS(raw_menu_engineering!F:F, raw_menu_engineering!A:A, "="&amp;J43, raw_menu_engineering!B:B, $C$4, raw_menu_engineering!D:D,$K$34))</f>
        <v/>
      </c>
      <c r="L43" s="65" t="str">
        <f>IF(J43="", "", SUMIFS(raw_menu_engineering!I:I, raw_menu_engineering!A:A, "="&amp;J43, raw_menu_engineering!B:B, $C$4, raw_menu_engineering!D:D,$K$34))</f>
        <v/>
      </c>
      <c r="M43" s="66" t="str">
        <f t="shared" si="9"/>
        <v/>
      </c>
      <c r="N43" s="67" t="str">
        <f t="shared" si="10"/>
        <v/>
      </c>
      <c r="O43" s="13" t="e">
        <f t="shared" si="11"/>
        <v>#N/A</v>
      </c>
      <c r="P43" s="13" t="e">
        <f t="shared" si="8"/>
        <v>#N/A</v>
      </c>
    </row>
    <row r="44" spans="2:16" x14ac:dyDescent="0.2">
      <c r="B44" s="61"/>
      <c r="C44" s="61" t="str">
        <v>Pesto alla Genovese</v>
      </c>
      <c r="D44" s="61"/>
      <c r="E44" s="61"/>
      <c r="F44" s="61"/>
      <c r="G44" s="61"/>
      <c r="H44" s="61"/>
      <c r="J44" s="64"/>
      <c r="K44" s="65" t="str">
        <f>IF(J44="", "", SUMIFS(raw_menu_engineering!F:F, raw_menu_engineering!A:A, "="&amp;J44, raw_menu_engineering!B:B, $C$4, raw_menu_engineering!D:D,$K$34))</f>
        <v/>
      </c>
      <c r="L44" s="65" t="str">
        <f>IF(J44="", "", SUMIFS(raw_menu_engineering!I:I, raw_menu_engineering!A:A, "="&amp;J44, raw_menu_engineering!B:B, $C$4, raw_menu_engineering!D:D,$K$34))</f>
        <v/>
      </c>
      <c r="M44" s="66" t="str">
        <f t="shared" si="9"/>
        <v/>
      </c>
      <c r="N44" s="67" t="str">
        <f t="shared" si="10"/>
        <v/>
      </c>
      <c r="O44" s="13" t="e">
        <f t="shared" si="11"/>
        <v>#N/A</v>
      </c>
      <c r="P44" s="13" t="e">
        <f t="shared" si="8"/>
        <v>#N/A</v>
      </c>
    </row>
    <row r="45" spans="2:16" x14ac:dyDescent="0.2">
      <c r="B45" s="61"/>
      <c r="C45" s="61" t="str">
        <v>Quattro Formaggi Pizza</v>
      </c>
      <c r="D45" s="61"/>
      <c r="E45" s="61"/>
      <c r="F45" s="61"/>
      <c r="G45" s="61"/>
      <c r="H45" s="58"/>
      <c r="J45" s="64"/>
      <c r="K45" s="65" t="str">
        <f>IF(J45="", "", SUMIFS(raw_menu_engineering!F:F, raw_menu_engineering!A:A, "="&amp;J45, raw_menu_engineering!B:B, $C$4, raw_menu_engineering!D:D,$K$34))</f>
        <v/>
      </c>
      <c r="L45" s="65" t="str">
        <f>IF(J45="", "", SUMIFS(raw_menu_engineering!I:I, raw_menu_engineering!A:A, "="&amp;J45, raw_menu_engineering!B:B, $C$4, raw_menu_engineering!D:D,$K$34))</f>
        <v/>
      </c>
      <c r="M45" s="66" t="str">
        <f t="shared" si="9"/>
        <v/>
      </c>
      <c r="N45" s="67" t="str">
        <f t="shared" si="10"/>
        <v/>
      </c>
      <c r="O45" s="13" t="e">
        <f t="shared" si="11"/>
        <v>#N/A</v>
      </c>
      <c r="P45" s="13" t="e">
        <f t="shared" si="8"/>
        <v>#N/A</v>
      </c>
    </row>
    <row r="46" spans="2:16" x14ac:dyDescent="0.2">
      <c r="B46" s="61"/>
      <c r="C46" s="61" t="str">
        <v>Porchetta</v>
      </c>
      <c r="D46" s="61"/>
      <c r="E46" s="61"/>
      <c r="F46" s="61"/>
      <c r="G46" s="61"/>
      <c r="H46" s="58"/>
      <c r="J46" s="64"/>
      <c r="K46" s="65" t="str">
        <f>IF(J46="", "", SUMIFS(raw_menu_engineering!F:F, raw_menu_engineering!A:A, "="&amp;J46, raw_menu_engineering!B:B, $C$4, raw_menu_engineering!D:D,$K$34))</f>
        <v/>
      </c>
      <c r="L46" s="65" t="str">
        <f>IF(J46="", "", SUMIFS(raw_menu_engineering!I:I, raw_menu_engineering!A:A, "="&amp;J46, raw_menu_engineering!B:B, $C$4, raw_menu_engineering!D:D,$K$34))</f>
        <v/>
      </c>
      <c r="M46" s="66" t="str">
        <f t="shared" si="9"/>
        <v/>
      </c>
      <c r="N46" s="67" t="str">
        <f t="shared" si="10"/>
        <v/>
      </c>
      <c r="O46" s="13" t="e">
        <f t="shared" si="11"/>
        <v>#N/A</v>
      </c>
      <c r="P46" s="13" t="e">
        <f t="shared" si="8"/>
        <v>#N/A</v>
      </c>
    </row>
    <row r="47" spans="2:16" x14ac:dyDescent="0.2">
      <c r="B47" s="78"/>
      <c r="C47" s="61" t="str">
        <v>Pollo alla Griglia</v>
      </c>
      <c r="D47" s="61"/>
      <c r="E47" s="61"/>
      <c r="F47" s="61"/>
      <c r="G47" s="61"/>
      <c r="H47" s="58"/>
      <c r="J47" s="64"/>
      <c r="K47" s="65" t="str">
        <f>IF(J47="", "", SUMIFS(raw_menu_engineering!F:F, raw_menu_engineering!A:A, "="&amp;J47, raw_menu_engineering!B:B, $C$4, raw_menu_engineering!D:D,$K$34))</f>
        <v/>
      </c>
      <c r="L47" s="65" t="str">
        <f>IF(J47="", "", SUMIFS(raw_menu_engineering!I:I, raw_menu_engineering!A:A, "="&amp;J47, raw_menu_engineering!B:B, $C$4, raw_menu_engineering!D:D,$K$34))</f>
        <v/>
      </c>
      <c r="M47" s="66" t="str">
        <f t="shared" si="9"/>
        <v/>
      </c>
      <c r="N47" s="67" t="str">
        <f t="shared" si="10"/>
        <v/>
      </c>
      <c r="O47" s="13" t="e">
        <f t="shared" si="11"/>
        <v>#N/A</v>
      </c>
      <c r="P47" s="13" t="e">
        <f t="shared" si="8"/>
        <v>#N/A</v>
      </c>
    </row>
    <row r="48" spans="2:16" x14ac:dyDescent="0.2">
      <c r="G48" s="23"/>
      <c r="H48" s="17"/>
      <c r="I48" s="17"/>
      <c r="J48" s="64"/>
      <c r="K48" s="65" t="str">
        <f>IF(J48="", "", SUMIFS(raw_menu_engineering!F:F, raw_menu_engineering!A:A, "="&amp;J48, raw_menu_engineering!B:B, $C$4, raw_menu_engineering!D:D,$K$34))</f>
        <v/>
      </c>
      <c r="L48" s="65" t="str">
        <f>IF(J48="", "", SUMIFS(raw_menu_engineering!I:I, raw_menu_engineering!A:A, "="&amp;J48, raw_menu_engineering!B:B, $C$4, raw_menu_engineering!D:D,$K$34))</f>
        <v/>
      </c>
      <c r="M48" s="66" t="str">
        <f t="shared" si="9"/>
        <v/>
      </c>
      <c r="N48" s="67" t="str">
        <f t="shared" si="10"/>
        <v/>
      </c>
      <c r="O48" s="13" t="e">
        <f t="shared" si="11"/>
        <v>#N/A</v>
      </c>
      <c r="P48" s="13" t="e">
        <f t="shared" si="8"/>
        <v>#N/A</v>
      </c>
    </row>
    <row r="49" spans="5:16" x14ac:dyDescent="0.2">
      <c r="E49" s="28"/>
      <c r="G49" s="28"/>
      <c r="H49" s="28"/>
      <c r="I49" s="26"/>
      <c r="J49" s="64"/>
      <c r="K49" s="65" t="str">
        <f>IF(J49="", "", SUMIFS(raw_menu_engineering!F:F, raw_menu_engineering!A:A, "="&amp;J49, raw_menu_engineering!B:B, $C$4, raw_menu_engineering!D:D,$K$34))</f>
        <v/>
      </c>
      <c r="L49" s="65" t="str">
        <f>IF(J49="", "", SUMIFS(raw_menu_engineering!I:I, raw_menu_engineering!A:A, "="&amp;J49, raw_menu_engineering!B:B, $C$4, raw_menu_engineering!D:D,$K$34))</f>
        <v/>
      </c>
      <c r="M49" s="66" t="str">
        <f t="shared" si="9"/>
        <v/>
      </c>
      <c r="N49" s="67" t="str">
        <f t="shared" si="10"/>
        <v/>
      </c>
      <c r="O49" s="13" t="e">
        <f t="shared" si="11"/>
        <v>#N/A</v>
      </c>
      <c r="P49" s="13" t="e">
        <f t="shared" si="8"/>
        <v>#N/A</v>
      </c>
    </row>
    <row r="50" spans="5:16" x14ac:dyDescent="0.2">
      <c r="E50" s="28"/>
      <c r="G50" s="28"/>
      <c r="H50" s="28"/>
      <c r="I50" s="26"/>
      <c r="J50" s="64"/>
      <c r="K50" s="65" t="str">
        <f>IF(J50="", "", SUMIFS(raw_menu_engineering!F:F, raw_menu_engineering!A:A, "="&amp;J50, raw_menu_engineering!B:B, $C$4, raw_menu_engineering!D:D,$K$34))</f>
        <v/>
      </c>
      <c r="L50" s="65" t="str">
        <f>IF(J50="", "", SUMIFS(raw_menu_engineering!I:I, raw_menu_engineering!A:A, "="&amp;J50, raw_menu_engineering!B:B, $C$4, raw_menu_engineering!D:D,$K$34))</f>
        <v/>
      </c>
      <c r="M50" s="66" t="str">
        <f t="shared" si="9"/>
        <v/>
      </c>
      <c r="N50" s="67" t="str">
        <f t="shared" si="10"/>
        <v/>
      </c>
      <c r="O50" s="13" t="e">
        <f t="shared" si="11"/>
        <v>#N/A</v>
      </c>
      <c r="P50" s="13" t="e">
        <f t="shared" si="8"/>
        <v>#N/A</v>
      </c>
    </row>
    <row r="51" spans="5:16" x14ac:dyDescent="0.2">
      <c r="E51" s="28"/>
      <c r="G51" s="28"/>
      <c r="H51" s="28"/>
      <c r="I51" s="26"/>
      <c r="J51" s="68"/>
      <c r="K51" s="65" t="str">
        <f>IF(J51="", "", SUMIFS(raw_menu_engineering!F:F, raw_menu_engineering!A:A, "="&amp;J51, raw_menu_engineering!B:B, $C$4, raw_menu_engineering!D:D,$K$34))</f>
        <v/>
      </c>
      <c r="L51" s="65" t="str">
        <f>IF(J51="", "", SUMIFS(raw_menu_engineering!I:I, raw_menu_engineering!A:A, "="&amp;J51, raw_menu_engineering!B:B, $C$4, raw_menu_engineering!D:D,$K$34))</f>
        <v/>
      </c>
      <c r="M51" s="66" t="str">
        <f t="shared" si="9"/>
        <v/>
      </c>
      <c r="N51" s="67" t="str">
        <f t="shared" si="10"/>
        <v/>
      </c>
      <c r="O51" s="13" t="e">
        <f t="shared" si="11"/>
        <v>#N/A</v>
      </c>
      <c r="P51" s="13" t="e">
        <f t="shared" si="8"/>
        <v>#N/A</v>
      </c>
    </row>
    <row r="52" spans="5:16" x14ac:dyDescent="0.2">
      <c r="E52" s="28"/>
      <c r="G52" s="28"/>
      <c r="H52" s="28"/>
      <c r="I52" s="26"/>
      <c r="J52" s="68"/>
      <c r="K52" s="65" t="str">
        <f>IF(J52="", "", SUMIFS(raw_menu_engineering!F:F, raw_menu_engineering!A:A, "="&amp;J52, raw_menu_engineering!B:B, $C$4, raw_menu_engineering!D:D,$K$34))</f>
        <v/>
      </c>
      <c r="L52" s="65" t="str">
        <f>IF(J52="", "", SUMIFS(raw_menu_engineering!I:I, raw_menu_engineering!A:A, "="&amp;J52, raw_menu_engineering!B:B, $C$4, raw_menu_engineering!D:D,$K$34))</f>
        <v/>
      </c>
      <c r="M52" s="66" t="str">
        <f t="shared" si="9"/>
        <v/>
      </c>
      <c r="N52" s="67" t="str">
        <f t="shared" si="10"/>
        <v/>
      </c>
      <c r="O52" s="13" t="e">
        <f t="shared" si="11"/>
        <v>#N/A</v>
      </c>
      <c r="P52" s="13" t="e">
        <f t="shared" si="8"/>
        <v>#N/A</v>
      </c>
    </row>
    <row r="53" spans="5:16" x14ac:dyDescent="0.2">
      <c r="E53" s="28"/>
      <c r="G53" s="52"/>
      <c r="H53" s="28"/>
      <c r="I53" s="26"/>
      <c r="J53" s="68"/>
      <c r="K53" s="65" t="str">
        <f>IF(J53="", "", SUMIFS(raw_menu_engineering!F:F, raw_menu_engineering!A:A, "="&amp;J53, raw_menu_engineering!B:B, $C$4, raw_menu_engineering!D:D,$K$34))</f>
        <v/>
      </c>
      <c r="L53" s="65" t="str">
        <f>IF(J53="", "", SUMIFS(raw_menu_engineering!I:I, raw_menu_engineering!A:A, "="&amp;J53, raw_menu_engineering!B:B, $C$4, raw_menu_engineering!D:D,$K$34))</f>
        <v/>
      </c>
      <c r="M53" s="66" t="str">
        <f t="shared" si="9"/>
        <v/>
      </c>
      <c r="N53" s="67" t="str">
        <f t="shared" si="10"/>
        <v/>
      </c>
      <c r="O53" s="13" t="e">
        <f t="shared" si="11"/>
        <v>#N/A</v>
      </c>
      <c r="P53" s="13" t="e">
        <f t="shared" si="8"/>
        <v>#N/A</v>
      </c>
    </row>
    <row r="54" spans="5:16" x14ac:dyDescent="0.2">
      <c r="E54" s="28"/>
      <c r="G54" s="28"/>
      <c r="H54" s="28"/>
      <c r="I54" s="26"/>
      <c r="J54" s="68"/>
      <c r="K54" s="65" t="str">
        <f>IF(J54="", "", SUMIFS(raw_menu_engineering!F:F, raw_menu_engineering!A:A, "="&amp;J54, raw_menu_engineering!B:B, $C$4, raw_menu_engineering!D:D,$K$34))</f>
        <v/>
      </c>
      <c r="L54" s="65" t="str">
        <f>IF(J54="", "", SUMIFS(raw_menu_engineering!I:I, raw_menu_engineering!A:A, "="&amp;J54, raw_menu_engineering!B:B, $C$4, raw_menu_engineering!D:D,$K$34))</f>
        <v/>
      </c>
      <c r="M54" s="66" t="str">
        <f t="shared" si="9"/>
        <v/>
      </c>
      <c r="N54" s="67" t="str">
        <f t="shared" si="10"/>
        <v/>
      </c>
      <c r="O54" s="13" t="e">
        <f t="shared" si="11"/>
        <v>#N/A</v>
      </c>
      <c r="P54" s="13" t="e">
        <f t="shared" si="8"/>
        <v>#N/A</v>
      </c>
    </row>
    <row r="55" spans="5:16" x14ac:dyDescent="0.2">
      <c r="E55" s="28"/>
      <c r="G55" s="28"/>
      <c r="H55" s="28"/>
      <c r="I55" s="26"/>
      <c r="J55" s="68"/>
      <c r="K55" s="65" t="str">
        <f>IF(J55="", "", SUMIFS(raw_menu_engineering!F:F, raw_menu_engineering!A:A, "="&amp;J55, raw_menu_engineering!B:B, $C$4, raw_menu_engineering!D:D,$K$34))</f>
        <v/>
      </c>
      <c r="L55" s="65" t="str">
        <f>IF(J55="", "", SUMIFS(raw_menu_engineering!I:I, raw_menu_engineering!A:A, "="&amp;J55, raw_menu_engineering!B:B, $C$4, raw_menu_engineering!D:D,$K$34))</f>
        <v/>
      </c>
      <c r="M55" s="66" t="str">
        <f t="shared" si="9"/>
        <v/>
      </c>
      <c r="N55" s="67" t="str">
        <f t="shared" si="10"/>
        <v/>
      </c>
      <c r="O55" s="13" t="e">
        <f t="shared" si="11"/>
        <v>#N/A</v>
      </c>
      <c r="P55" s="13" t="e">
        <f t="shared" si="8"/>
        <v>#N/A</v>
      </c>
    </row>
    <row r="56" spans="5:16" x14ac:dyDescent="0.2">
      <c r="E56" s="28"/>
      <c r="G56" s="28"/>
      <c r="H56" s="28"/>
      <c r="I56" s="26"/>
      <c r="J56" s="65" t="s">
        <v>255</v>
      </c>
      <c r="K56" s="69">
        <f>SUM(K36:K55)</f>
        <v>20088</v>
      </c>
      <c r="L56" s="69">
        <f>SUM(L36:L55)</f>
        <v>5388.9466691338803</v>
      </c>
      <c r="M56" s="69">
        <f>SUM(M36:M55)</f>
        <v>14699.053330866118</v>
      </c>
      <c r="N56" s="70"/>
    </row>
    <row r="57" spans="5:16" x14ac:dyDescent="0.2">
      <c r="K57" s="18"/>
      <c r="L57" s="34"/>
      <c r="M57" s="27"/>
      <c r="N57" s="10"/>
    </row>
    <row r="58" spans="5:16" x14ac:dyDescent="0.2">
      <c r="K58" s="18"/>
      <c r="L58" s="18"/>
    </row>
    <row r="59" spans="5:16" x14ac:dyDescent="0.2">
      <c r="K59" s="18"/>
      <c r="L59" s="18"/>
    </row>
    <row r="60" spans="5:16" x14ac:dyDescent="0.2">
      <c r="K60" s="18"/>
      <c r="L60" s="18"/>
    </row>
    <row r="61" spans="5:16" x14ac:dyDescent="0.2">
      <c r="K61" s="18"/>
      <c r="L61" s="18"/>
    </row>
    <row r="62" spans="5:16" x14ac:dyDescent="0.2">
      <c r="K62" s="18"/>
      <c r="L62" s="18"/>
    </row>
    <row r="63" spans="5:16" x14ac:dyDescent="0.2">
      <c r="K63" s="18"/>
      <c r="L63" s="18"/>
    </row>
    <row r="64" spans="5:16" x14ac:dyDescent="0.2">
      <c r="K64" s="18"/>
      <c r="L64" s="18"/>
    </row>
    <row r="65" spans="4:12" x14ac:dyDescent="0.2">
      <c r="K65" s="18"/>
      <c r="L65" s="18"/>
    </row>
    <row r="66" spans="4:12" x14ac:dyDescent="0.2">
      <c r="K66" s="18"/>
      <c r="L66" s="18"/>
    </row>
    <row r="67" spans="4:12" x14ac:dyDescent="0.2">
      <c r="K67" s="18"/>
      <c r="L67" s="18"/>
    </row>
    <row r="68" spans="4:12" x14ac:dyDescent="0.2">
      <c r="K68" s="18"/>
      <c r="L68" s="18"/>
    </row>
    <row r="69" spans="4:12" x14ac:dyDescent="0.2">
      <c r="K69" s="18"/>
      <c r="L69" s="18"/>
    </row>
    <row r="70" spans="4:12" x14ac:dyDescent="0.2">
      <c r="K70" s="18"/>
      <c r="L70" s="18"/>
    </row>
    <row r="71" spans="4:12" x14ac:dyDescent="0.2">
      <c r="K71" s="18"/>
      <c r="L71" s="18"/>
    </row>
    <row r="72" spans="4:12" x14ac:dyDescent="0.2">
      <c r="K72" s="18"/>
      <c r="L72" s="18"/>
    </row>
    <row r="73" spans="4:12" x14ac:dyDescent="0.2">
      <c r="K73" s="18"/>
      <c r="L73" s="18"/>
    </row>
    <row r="74" spans="4:12" x14ac:dyDescent="0.2">
      <c r="K74" s="18"/>
      <c r="L74" s="18"/>
    </row>
    <row r="75" spans="4:12" x14ac:dyDescent="0.2">
      <c r="K75" s="18"/>
      <c r="L75" s="18"/>
    </row>
    <row r="76" spans="4:12" x14ac:dyDescent="0.2">
      <c r="K76" s="18"/>
      <c r="L76" s="18"/>
    </row>
    <row r="77" spans="4:12" x14ac:dyDescent="0.2">
      <c r="K77" s="18"/>
      <c r="L77" s="18"/>
    </row>
    <row r="78" spans="4:12" x14ac:dyDescent="0.2">
      <c r="D78" s="10" t="s">
        <v>258</v>
      </c>
      <c r="E78" s="10" t="s">
        <v>259</v>
      </c>
      <c r="F78" s="10" t="s">
        <v>260</v>
      </c>
      <c r="G78" s="10" t="s">
        <v>261</v>
      </c>
      <c r="K78" s="18"/>
      <c r="L78" s="18"/>
    </row>
    <row r="79" spans="4:12" x14ac:dyDescent="0.2">
      <c r="D79" s="28" cm="1">
        <f t="array" ref="D79:D96">IF(I9:I26="-", NA(), I9:I26)</f>
        <v>9.0429929723026048E-2</v>
      </c>
      <c r="E79" cm="1">
        <f t="array" ref="E79:E96">IF(K9:K26="-", NA(), K9:K26)</f>
        <v>18.231402255203502</v>
      </c>
      <c r="F79" s="13">
        <f>$L$6</f>
        <v>4.3749999999999997E-2</v>
      </c>
      <c r="G79">
        <v>0</v>
      </c>
      <c r="K79" s="18"/>
      <c r="L79" s="18"/>
    </row>
    <row r="80" spans="4:12" x14ac:dyDescent="0.2">
      <c r="D80" s="28">
        <v>8.6502687060768912E-2</v>
      </c>
      <c r="E80">
        <v>17.561592987892617</v>
      </c>
      <c r="F80" s="13">
        <f>$L$6</f>
        <v>4.3749999999999997E-2</v>
      </c>
      <c r="G80" s="26" cm="1">
        <f t="array" ref="G80">MAX(IFERROR(_xlfn.ANCHORARRAY(E79),0)+ 10)</f>
        <v>33.591847751513932</v>
      </c>
      <c r="K80" s="18"/>
      <c r="L80" s="18"/>
    </row>
    <row r="81" spans="4:12" x14ac:dyDescent="0.2">
      <c r="D81" s="28">
        <v>5.0950806118230677E-2</v>
      </c>
      <c r="E81">
        <v>22.027502094555263</v>
      </c>
      <c r="K81" s="18"/>
      <c r="L81" s="18"/>
    </row>
    <row r="82" spans="4:12" x14ac:dyDescent="0.2">
      <c r="D82" s="28">
        <v>5.8598594460520875E-2</v>
      </c>
      <c r="E82">
        <v>14.192325531588995</v>
      </c>
      <c r="F82" s="10" t="s">
        <v>262</v>
      </c>
      <c r="G82" s="10" t="s">
        <v>263</v>
      </c>
      <c r="K82" s="18"/>
      <c r="L82" s="18"/>
    </row>
    <row r="83" spans="4:12" x14ac:dyDescent="0.2">
      <c r="D83" s="28">
        <v>3.8445638693675073E-2</v>
      </c>
      <c r="E83">
        <v>14.513402077732975</v>
      </c>
      <c r="F83" s="27">
        <f>$L$7</f>
        <v>15.948756314956654</v>
      </c>
      <c r="G83">
        <v>0</v>
      </c>
      <c r="K83" s="18"/>
      <c r="L83" s="18"/>
    </row>
    <row r="84" spans="4:12" x14ac:dyDescent="0.2">
      <c r="D84" s="28">
        <v>5.9322033898305086E-2</v>
      </c>
      <c r="E84">
        <v>18.490192566057118</v>
      </c>
      <c r="F84" s="27">
        <f>$L$7</f>
        <v>15.948756314956654</v>
      </c>
      <c r="G84" s="28" cm="1">
        <f t="array" ref="G84">MAX(IFERROR(D79:D96,0)+0.01)</f>
        <v>0.1034270359652749</v>
      </c>
      <c r="K84" s="18"/>
      <c r="L84" s="18"/>
    </row>
    <row r="85" spans="4:12" x14ac:dyDescent="0.2">
      <c r="D85" s="28" t="e">
        <v>#N/A</v>
      </c>
      <c r="E85" t="e">
        <v>#N/A</v>
      </c>
      <c r="K85" s="18"/>
      <c r="L85" s="18"/>
    </row>
    <row r="86" spans="4:12" x14ac:dyDescent="0.2">
      <c r="D86" s="28">
        <v>4.8677139313766021E-2</v>
      </c>
      <c r="E86">
        <v>11.82103310360408</v>
      </c>
      <c r="K86" s="18"/>
      <c r="L86" s="18"/>
    </row>
    <row r="87" spans="4:12" x14ac:dyDescent="0.2">
      <c r="D87" s="28" t="e">
        <v>#N/A</v>
      </c>
      <c r="E87" t="e">
        <v>#N/A</v>
      </c>
      <c r="K87" s="18"/>
      <c r="L87" s="18"/>
    </row>
    <row r="88" spans="4:12" x14ac:dyDescent="0.2">
      <c r="D88" s="28">
        <v>3.503513848697809E-2</v>
      </c>
      <c r="E88">
        <v>11.972267447472692</v>
      </c>
      <c r="K88" s="18"/>
      <c r="L88" s="18"/>
    </row>
    <row r="89" spans="4:12" x14ac:dyDescent="0.2">
      <c r="D89" s="28">
        <v>8.5365853658536592E-2</v>
      </c>
      <c r="E89">
        <v>19.132898115566988</v>
      </c>
      <c r="K89" s="18"/>
      <c r="L89" s="18"/>
    </row>
    <row r="90" spans="4:12" x14ac:dyDescent="0.2">
      <c r="D90" s="28">
        <v>5.6221579164944191E-2</v>
      </c>
      <c r="E90">
        <v>19.496950766295399</v>
      </c>
      <c r="K90" s="18"/>
      <c r="L90" s="18"/>
    </row>
    <row r="91" spans="4:12" x14ac:dyDescent="0.2">
      <c r="D91" s="28">
        <v>6.2939231087226127E-2</v>
      </c>
      <c r="E91">
        <v>16.729161943833954</v>
      </c>
      <c r="K91" s="18"/>
      <c r="L91" s="18"/>
    </row>
    <row r="92" spans="4:12" x14ac:dyDescent="0.2">
      <c r="D92" s="28">
        <v>5.1880942538238939E-2</v>
      </c>
      <c r="E92">
        <v>23.591847751513932</v>
      </c>
      <c r="K92" s="18"/>
      <c r="L92" s="18"/>
    </row>
    <row r="93" spans="4:12" x14ac:dyDescent="0.2">
      <c r="D93" s="28">
        <v>5.3017775940471266E-2</v>
      </c>
      <c r="E93">
        <v>22.286876302873978</v>
      </c>
      <c r="K93" s="18"/>
      <c r="L93" s="18"/>
    </row>
    <row r="94" spans="4:12" x14ac:dyDescent="0.2">
      <c r="D94" s="28">
        <v>9.3427035965274907E-2</v>
      </c>
      <c r="E94">
        <v>7.4421336996627083</v>
      </c>
      <c r="K94" s="18"/>
      <c r="L94" s="18"/>
    </row>
    <row r="95" spans="4:12" x14ac:dyDescent="0.2">
      <c r="D95" s="28">
        <v>9.0739975196362135E-2</v>
      </c>
      <c r="E95">
        <v>6.657613005109682</v>
      </c>
      <c r="K95" s="18"/>
      <c r="L95" s="18"/>
    </row>
    <row r="96" spans="4:12" x14ac:dyDescent="0.2">
      <c r="D96" s="28">
        <v>3.8445638693675073E-2</v>
      </c>
      <c r="E96">
        <v>17.945818403943054</v>
      </c>
      <c r="K96" s="18"/>
      <c r="L96" s="18"/>
    </row>
    <row r="97" spans="11:12" x14ac:dyDescent="0.2">
      <c r="K97" s="18"/>
      <c r="L97" s="18"/>
    </row>
    <row r="98" spans="11:12" x14ac:dyDescent="0.2">
      <c r="K98" s="18"/>
      <c r="L98" s="18"/>
    </row>
    <row r="99" spans="11:12" x14ac:dyDescent="0.2">
      <c r="K99" s="18"/>
      <c r="L99" s="18"/>
    </row>
    <row r="100" spans="11:12" x14ac:dyDescent="0.2">
      <c r="K100" s="18"/>
      <c r="L100" s="18"/>
    </row>
    <row r="101" spans="11:12" x14ac:dyDescent="0.2">
      <c r="K101" s="18"/>
      <c r="L101" s="18"/>
    </row>
    <row r="102" spans="11:12" x14ac:dyDescent="0.2">
      <c r="K102" s="18"/>
      <c r="L102" s="18"/>
    </row>
    <row r="103" spans="11:12" x14ac:dyDescent="0.2">
      <c r="K103" s="18"/>
      <c r="L103" s="18"/>
    </row>
    <row r="104" spans="11:12" x14ac:dyDescent="0.2">
      <c r="K104" s="18"/>
      <c r="L104" s="18"/>
    </row>
    <row r="105" spans="11:12" x14ac:dyDescent="0.2">
      <c r="K105" s="18"/>
      <c r="L105" s="18"/>
    </row>
    <row r="106" spans="11:12" x14ac:dyDescent="0.2">
      <c r="K106" s="18"/>
      <c r="L106" s="18"/>
    </row>
    <row r="107" spans="11:12" x14ac:dyDescent="0.2">
      <c r="K107" s="18"/>
      <c r="L107" s="18"/>
    </row>
    <row r="108" spans="11:12" x14ac:dyDescent="0.2">
      <c r="K108" s="18"/>
      <c r="L108" s="18"/>
    </row>
    <row r="109" spans="11:12" x14ac:dyDescent="0.2">
      <c r="K109" s="18"/>
      <c r="L109" s="18"/>
    </row>
    <row r="110" spans="11:12" x14ac:dyDescent="0.2">
      <c r="K110" s="18"/>
      <c r="L110" s="18"/>
    </row>
    <row r="111" spans="11:12" x14ac:dyDescent="0.2">
      <c r="K111" s="18"/>
      <c r="L111" s="18"/>
    </row>
    <row r="112" spans="11:12" x14ac:dyDescent="0.2">
      <c r="K112" s="18"/>
      <c r="L112" s="18"/>
    </row>
    <row r="113" spans="11:12" x14ac:dyDescent="0.2">
      <c r="K113" s="18"/>
      <c r="L113" s="18"/>
    </row>
    <row r="114" spans="11:12" x14ac:dyDescent="0.2">
      <c r="K114" s="18"/>
      <c r="L114" s="18"/>
    </row>
    <row r="115" spans="11:12" x14ac:dyDescent="0.2">
      <c r="K115" s="18"/>
      <c r="L115" s="18"/>
    </row>
    <row r="116" spans="11:12" x14ac:dyDescent="0.2">
      <c r="K116" s="18"/>
      <c r="L116" s="18"/>
    </row>
    <row r="117" spans="11:12" x14ac:dyDescent="0.2">
      <c r="K117" s="18"/>
      <c r="L117" s="18"/>
    </row>
    <row r="118" spans="11:12" x14ac:dyDescent="0.2">
      <c r="K118" s="18"/>
      <c r="L118" s="18"/>
    </row>
    <row r="119" spans="11:12" x14ac:dyDescent="0.2">
      <c r="K119" s="18"/>
      <c r="L119" s="18"/>
    </row>
    <row r="120" spans="11:12" x14ac:dyDescent="0.2">
      <c r="K120" s="18"/>
      <c r="L120" s="18"/>
    </row>
    <row r="121" spans="11:12" x14ac:dyDescent="0.2">
      <c r="K121" s="18"/>
      <c r="L121" s="18"/>
    </row>
    <row r="122" spans="11:12" x14ac:dyDescent="0.2">
      <c r="K122" s="18"/>
      <c r="L122" s="18"/>
    </row>
    <row r="123" spans="11:12" x14ac:dyDescent="0.2">
      <c r="K123" s="18"/>
      <c r="L123" s="18"/>
    </row>
    <row r="124" spans="11:12" x14ac:dyDescent="0.2">
      <c r="K124" s="18"/>
      <c r="L124" s="18"/>
    </row>
    <row r="125" spans="11:12" x14ac:dyDescent="0.2">
      <c r="K125" s="18"/>
      <c r="L125" s="18"/>
    </row>
    <row r="126" spans="11:12" x14ac:dyDescent="0.2">
      <c r="K126" s="18"/>
      <c r="L126" s="18"/>
    </row>
    <row r="127" spans="11:12" x14ac:dyDescent="0.2">
      <c r="K127" s="18"/>
      <c r="L127" s="18"/>
    </row>
    <row r="128" spans="11:12" x14ac:dyDescent="0.2">
      <c r="K128" s="18"/>
      <c r="L128" s="18"/>
    </row>
    <row r="129" spans="11:12" x14ac:dyDescent="0.2">
      <c r="K129" s="18"/>
      <c r="L129" s="18"/>
    </row>
    <row r="130" spans="11:12" x14ac:dyDescent="0.2">
      <c r="K130" s="18"/>
      <c r="L130" s="18"/>
    </row>
    <row r="131" spans="11:12" x14ac:dyDescent="0.2">
      <c r="K131" s="18"/>
      <c r="L131" s="18"/>
    </row>
    <row r="132" spans="11:12" x14ac:dyDescent="0.2">
      <c r="K132" s="18"/>
      <c r="L132" s="18"/>
    </row>
    <row r="133" spans="11:12" x14ac:dyDescent="0.2">
      <c r="K133" s="18"/>
      <c r="L133" s="18"/>
    </row>
    <row r="134" spans="11:12" x14ac:dyDescent="0.2">
      <c r="K134" s="18"/>
      <c r="L134" s="18"/>
    </row>
    <row r="135" spans="11:12" x14ac:dyDescent="0.2">
      <c r="K135" s="18"/>
      <c r="L135" s="18"/>
    </row>
    <row r="136" spans="11:12" x14ac:dyDescent="0.2">
      <c r="K136" s="18"/>
      <c r="L136" s="18"/>
    </row>
    <row r="137" spans="11:12" x14ac:dyDescent="0.2">
      <c r="K137" s="18"/>
      <c r="L137" s="18"/>
    </row>
    <row r="138" spans="11:12" x14ac:dyDescent="0.2">
      <c r="K138" s="18"/>
      <c r="L138" s="18"/>
    </row>
    <row r="139" spans="11:12" x14ac:dyDescent="0.2">
      <c r="K139" s="18"/>
      <c r="L139" s="18"/>
    </row>
    <row r="140" spans="11:12" x14ac:dyDescent="0.2">
      <c r="K140" s="18"/>
      <c r="L140" s="18"/>
    </row>
    <row r="141" spans="11:12" x14ac:dyDescent="0.2">
      <c r="K141" s="18"/>
      <c r="L141" s="18"/>
    </row>
    <row r="142" spans="11:12" x14ac:dyDescent="0.2">
      <c r="K142" s="18"/>
      <c r="L142" s="18"/>
    </row>
    <row r="143" spans="11:12" x14ac:dyDescent="0.2">
      <c r="K143" s="18"/>
      <c r="L143" s="18"/>
    </row>
    <row r="144" spans="11:12" x14ac:dyDescent="0.2">
      <c r="K144" s="18"/>
      <c r="L144" s="18"/>
    </row>
    <row r="145" spans="11:12" x14ac:dyDescent="0.2">
      <c r="K145" s="18"/>
      <c r="L145" s="18"/>
    </row>
    <row r="146" spans="11:12" x14ac:dyDescent="0.2">
      <c r="K146" s="18"/>
      <c r="L146" s="18"/>
    </row>
    <row r="147" spans="11:12" x14ac:dyDescent="0.2">
      <c r="K147" s="18"/>
      <c r="L147" s="18"/>
    </row>
    <row r="148" spans="11:12" x14ac:dyDescent="0.2">
      <c r="K148" s="18"/>
      <c r="L148" s="18"/>
    </row>
    <row r="149" spans="11:12" x14ac:dyDescent="0.2">
      <c r="K149" s="18"/>
      <c r="L149" s="18"/>
    </row>
    <row r="150" spans="11:12" x14ac:dyDescent="0.2">
      <c r="K150" s="18"/>
      <c r="L150" s="18"/>
    </row>
    <row r="151" spans="11:12" x14ac:dyDescent="0.2">
      <c r="K151" s="18"/>
      <c r="L151" s="18"/>
    </row>
    <row r="152" spans="11:12" x14ac:dyDescent="0.2">
      <c r="K152" s="18"/>
      <c r="L152" s="18"/>
    </row>
    <row r="153" spans="11:12" x14ac:dyDescent="0.2">
      <c r="K153" s="18"/>
      <c r="L153" s="18"/>
    </row>
    <row r="154" spans="11:12" x14ac:dyDescent="0.2">
      <c r="K154" s="18"/>
      <c r="L154" s="18"/>
    </row>
    <row r="155" spans="11:12" x14ac:dyDescent="0.2">
      <c r="K155" s="18"/>
      <c r="L155" s="18"/>
    </row>
    <row r="156" spans="11:12" x14ac:dyDescent="0.2">
      <c r="K156" s="18"/>
      <c r="L156" s="18"/>
    </row>
    <row r="157" spans="11:12" x14ac:dyDescent="0.2">
      <c r="K157" s="18"/>
      <c r="L157" s="18"/>
    </row>
    <row r="158" spans="11:12" x14ac:dyDescent="0.2">
      <c r="K158" s="18"/>
      <c r="L158" s="18"/>
    </row>
    <row r="159" spans="11:12" x14ac:dyDescent="0.2">
      <c r="K159" s="18"/>
      <c r="L159" s="18"/>
    </row>
    <row r="160" spans="11:12" x14ac:dyDescent="0.2">
      <c r="K160" s="18"/>
      <c r="L160" s="18"/>
    </row>
    <row r="161" spans="11:12" x14ac:dyDescent="0.2">
      <c r="K161" s="18"/>
      <c r="L161" s="18"/>
    </row>
    <row r="162" spans="11:12" x14ac:dyDescent="0.2">
      <c r="K162" s="18"/>
      <c r="L162" s="18"/>
    </row>
    <row r="163" spans="11:12" x14ac:dyDescent="0.2">
      <c r="K163" s="18"/>
      <c r="L163" s="18"/>
    </row>
    <row r="164" spans="11:12" x14ac:dyDescent="0.2">
      <c r="K164" s="18"/>
      <c r="L164" s="18"/>
    </row>
    <row r="165" spans="11:12" x14ac:dyDescent="0.2">
      <c r="K165" s="18"/>
      <c r="L165" s="18"/>
    </row>
    <row r="166" spans="11:12" x14ac:dyDescent="0.2">
      <c r="K166" s="18"/>
      <c r="L166" s="18"/>
    </row>
    <row r="167" spans="11:12" x14ac:dyDescent="0.2">
      <c r="K167" s="18"/>
      <c r="L167" s="18"/>
    </row>
    <row r="168" spans="11:12" x14ac:dyDescent="0.2">
      <c r="K168" s="18"/>
      <c r="L168" s="18"/>
    </row>
    <row r="169" spans="11:12" x14ac:dyDescent="0.2">
      <c r="K169" s="18"/>
      <c r="L169" s="18"/>
    </row>
    <row r="170" spans="11:12" x14ac:dyDescent="0.2">
      <c r="K170" s="18"/>
      <c r="L170" s="18"/>
    </row>
    <row r="171" spans="11:12" x14ac:dyDescent="0.2">
      <c r="K171" s="18"/>
      <c r="L171" s="18"/>
    </row>
    <row r="172" spans="11:12" x14ac:dyDescent="0.2">
      <c r="K172" s="18"/>
      <c r="L172" s="18"/>
    </row>
    <row r="173" spans="11:12" x14ac:dyDescent="0.2">
      <c r="K173" s="18"/>
      <c r="L173" s="18"/>
    </row>
    <row r="174" spans="11:12" x14ac:dyDescent="0.2">
      <c r="K174" s="18"/>
      <c r="L174" s="18"/>
    </row>
    <row r="175" spans="11:12" x14ac:dyDescent="0.2">
      <c r="K175" s="18"/>
      <c r="L175" s="18"/>
    </row>
    <row r="176" spans="11:12" x14ac:dyDescent="0.2">
      <c r="K176" s="18"/>
      <c r="L176" s="18"/>
    </row>
    <row r="177" spans="11:12" x14ac:dyDescent="0.2">
      <c r="K177" s="18"/>
      <c r="L177" s="18"/>
    </row>
    <row r="178" spans="11:12" x14ac:dyDescent="0.2">
      <c r="K178" s="18"/>
      <c r="L178" s="18"/>
    </row>
    <row r="179" spans="11:12" x14ac:dyDescent="0.2">
      <c r="K179" s="18"/>
      <c r="L179" s="18"/>
    </row>
    <row r="180" spans="11:12" x14ac:dyDescent="0.2">
      <c r="K180" s="18"/>
      <c r="L180" s="18"/>
    </row>
    <row r="181" spans="11:12" x14ac:dyDescent="0.2">
      <c r="K181" s="18"/>
      <c r="L181" s="18"/>
    </row>
    <row r="182" spans="11:12" x14ac:dyDescent="0.2">
      <c r="K182" s="18"/>
      <c r="L182" s="18"/>
    </row>
    <row r="183" spans="11:12" x14ac:dyDescent="0.2">
      <c r="K183" s="18"/>
      <c r="L183" s="18"/>
    </row>
    <row r="184" spans="11:12" x14ac:dyDescent="0.2">
      <c r="K184" s="18"/>
      <c r="L184" s="18"/>
    </row>
    <row r="185" spans="11:12" x14ac:dyDescent="0.2">
      <c r="K185" s="18"/>
      <c r="L185" s="18"/>
    </row>
    <row r="186" spans="11:12" x14ac:dyDescent="0.2">
      <c r="K186" s="18"/>
      <c r="L186" s="18"/>
    </row>
    <row r="187" spans="11:12" x14ac:dyDescent="0.2">
      <c r="K187" s="18"/>
      <c r="L187" s="18"/>
    </row>
    <row r="188" spans="11:12" x14ac:dyDescent="0.2">
      <c r="K188" s="18"/>
      <c r="L188" s="18"/>
    </row>
    <row r="189" spans="11:12" x14ac:dyDescent="0.2">
      <c r="K189" s="18"/>
      <c r="L189" s="18"/>
    </row>
    <row r="190" spans="11:12" x14ac:dyDescent="0.2">
      <c r="K190" s="18"/>
      <c r="L190" s="18"/>
    </row>
    <row r="191" spans="11:12" x14ac:dyDescent="0.2">
      <c r="K191" s="18"/>
      <c r="L191" s="18"/>
    </row>
    <row r="192" spans="11:12" x14ac:dyDescent="0.2">
      <c r="K192" s="18"/>
      <c r="L192" s="18"/>
    </row>
    <row r="193" spans="11:12" x14ac:dyDescent="0.2">
      <c r="K193" s="18"/>
      <c r="L193" s="18"/>
    </row>
    <row r="194" spans="11:12" x14ac:dyDescent="0.2">
      <c r="K194" s="18"/>
      <c r="L194" s="18"/>
    </row>
    <row r="195" spans="11:12" x14ac:dyDescent="0.2">
      <c r="K195" s="18"/>
      <c r="L195" s="18"/>
    </row>
    <row r="196" spans="11:12" x14ac:dyDescent="0.2">
      <c r="K196" s="18"/>
      <c r="L196" s="18"/>
    </row>
    <row r="197" spans="11:12" x14ac:dyDescent="0.2">
      <c r="K197" s="18"/>
      <c r="L197" s="18"/>
    </row>
    <row r="198" spans="11:12" x14ac:dyDescent="0.2">
      <c r="K198" s="18"/>
      <c r="L198" s="18"/>
    </row>
    <row r="199" spans="11:12" x14ac:dyDescent="0.2">
      <c r="K199" s="18"/>
      <c r="L199" s="18"/>
    </row>
    <row r="200" spans="11:12" x14ac:dyDescent="0.2">
      <c r="K200" s="18"/>
      <c r="L200" s="18"/>
    </row>
    <row r="201" spans="11:12" x14ac:dyDescent="0.2">
      <c r="K201" s="18"/>
      <c r="L201" s="18"/>
    </row>
    <row r="202" spans="11:12" x14ac:dyDescent="0.2">
      <c r="K202" s="18"/>
      <c r="L202" s="18"/>
    </row>
    <row r="203" spans="11:12" x14ac:dyDescent="0.2">
      <c r="K203" s="18"/>
      <c r="L203" s="18"/>
    </row>
    <row r="204" spans="11:12" x14ac:dyDescent="0.2">
      <c r="K204" s="18"/>
      <c r="L204" s="18"/>
    </row>
    <row r="205" spans="11:12" x14ac:dyDescent="0.2">
      <c r="K205" s="18"/>
      <c r="L205" s="18"/>
    </row>
    <row r="206" spans="11:12" x14ac:dyDescent="0.2">
      <c r="K206" s="18"/>
      <c r="L206" s="18"/>
    </row>
    <row r="207" spans="11:12" x14ac:dyDescent="0.2">
      <c r="K207" s="18"/>
      <c r="L207" s="18"/>
    </row>
    <row r="208" spans="11:12" x14ac:dyDescent="0.2">
      <c r="K208" s="18"/>
      <c r="L208" s="18"/>
    </row>
    <row r="209" spans="11:12" x14ac:dyDescent="0.2">
      <c r="K209" s="18"/>
      <c r="L209" s="18"/>
    </row>
    <row r="210" spans="11:12" x14ac:dyDescent="0.2">
      <c r="K210" s="18"/>
      <c r="L210" s="18"/>
    </row>
    <row r="211" spans="11:12" x14ac:dyDescent="0.2">
      <c r="K211" s="18"/>
      <c r="L211" s="18"/>
    </row>
    <row r="212" spans="11:12" x14ac:dyDescent="0.2">
      <c r="K212" s="18"/>
      <c r="L212" s="18"/>
    </row>
    <row r="213" spans="11:12" x14ac:dyDescent="0.2">
      <c r="K213" s="18"/>
      <c r="L213" s="18"/>
    </row>
    <row r="214" spans="11:12" x14ac:dyDescent="0.2">
      <c r="K214" s="18"/>
      <c r="L214" s="18"/>
    </row>
    <row r="215" spans="11:12" x14ac:dyDescent="0.2">
      <c r="K215" s="18"/>
      <c r="L215" s="18"/>
    </row>
    <row r="216" spans="11:12" x14ac:dyDescent="0.2">
      <c r="K216" s="18"/>
      <c r="L216" s="18"/>
    </row>
    <row r="217" spans="11:12" x14ac:dyDescent="0.2">
      <c r="K217" s="18"/>
      <c r="L217" s="18"/>
    </row>
    <row r="218" spans="11:12" x14ac:dyDescent="0.2">
      <c r="K218" s="18"/>
      <c r="L218" s="18"/>
    </row>
    <row r="219" spans="11:12" x14ac:dyDescent="0.2">
      <c r="K219" s="18"/>
      <c r="L219" s="18"/>
    </row>
    <row r="220" spans="11:12" x14ac:dyDescent="0.2">
      <c r="K220" s="18"/>
      <c r="L220" s="18"/>
    </row>
    <row r="221" spans="11:12" x14ac:dyDescent="0.2">
      <c r="K221" s="18"/>
      <c r="L221" s="18"/>
    </row>
    <row r="222" spans="11:12" x14ac:dyDescent="0.2">
      <c r="K222" s="18"/>
      <c r="L222" s="18"/>
    </row>
    <row r="223" spans="11:12" x14ac:dyDescent="0.2">
      <c r="K223" s="18"/>
      <c r="L223" s="18"/>
    </row>
    <row r="224" spans="11:12" x14ac:dyDescent="0.2">
      <c r="K224" s="18"/>
      <c r="L224" s="18"/>
    </row>
    <row r="225" spans="11:12" x14ac:dyDescent="0.2">
      <c r="K225" s="18"/>
      <c r="L225" s="18"/>
    </row>
    <row r="226" spans="11:12" x14ac:dyDescent="0.2">
      <c r="K226" s="18"/>
      <c r="L226" s="18"/>
    </row>
    <row r="227" spans="11:12" x14ac:dyDescent="0.2">
      <c r="K227" s="18"/>
      <c r="L227" s="18"/>
    </row>
    <row r="228" spans="11:12" x14ac:dyDescent="0.2">
      <c r="K228" s="18"/>
      <c r="L228" s="18"/>
    </row>
    <row r="229" spans="11:12" x14ac:dyDescent="0.2">
      <c r="K229" s="18"/>
      <c r="L229" s="18"/>
    </row>
    <row r="230" spans="11:12" x14ac:dyDescent="0.2">
      <c r="K230" s="18"/>
      <c r="L230" s="18"/>
    </row>
    <row r="231" spans="11:12" x14ac:dyDescent="0.2">
      <c r="K231" s="18"/>
      <c r="L231" s="18"/>
    </row>
    <row r="232" spans="11:12" x14ac:dyDescent="0.2">
      <c r="K232" s="18"/>
      <c r="L232" s="18"/>
    </row>
    <row r="233" spans="11:12" x14ac:dyDescent="0.2">
      <c r="K233" s="18"/>
      <c r="L233" s="18"/>
    </row>
    <row r="234" spans="11:12" x14ac:dyDescent="0.2">
      <c r="K234" s="18"/>
      <c r="L234" s="18"/>
    </row>
    <row r="235" spans="11:12" x14ac:dyDescent="0.2">
      <c r="K235" s="18"/>
      <c r="L235" s="18"/>
    </row>
    <row r="236" spans="11:12" x14ac:dyDescent="0.2">
      <c r="K236" s="18"/>
      <c r="L236" s="18"/>
    </row>
    <row r="237" spans="11:12" x14ac:dyDescent="0.2">
      <c r="K237" s="18"/>
      <c r="L237" s="18"/>
    </row>
    <row r="238" spans="11:12" x14ac:dyDescent="0.2">
      <c r="K238" s="18"/>
      <c r="L238" s="18"/>
    </row>
    <row r="239" spans="11:12" x14ac:dyDescent="0.2">
      <c r="K239" s="18"/>
      <c r="L239" s="18"/>
    </row>
    <row r="240" spans="11:12" x14ac:dyDescent="0.2">
      <c r="K240" s="18"/>
      <c r="L240" s="18"/>
    </row>
    <row r="241" spans="11:12" x14ac:dyDescent="0.2">
      <c r="K241" s="18"/>
      <c r="L241" s="18"/>
    </row>
    <row r="242" spans="11:12" x14ac:dyDescent="0.2">
      <c r="K242" s="18"/>
      <c r="L242" s="18"/>
    </row>
    <row r="243" spans="11:12" x14ac:dyDescent="0.2">
      <c r="K243" s="18"/>
      <c r="L243" s="18"/>
    </row>
    <row r="244" spans="11:12" x14ac:dyDescent="0.2">
      <c r="K244" s="18"/>
      <c r="L244" s="18"/>
    </row>
    <row r="245" spans="11:12" x14ac:dyDescent="0.2">
      <c r="K245" s="18"/>
      <c r="L245" s="18"/>
    </row>
    <row r="246" spans="11:12" x14ac:dyDescent="0.2">
      <c r="K246" s="18"/>
      <c r="L246" s="18"/>
    </row>
    <row r="247" spans="11:12" x14ac:dyDescent="0.2">
      <c r="K247" s="18"/>
      <c r="L247" s="18"/>
    </row>
    <row r="248" spans="11:12" x14ac:dyDescent="0.2">
      <c r="K248" s="18"/>
      <c r="L248" s="18"/>
    </row>
    <row r="249" spans="11:12" x14ac:dyDescent="0.2">
      <c r="K249" s="18"/>
      <c r="L249" s="18"/>
    </row>
    <row r="250" spans="11:12" x14ac:dyDescent="0.2">
      <c r="K250" s="18"/>
      <c r="L250" s="18"/>
    </row>
    <row r="251" spans="11:12" x14ac:dyDescent="0.2">
      <c r="K251" s="18"/>
      <c r="L251" s="18"/>
    </row>
    <row r="252" spans="11:12" x14ac:dyDescent="0.2">
      <c r="K252" s="18"/>
      <c r="L252" s="18"/>
    </row>
    <row r="253" spans="11:12" x14ac:dyDescent="0.2">
      <c r="K253" s="18"/>
      <c r="L253" s="18"/>
    </row>
    <row r="254" spans="11:12" x14ac:dyDescent="0.2">
      <c r="K254" s="18"/>
      <c r="L254" s="18"/>
    </row>
    <row r="255" spans="11:12" x14ac:dyDescent="0.2">
      <c r="K255" s="18"/>
      <c r="L255" s="18"/>
    </row>
    <row r="256" spans="11:12" x14ac:dyDescent="0.2">
      <c r="K256" s="18"/>
      <c r="L256" s="18"/>
    </row>
    <row r="257" spans="11:12" x14ac:dyDescent="0.2">
      <c r="K257" s="18"/>
      <c r="L257" s="18"/>
    </row>
    <row r="258" spans="11:12" x14ac:dyDescent="0.2">
      <c r="K258" s="18"/>
      <c r="L258" s="18"/>
    </row>
    <row r="259" spans="11:12" x14ac:dyDescent="0.2">
      <c r="K259" s="18"/>
      <c r="L259" s="18"/>
    </row>
    <row r="260" spans="11:12" x14ac:dyDescent="0.2">
      <c r="K260" s="18"/>
      <c r="L260" s="18"/>
    </row>
    <row r="261" spans="11:12" x14ac:dyDescent="0.2">
      <c r="K261" s="18"/>
      <c r="L261" s="18"/>
    </row>
    <row r="262" spans="11:12" x14ac:dyDescent="0.2">
      <c r="K262" s="18"/>
      <c r="L262" s="18"/>
    </row>
    <row r="263" spans="11:12" x14ac:dyDescent="0.2">
      <c r="K263" s="18"/>
      <c r="L263" s="18"/>
    </row>
    <row r="264" spans="11:12" x14ac:dyDescent="0.2">
      <c r="K264" s="18"/>
      <c r="L264" s="18"/>
    </row>
    <row r="265" spans="11:12" x14ac:dyDescent="0.2">
      <c r="K265" s="18"/>
      <c r="L265" s="18"/>
    </row>
    <row r="266" spans="11:12" x14ac:dyDescent="0.2">
      <c r="K266" s="18"/>
      <c r="L266" s="18"/>
    </row>
    <row r="267" spans="11:12" x14ac:dyDescent="0.2">
      <c r="K267" s="18"/>
      <c r="L267" s="18"/>
    </row>
    <row r="268" spans="11:12" x14ac:dyDescent="0.2">
      <c r="K268" s="18"/>
      <c r="L268" s="18"/>
    </row>
    <row r="269" spans="11:12" x14ac:dyDescent="0.2">
      <c r="K269" s="18"/>
      <c r="L269" s="18"/>
    </row>
    <row r="270" spans="11:12" x14ac:dyDescent="0.2">
      <c r="K270" s="18"/>
      <c r="L270" s="18"/>
    </row>
    <row r="271" spans="11:12" x14ac:dyDescent="0.2">
      <c r="K271" s="18"/>
      <c r="L271" s="18"/>
    </row>
    <row r="272" spans="11:12" x14ac:dyDescent="0.2">
      <c r="K272" s="18"/>
      <c r="L272" s="18"/>
    </row>
    <row r="273" spans="11:12" x14ac:dyDescent="0.2">
      <c r="K273" s="18"/>
      <c r="L273" s="18"/>
    </row>
    <row r="274" spans="11:12" x14ac:dyDescent="0.2">
      <c r="K274" s="18"/>
      <c r="L274" s="18"/>
    </row>
    <row r="275" spans="11:12" x14ac:dyDescent="0.2">
      <c r="K275" s="18"/>
      <c r="L275" s="18"/>
    </row>
    <row r="276" spans="11:12" x14ac:dyDescent="0.2">
      <c r="K276" s="18"/>
      <c r="L276" s="18"/>
    </row>
    <row r="277" spans="11:12" x14ac:dyDescent="0.2">
      <c r="K277" s="18"/>
      <c r="L277" s="18"/>
    </row>
    <row r="278" spans="11:12" x14ac:dyDescent="0.2">
      <c r="K278" s="18"/>
      <c r="L278" s="18"/>
    </row>
    <row r="279" spans="11:12" x14ac:dyDescent="0.2">
      <c r="K279" s="18"/>
      <c r="L279" s="18"/>
    </row>
    <row r="280" spans="11:12" x14ac:dyDescent="0.2">
      <c r="K280" s="18"/>
      <c r="L280" s="18"/>
    </row>
    <row r="281" spans="11:12" x14ac:dyDescent="0.2">
      <c r="K281" s="18"/>
      <c r="L281" s="18"/>
    </row>
    <row r="282" spans="11:12" x14ac:dyDescent="0.2">
      <c r="K282" s="18"/>
      <c r="L282" s="18"/>
    </row>
    <row r="283" spans="11:12" x14ac:dyDescent="0.2">
      <c r="K283" s="18"/>
      <c r="L283" s="18"/>
    </row>
    <row r="284" spans="11:12" x14ac:dyDescent="0.2">
      <c r="K284" s="18"/>
      <c r="L284" s="18"/>
    </row>
    <row r="285" spans="11:12" x14ac:dyDescent="0.2">
      <c r="K285" s="18"/>
      <c r="L285" s="18"/>
    </row>
    <row r="286" spans="11:12" x14ac:dyDescent="0.2">
      <c r="K286" s="18"/>
      <c r="L286" s="18"/>
    </row>
    <row r="287" spans="11:12" x14ac:dyDescent="0.2">
      <c r="K287" s="18"/>
      <c r="L287" s="18"/>
    </row>
    <row r="288" spans="11:12" x14ac:dyDescent="0.2">
      <c r="K288" s="18"/>
      <c r="L288" s="18"/>
    </row>
    <row r="289" spans="11:12" x14ac:dyDescent="0.2">
      <c r="K289" s="18"/>
      <c r="L289" s="18"/>
    </row>
    <row r="290" spans="11:12" x14ac:dyDescent="0.2">
      <c r="K290" s="18"/>
      <c r="L290" s="18"/>
    </row>
    <row r="291" spans="11:12" x14ac:dyDescent="0.2">
      <c r="K291" s="18"/>
      <c r="L291" s="18"/>
    </row>
    <row r="292" spans="11:12" x14ac:dyDescent="0.2">
      <c r="K292" s="18"/>
      <c r="L292" s="18"/>
    </row>
    <row r="293" spans="11:12" x14ac:dyDescent="0.2">
      <c r="K293" s="18"/>
      <c r="L293" s="18"/>
    </row>
    <row r="294" spans="11:12" x14ac:dyDescent="0.2">
      <c r="K294" s="18"/>
      <c r="L294" s="18"/>
    </row>
    <row r="295" spans="11:12" x14ac:dyDescent="0.2">
      <c r="K295" s="18"/>
      <c r="L295" s="18"/>
    </row>
    <row r="296" spans="11:12" x14ac:dyDescent="0.2">
      <c r="K296" s="18"/>
      <c r="L296" s="18"/>
    </row>
    <row r="297" spans="11:12" x14ac:dyDescent="0.2">
      <c r="K297" s="18"/>
      <c r="L297" s="18"/>
    </row>
    <row r="298" spans="11:12" x14ac:dyDescent="0.2">
      <c r="K298" s="18"/>
      <c r="L298" s="18"/>
    </row>
    <row r="299" spans="11:12" x14ac:dyDescent="0.2">
      <c r="K299" s="18"/>
      <c r="L299" s="18"/>
    </row>
    <row r="300" spans="11:12" x14ac:dyDescent="0.2">
      <c r="K300" s="18"/>
      <c r="L300" s="18"/>
    </row>
    <row r="301" spans="11:12" x14ac:dyDescent="0.2">
      <c r="K301" s="18"/>
      <c r="L301" s="18"/>
    </row>
    <row r="302" spans="11:12" x14ac:dyDescent="0.2">
      <c r="K302" s="18"/>
      <c r="L302" s="18"/>
    </row>
    <row r="303" spans="11:12" x14ac:dyDescent="0.2">
      <c r="K303" s="18"/>
      <c r="L303" s="18"/>
    </row>
    <row r="304" spans="11:12" x14ac:dyDescent="0.2">
      <c r="K304" s="18"/>
      <c r="L304" s="18"/>
    </row>
    <row r="305" spans="11:12" x14ac:dyDescent="0.2">
      <c r="K305" s="18"/>
      <c r="L305" s="18"/>
    </row>
    <row r="306" spans="11:12" x14ac:dyDescent="0.2">
      <c r="K306" s="18"/>
      <c r="L306" s="18"/>
    </row>
    <row r="307" spans="11:12" x14ac:dyDescent="0.2">
      <c r="K307" s="18"/>
      <c r="L307" s="18"/>
    </row>
    <row r="308" spans="11:12" x14ac:dyDescent="0.2">
      <c r="K308" s="18"/>
      <c r="L308" s="18"/>
    </row>
    <row r="309" spans="11:12" x14ac:dyDescent="0.2">
      <c r="K309" s="18"/>
      <c r="L309" s="18"/>
    </row>
    <row r="310" spans="11:12" x14ac:dyDescent="0.2">
      <c r="K310" s="18"/>
      <c r="L310" s="18"/>
    </row>
    <row r="311" spans="11:12" x14ac:dyDescent="0.2">
      <c r="K311" s="18"/>
      <c r="L311" s="18"/>
    </row>
    <row r="312" spans="11:12" x14ac:dyDescent="0.2">
      <c r="K312" s="18"/>
      <c r="L312" s="18"/>
    </row>
    <row r="313" spans="11:12" x14ac:dyDescent="0.2">
      <c r="K313" s="18"/>
      <c r="L313" s="18"/>
    </row>
    <row r="314" spans="11:12" x14ac:dyDescent="0.2">
      <c r="K314" s="18"/>
      <c r="L314" s="18"/>
    </row>
    <row r="315" spans="11:12" x14ac:dyDescent="0.2">
      <c r="K315" s="18"/>
      <c r="L315" s="18"/>
    </row>
    <row r="316" spans="11:12" x14ac:dyDescent="0.2">
      <c r="K316" s="18"/>
      <c r="L316" s="18"/>
    </row>
    <row r="317" spans="11:12" x14ac:dyDescent="0.2">
      <c r="K317" s="18"/>
      <c r="L317" s="18"/>
    </row>
    <row r="318" spans="11:12" x14ac:dyDescent="0.2">
      <c r="K318" s="18"/>
      <c r="L318" s="18"/>
    </row>
    <row r="319" spans="11:12" x14ac:dyDescent="0.2">
      <c r="K319" s="18"/>
      <c r="L319" s="18"/>
    </row>
    <row r="320" spans="11:12" x14ac:dyDescent="0.2">
      <c r="K320" s="18"/>
      <c r="L320" s="18"/>
    </row>
    <row r="321" spans="11:12" x14ac:dyDescent="0.2">
      <c r="K321" s="18"/>
      <c r="L321" s="18"/>
    </row>
    <row r="322" spans="11:12" x14ac:dyDescent="0.2">
      <c r="K322" s="18"/>
      <c r="L322" s="18"/>
    </row>
    <row r="323" spans="11:12" x14ac:dyDescent="0.2">
      <c r="K323" s="18"/>
      <c r="L323" s="18"/>
    </row>
    <row r="324" spans="11:12" x14ac:dyDescent="0.2">
      <c r="K324" s="18"/>
      <c r="L324" s="18"/>
    </row>
    <row r="325" spans="11:12" x14ac:dyDescent="0.2">
      <c r="K325" s="18"/>
      <c r="L325" s="18"/>
    </row>
    <row r="326" spans="11:12" x14ac:dyDescent="0.2">
      <c r="K326" s="18"/>
      <c r="L326" s="18"/>
    </row>
    <row r="327" spans="11:12" x14ac:dyDescent="0.2">
      <c r="K327" s="18"/>
      <c r="L327" s="18"/>
    </row>
    <row r="328" spans="11:12" x14ac:dyDescent="0.2">
      <c r="K328" s="18"/>
      <c r="L328" s="18"/>
    </row>
    <row r="329" spans="11:12" x14ac:dyDescent="0.2">
      <c r="K329" s="18"/>
      <c r="L329" s="18"/>
    </row>
    <row r="330" spans="11:12" x14ac:dyDescent="0.2">
      <c r="K330" s="18"/>
      <c r="L330" s="18"/>
    </row>
    <row r="331" spans="11:12" x14ac:dyDescent="0.2">
      <c r="K331" s="18"/>
      <c r="L331" s="18"/>
    </row>
    <row r="332" spans="11:12" x14ac:dyDescent="0.2">
      <c r="K332" s="18"/>
      <c r="L332" s="18"/>
    </row>
    <row r="333" spans="11:12" x14ac:dyDescent="0.2">
      <c r="K333" s="18"/>
      <c r="L333" s="18"/>
    </row>
    <row r="334" spans="11:12" x14ac:dyDescent="0.2">
      <c r="K334" s="18"/>
      <c r="L334" s="18"/>
    </row>
    <row r="335" spans="11:12" x14ac:dyDescent="0.2">
      <c r="K335" s="18"/>
      <c r="L335" s="18"/>
    </row>
    <row r="336" spans="11:12" x14ac:dyDescent="0.2">
      <c r="K336" s="18"/>
      <c r="L336" s="18"/>
    </row>
    <row r="337" spans="11:12" x14ac:dyDescent="0.2">
      <c r="K337" s="18"/>
      <c r="L337" s="18"/>
    </row>
    <row r="338" spans="11:12" x14ac:dyDescent="0.2">
      <c r="K338" s="18"/>
      <c r="L338" s="18"/>
    </row>
    <row r="339" spans="11:12" x14ac:dyDescent="0.2">
      <c r="K339" s="18"/>
      <c r="L339" s="18"/>
    </row>
    <row r="340" spans="11:12" x14ac:dyDescent="0.2">
      <c r="K340" s="18"/>
      <c r="L340" s="18"/>
    </row>
    <row r="341" spans="11:12" x14ac:dyDescent="0.2">
      <c r="K341" s="18"/>
      <c r="L341" s="18"/>
    </row>
    <row r="342" spans="11:12" x14ac:dyDescent="0.2">
      <c r="K342" s="18"/>
      <c r="L342" s="18"/>
    </row>
    <row r="343" spans="11:12" x14ac:dyDescent="0.2">
      <c r="K343" s="18"/>
      <c r="L343" s="18"/>
    </row>
    <row r="344" spans="11:12" x14ac:dyDescent="0.2">
      <c r="K344" s="18"/>
      <c r="L344" s="18"/>
    </row>
    <row r="345" spans="11:12" x14ac:dyDescent="0.2">
      <c r="K345" s="18"/>
      <c r="L345" s="18"/>
    </row>
    <row r="346" spans="11:12" x14ac:dyDescent="0.2">
      <c r="K346" s="18"/>
      <c r="L346" s="18"/>
    </row>
    <row r="347" spans="11:12" x14ac:dyDescent="0.2">
      <c r="K347" s="18"/>
      <c r="L347" s="18"/>
    </row>
    <row r="348" spans="11:12" x14ac:dyDescent="0.2">
      <c r="K348" s="18"/>
      <c r="L348" s="18"/>
    </row>
    <row r="349" spans="11:12" x14ac:dyDescent="0.2">
      <c r="K349" s="18"/>
      <c r="L349" s="18"/>
    </row>
    <row r="350" spans="11:12" x14ac:dyDescent="0.2">
      <c r="K350" s="18"/>
      <c r="L350" s="18"/>
    </row>
    <row r="351" spans="11:12" x14ac:dyDescent="0.2">
      <c r="K351" s="18"/>
      <c r="L351" s="18"/>
    </row>
    <row r="352" spans="11:12" x14ac:dyDescent="0.2">
      <c r="K352" s="18"/>
      <c r="L352" s="18"/>
    </row>
    <row r="353" spans="11:12" x14ac:dyDescent="0.2">
      <c r="K353" s="18"/>
      <c r="L353" s="18"/>
    </row>
    <row r="354" spans="11:12" x14ac:dyDescent="0.2">
      <c r="K354" s="18"/>
      <c r="L354" s="18"/>
    </row>
    <row r="355" spans="11:12" x14ac:dyDescent="0.2">
      <c r="K355" s="18"/>
      <c r="L355" s="18"/>
    </row>
    <row r="356" spans="11:12" x14ac:dyDescent="0.2">
      <c r="K356" s="18"/>
      <c r="L356" s="18"/>
    </row>
    <row r="357" spans="11:12" x14ac:dyDescent="0.2">
      <c r="K357" s="18"/>
      <c r="L357" s="18"/>
    </row>
    <row r="358" spans="11:12" x14ac:dyDescent="0.2">
      <c r="K358" s="18"/>
      <c r="L358" s="18"/>
    </row>
    <row r="359" spans="11:12" x14ac:dyDescent="0.2">
      <c r="K359" s="18"/>
      <c r="L359" s="18"/>
    </row>
    <row r="360" spans="11:12" x14ac:dyDescent="0.2">
      <c r="K360" s="18"/>
      <c r="L360" s="18"/>
    </row>
    <row r="361" spans="11:12" x14ac:dyDescent="0.2">
      <c r="K361" s="18"/>
      <c r="L361" s="18"/>
    </row>
    <row r="362" spans="11:12" x14ac:dyDescent="0.2">
      <c r="K362" s="18"/>
      <c r="L362" s="18"/>
    </row>
    <row r="363" spans="11:12" x14ac:dyDescent="0.2">
      <c r="K363" s="18"/>
      <c r="L363" s="18"/>
    </row>
    <row r="364" spans="11:12" x14ac:dyDescent="0.2">
      <c r="K364" s="18"/>
      <c r="L364" s="18"/>
    </row>
    <row r="365" spans="11:12" x14ac:dyDescent="0.2">
      <c r="K365" s="18"/>
      <c r="L365" s="18"/>
    </row>
    <row r="366" spans="11:12" x14ac:dyDescent="0.2">
      <c r="K366" s="18"/>
      <c r="L366" s="18"/>
    </row>
    <row r="367" spans="11:12" x14ac:dyDescent="0.2">
      <c r="K367" s="18"/>
      <c r="L367" s="18"/>
    </row>
    <row r="368" spans="11:12" x14ac:dyDescent="0.2">
      <c r="K368" s="18"/>
      <c r="L368" s="18"/>
    </row>
    <row r="369" spans="11:12" x14ac:dyDescent="0.2">
      <c r="K369" s="18"/>
      <c r="L369" s="18"/>
    </row>
    <row r="370" spans="11:12" x14ac:dyDescent="0.2">
      <c r="K370" s="18"/>
      <c r="L370" s="18"/>
    </row>
    <row r="371" spans="11:12" x14ac:dyDescent="0.2">
      <c r="K371" s="18"/>
      <c r="L371" s="18"/>
    </row>
    <row r="372" spans="11:12" x14ac:dyDescent="0.2">
      <c r="K372" s="18"/>
      <c r="L372" s="18"/>
    </row>
    <row r="373" spans="11:12" x14ac:dyDescent="0.2">
      <c r="K373" s="18"/>
      <c r="L373" s="18"/>
    </row>
    <row r="374" spans="11:12" x14ac:dyDescent="0.2">
      <c r="K374" s="18"/>
      <c r="L374" s="18"/>
    </row>
    <row r="375" spans="11:12" x14ac:dyDescent="0.2">
      <c r="K375" s="18"/>
      <c r="L375" s="18"/>
    </row>
    <row r="376" spans="11:12" x14ac:dyDescent="0.2">
      <c r="K376" s="18"/>
      <c r="L376" s="18"/>
    </row>
    <row r="377" spans="11:12" x14ac:dyDescent="0.2">
      <c r="K377" s="18"/>
      <c r="L377" s="18"/>
    </row>
    <row r="378" spans="11:12" x14ac:dyDescent="0.2">
      <c r="K378" s="18"/>
      <c r="L378" s="18"/>
    </row>
    <row r="379" spans="11:12" x14ac:dyDescent="0.2">
      <c r="K379" s="18"/>
      <c r="L379" s="18"/>
    </row>
    <row r="380" spans="11:12" x14ac:dyDescent="0.2">
      <c r="K380" s="18"/>
      <c r="L380" s="18"/>
    </row>
    <row r="381" spans="11:12" x14ac:dyDescent="0.2">
      <c r="K381" s="18"/>
      <c r="L381" s="18"/>
    </row>
    <row r="382" spans="11:12" x14ac:dyDescent="0.2">
      <c r="K382" s="18"/>
      <c r="L382" s="18"/>
    </row>
    <row r="383" spans="11:12" x14ac:dyDescent="0.2">
      <c r="K383" s="18"/>
      <c r="L383" s="18"/>
    </row>
    <row r="384" spans="11:12" x14ac:dyDescent="0.2">
      <c r="K384" s="18"/>
      <c r="L384" s="18"/>
    </row>
    <row r="385" spans="11:12" x14ac:dyDescent="0.2">
      <c r="K385" s="18"/>
      <c r="L385" s="18"/>
    </row>
    <row r="386" spans="11:12" x14ac:dyDescent="0.2">
      <c r="K386" s="18"/>
      <c r="L386" s="18"/>
    </row>
    <row r="387" spans="11:12" x14ac:dyDescent="0.2">
      <c r="K387" s="18"/>
      <c r="L387" s="18"/>
    </row>
    <row r="388" spans="11:12" x14ac:dyDescent="0.2">
      <c r="K388" s="18"/>
      <c r="L388" s="18"/>
    </row>
    <row r="389" spans="11:12" x14ac:dyDescent="0.2">
      <c r="K389" s="18"/>
      <c r="L389" s="18"/>
    </row>
    <row r="390" spans="11:12" x14ac:dyDescent="0.2">
      <c r="K390" s="18"/>
      <c r="L390" s="18"/>
    </row>
    <row r="391" spans="11:12" x14ac:dyDescent="0.2">
      <c r="K391" s="18"/>
      <c r="L391" s="18"/>
    </row>
    <row r="392" spans="11:12" x14ac:dyDescent="0.2">
      <c r="K392" s="18"/>
      <c r="L392" s="18"/>
    </row>
    <row r="393" spans="11:12" x14ac:dyDescent="0.2">
      <c r="K393" s="18"/>
      <c r="L393" s="18"/>
    </row>
    <row r="394" spans="11:12" x14ac:dyDescent="0.2">
      <c r="K394" s="18"/>
      <c r="L394" s="18"/>
    </row>
    <row r="395" spans="11:12" x14ac:dyDescent="0.2">
      <c r="K395" s="18"/>
      <c r="L395" s="18"/>
    </row>
    <row r="396" spans="11:12" x14ac:dyDescent="0.2">
      <c r="K396" s="18"/>
      <c r="L396" s="18"/>
    </row>
    <row r="397" spans="11:12" x14ac:dyDescent="0.2">
      <c r="K397" s="18"/>
      <c r="L397" s="18"/>
    </row>
    <row r="398" spans="11:12" x14ac:dyDescent="0.2">
      <c r="K398" s="18"/>
      <c r="L398" s="18"/>
    </row>
    <row r="399" spans="11:12" x14ac:dyDescent="0.2">
      <c r="K399" s="18"/>
      <c r="L399" s="18"/>
    </row>
    <row r="400" spans="11:12" x14ac:dyDescent="0.2">
      <c r="K400" s="18"/>
      <c r="L400" s="18"/>
    </row>
    <row r="401" spans="11:12" x14ac:dyDescent="0.2">
      <c r="K401" s="18"/>
      <c r="L401" s="18"/>
    </row>
    <row r="402" spans="11:12" x14ac:dyDescent="0.2">
      <c r="K402" s="18"/>
      <c r="L402" s="18"/>
    </row>
    <row r="403" spans="11:12" x14ac:dyDescent="0.2">
      <c r="K403" s="18"/>
      <c r="L403" s="18"/>
    </row>
    <row r="404" spans="11:12" x14ac:dyDescent="0.2">
      <c r="K404" s="18"/>
      <c r="L404" s="18"/>
    </row>
    <row r="405" spans="11:12" x14ac:dyDescent="0.2">
      <c r="K405" s="18"/>
      <c r="L405" s="18"/>
    </row>
    <row r="406" spans="11:12" x14ac:dyDescent="0.2">
      <c r="K406" s="18"/>
      <c r="L406" s="18"/>
    </row>
    <row r="407" spans="11:12" x14ac:dyDescent="0.2">
      <c r="K407" s="18"/>
      <c r="L407" s="18"/>
    </row>
    <row r="408" spans="11:12" x14ac:dyDescent="0.2">
      <c r="K408" s="18"/>
      <c r="L408" s="18"/>
    </row>
    <row r="409" spans="11:12" x14ac:dyDescent="0.2">
      <c r="K409" s="18"/>
      <c r="L409" s="18"/>
    </row>
    <row r="410" spans="11:12" x14ac:dyDescent="0.2">
      <c r="K410" s="18"/>
      <c r="L410" s="18"/>
    </row>
    <row r="411" spans="11:12" x14ac:dyDescent="0.2">
      <c r="K411" s="18"/>
      <c r="L411" s="18"/>
    </row>
    <row r="412" spans="11:12" x14ac:dyDescent="0.2">
      <c r="K412" s="18"/>
      <c r="L412" s="18"/>
    </row>
    <row r="413" spans="11:12" x14ac:dyDescent="0.2">
      <c r="K413" s="18"/>
      <c r="L413" s="18"/>
    </row>
    <row r="414" spans="11:12" x14ac:dyDescent="0.2">
      <c r="K414" s="18"/>
      <c r="L414" s="18"/>
    </row>
    <row r="415" spans="11:12" x14ac:dyDescent="0.2">
      <c r="K415" s="18"/>
      <c r="L415" s="18"/>
    </row>
    <row r="416" spans="11:12" x14ac:dyDescent="0.2">
      <c r="K416" s="18"/>
      <c r="L416" s="18"/>
    </row>
    <row r="417" spans="11:12" x14ac:dyDescent="0.2">
      <c r="K417" s="18"/>
      <c r="L417" s="18"/>
    </row>
    <row r="418" spans="11:12" x14ac:dyDescent="0.2">
      <c r="K418" s="18"/>
      <c r="L418" s="18"/>
    </row>
    <row r="419" spans="11:12" x14ac:dyDescent="0.2">
      <c r="K419" s="18"/>
      <c r="L419" s="18"/>
    </row>
    <row r="420" spans="11:12" x14ac:dyDescent="0.2">
      <c r="K420" s="18"/>
      <c r="L420" s="18"/>
    </row>
    <row r="421" spans="11:12" x14ac:dyDescent="0.2">
      <c r="K421" s="18"/>
      <c r="L421" s="18"/>
    </row>
    <row r="422" spans="11:12" x14ac:dyDescent="0.2">
      <c r="K422" s="18"/>
      <c r="L422" s="18"/>
    </row>
    <row r="423" spans="11:12" x14ac:dyDescent="0.2">
      <c r="K423" s="18"/>
      <c r="L423" s="18"/>
    </row>
    <row r="424" spans="11:12" x14ac:dyDescent="0.2">
      <c r="K424" s="18"/>
      <c r="L424" s="18"/>
    </row>
    <row r="425" spans="11:12" x14ac:dyDescent="0.2">
      <c r="K425" s="18"/>
      <c r="L425" s="18"/>
    </row>
    <row r="426" spans="11:12" x14ac:dyDescent="0.2">
      <c r="K426" s="18"/>
      <c r="L426" s="18"/>
    </row>
    <row r="427" spans="11:12" x14ac:dyDescent="0.2">
      <c r="K427" s="18"/>
      <c r="L427" s="18"/>
    </row>
    <row r="428" spans="11:12" x14ac:dyDescent="0.2">
      <c r="K428" s="18"/>
      <c r="L428" s="18"/>
    </row>
    <row r="429" spans="11:12" x14ac:dyDescent="0.2">
      <c r="K429" s="18"/>
      <c r="L429" s="18"/>
    </row>
    <row r="430" spans="11:12" x14ac:dyDescent="0.2">
      <c r="K430" s="18"/>
      <c r="L430" s="18"/>
    </row>
    <row r="431" spans="11:12" x14ac:dyDescent="0.2">
      <c r="K431" s="18"/>
      <c r="L431" s="18"/>
    </row>
    <row r="432" spans="11:12" x14ac:dyDescent="0.2">
      <c r="K432" s="18"/>
      <c r="L432" s="18"/>
    </row>
    <row r="433" spans="11:12" x14ac:dyDescent="0.2">
      <c r="K433" s="18"/>
      <c r="L433" s="18"/>
    </row>
    <row r="434" spans="11:12" x14ac:dyDescent="0.2">
      <c r="K434" s="18"/>
      <c r="L434" s="18"/>
    </row>
    <row r="435" spans="11:12" x14ac:dyDescent="0.2">
      <c r="K435" s="18"/>
      <c r="L435" s="18"/>
    </row>
    <row r="436" spans="11:12" x14ac:dyDescent="0.2">
      <c r="K436" s="18"/>
      <c r="L436" s="18"/>
    </row>
    <row r="437" spans="11:12" x14ac:dyDescent="0.2">
      <c r="K437" s="18"/>
      <c r="L437" s="18"/>
    </row>
    <row r="438" spans="11:12" x14ac:dyDescent="0.2">
      <c r="K438" s="18"/>
      <c r="L438" s="18"/>
    </row>
    <row r="439" spans="11:12" x14ac:dyDescent="0.2">
      <c r="K439" s="18"/>
      <c r="L439" s="18"/>
    </row>
    <row r="440" spans="11:12" x14ac:dyDescent="0.2">
      <c r="K440" s="18"/>
      <c r="L440" s="18"/>
    </row>
    <row r="441" spans="11:12" x14ac:dyDescent="0.2">
      <c r="K441" s="18"/>
      <c r="L441" s="18"/>
    </row>
    <row r="442" spans="11:12" x14ac:dyDescent="0.2">
      <c r="K442" s="18"/>
      <c r="L442" s="18"/>
    </row>
    <row r="443" spans="11:12" x14ac:dyDescent="0.2">
      <c r="K443" s="18"/>
      <c r="L443" s="18"/>
    </row>
    <row r="444" spans="11:12" x14ac:dyDescent="0.2">
      <c r="K444" s="18"/>
      <c r="L444" s="18"/>
    </row>
    <row r="445" spans="11:12" x14ac:dyDescent="0.2">
      <c r="K445" s="18"/>
      <c r="L445" s="18"/>
    </row>
    <row r="446" spans="11:12" x14ac:dyDescent="0.2">
      <c r="K446" s="18"/>
      <c r="L446" s="18"/>
    </row>
    <row r="447" spans="11:12" x14ac:dyDescent="0.2">
      <c r="K447" s="18"/>
      <c r="L447" s="18"/>
    </row>
    <row r="448" spans="11:12" x14ac:dyDescent="0.2">
      <c r="K448" s="18"/>
      <c r="L448" s="18"/>
    </row>
    <row r="449" spans="11:12" x14ac:dyDescent="0.2">
      <c r="K449" s="18"/>
      <c r="L449" s="18"/>
    </row>
    <row r="450" spans="11:12" x14ac:dyDescent="0.2">
      <c r="K450" s="18"/>
      <c r="L450" s="18"/>
    </row>
    <row r="451" spans="11:12" x14ac:dyDescent="0.2">
      <c r="K451" s="18"/>
      <c r="L451" s="18"/>
    </row>
    <row r="452" spans="11:12" x14ac:dyDescent="0.2">
      <c r="K452" s="18"/>
      <c r="L452" s="18"/>
    </row>
    <row r="453" spans="11:12" x14ac:dyDescent="0.2">
      <c r="K453" s="18"/>
      <c r="L453" s="18"/>
    </row>
    <row r="454" spans="11:12" x14ac:dyDescent="0.2">
      <c r="K454" s="18"/>
      <c r="L454" s="18"/>
    </row>
    <row r="455" spans="11:12" x14ac:dyDescent="0.2">
      <c r="K455" s="18"/>
      <c r="L455" s="18"/>
    </row>
    <row r="456" spans="11:12" x14ac:dyDescent="0.2">
      <c r="K456" s="18"/>
      <c r="L456" s="18"/>
    </row>
    <row r="457" spans="11:12" x14ac:dyDescent="0.2">
      <c r="K457" s="18"/>
      <c r="L457" s="18"/>
    </row>
    <row r="458" spans="11:12" x14ac:dyDescent="0.2">
      <c r="K458" s="18"/>
      <c r="L458" s="18"/>
    </row>
    <row r="459" spans="11:12" x14ac:dyDescent="0.2">
      <c r="K459" s="18"/>
      <c r="L459" s="18"/>
    </row>
    <row r="460" spans="11:12" x14ac:dyDescent="0.2">
      <c r="K460" s="18"/>
      <c r="L460" s="18"/>
    </row>
    <row r="461" spans="11:12" x14ac:dyDescent="0.2">
      <c r="K461" s="18"/>
      <c r="L461" s="18"/>
    </row>
    <row r="462" spans="11:12" x14ac:dyDescent="0.2">
      <c r="K462" s="18"/>
      <c r="L462" s="18"/>
    </row>
    <row r="463" spans="11:12" x14ac:dyDescent="0.2">
      <c r="K463" s="18"/>
      <c r="L463" s="18"/>
    </row>
    <row r="464" spans="11:12" x14ac:dyDescent="0.2">
      <c r="K464" s="18"/>
      <c r="L464" s="18"/>
    </row>
    <row r="465" spans="11:12" x14ac:dyDescent="0.2">
      <c r="K465" s="18"/>
      <c r="L465" s="18"/>
    </row>
    <row r="466" spans="11:12" x14ac:dyDescent="0.2">
      <c r="K466" s="18"/>
      <c r="L466" s="18"/>
    </row>
    <row r="467" spans="11:12" x14ac:dyDescent="0.2">
      <c r="K467" s="18"/>
      <c r="L467" s="18"/>
    </row>
    <row r="468" spans="11:12" x14ac:dyDescent="0.2">
      <c r="K468" s="18"/>
      <c r="L468" s="18"/>
    </row>
    <row r="469" spans="11:12" x14ac:dyDescent="0.2">
      <c r="K469" s="18"/>
      <c r="L469" s="18"/>
    </row>
    <row r="470" spans="11:12" x14ac:dyDescent="0.2">
      <c r="K470" s="18"/>
      <c r="L470" s="18"/>
    </row>
    <row r="471" spans="11:12" x14ac:dyDescent="0.2">
      <c r="K471" s="18"/>
      <c r="L471" s="18"/>
    </row>
    <row r="472" spans="11:12" x14ac:dyDescent="0.2">
      <c r="K472" s="18"/>
      <c r="L472" s="18"/>
    </row>
    <row r="473" spans="11:12" x14ac:dyDescent="0.2">
      <c r="K473" s="18"/>
      <c r="L473" s="18"/>
    </row>
    <row r="474" spans="11:12" x14ac:dyDescent="0.2">
      <c r="K474" s="18"/>
      <c r="L474" s="18"/>
    </row>
    <row r="475" spans="11:12" x14ac:dyDescent="0.2">
      <c r="K475" s="18"/>
      <c r="L475" s="18"/>
    </row>
    <row r="476" spans="11:12" x14ac:dyDescent="0.2">
      <c r="K476" s="18"/>
      <c r="L476" s="18"/>
    </row>
    <row r="477" spans="11:12" x14ac:dyDescent="0.2">
      <c r="K477" s="18"/>
      <c r="L477" s="18"/>
    </row>
    <row r="478" spans="11:12" x14ac:dyDescent="0.2">
      <c r="K478" s="18"/>
      <c r="L478" s="18"/>
    </row>
    <row r="479" spans="11:12" x14ac:dyDescent="0.2">
      <c r="K479" s="18"/>
      <c r="L479" s="18"/>
    </row>
    <row r="480" spans="11:12" x14ac:dyDescent="0.2">
      <c r="K480" s="18"/>
      <c r="L480" s="18"/>
    </row>
    <row r="481" spans="11:12" x14ac:dyDescent="0.2">
      <c r="K481" s="18"/>
      <c r="L481" s="18"/>
    </row>
    <row r="482" spans="11:12" x14ac:dyDescent="0.2">
      <c r="K482" s="18"/>
      <c r="L482" s="18"/>
    </row>
    <row r="483" spans="11:12" x14ac:dyDescent="0.2">
      <c r="K483" s="18"/>
      <c r="L483" s="18"/>
    </row>
    <row r="484" spans="11:12" x14ac:dyDescent="0.2">
      <c r="K484" s="18"/>
      <c r="L484" s="18"/>
    </row>
    <row r="485" spans="11:12" x14ac:dyDescent="0.2">
      <c r="K485" s="18"/>
      <c r="L485" s="18"/>
    </row>
    <row r="486" spans="11:12" x14ac:dyDescent="0.2">
      <c r="K486" s="18"/>
      <c r="L486" s="18"/>
    </row>
    <row r="487" spans="11:12" x14ac:dyDescent="0.2">
      <c r="K487" s="18"/>
      <c r="L487" s="18"/>
    </row>
    <row r="488" spans="11:12" x14ac:dyDescent="0.2">
      <c r="K488" s="18"/>
      <c r="L488" s="18"/>
    </row>
    <row r="489" spans="11:12" x14ac:dyDescent="0.2">
      <c r="K489" s="18"/>
      <c r="L489" s="18"/>
    </row>
    <row r="490" spans="11:12" x14ac:dyDescent="0.2">
      <c r="K490" s="18"/>
      <c r="L490" s="18"/>
    </row>
    <row r="491" spans="11:12" x14ac:dyDescent="0.2">
      <c r="K491" s="18"/>
      <c r="L491" s="18"/>
    </row>
    <row r="492" spans="11:12" x14ac:dyDescent="0.2">
      <c r="K492" s="18"/>
      <c r="L492" s="18"/>
    </row>
    <row r="493" spans="11:12" x14ac:dyDescent="0.2">
      <c r="K493" s="18"/>
      <c r="L493" s="18"/>
    </row>
    <row r="494" spans="11:12" x14ac:dyDescent="0.2">
      <c r="K494" s="18"/>
      <c r="L494" s="18"/>
    </row>
    <row r="495" spans="11:12" x14ac:dyDescent="0.2">
      <c r="K495" s="18"/>
      <c r="L495" s="18"/>
    </row>
    <row r="496" spans="11:12" x14ac:dyDescent="0.2">
      <c r="K496" s="18"/>
      <c r="L496" s="18"/>
    </row>
    <row r="497" spans="11:12" x14ac:dyDescent="0.2">
      <c r="K497" s="18"/>
      <c r="L497" s="18"/>
    </row>
    <row r="498" spans="11:12" x14ac:dyDescent="0.2">
      <c r="K498" s="18"/>
      <c r="L498" s="18"/>
    </row>
    <row r="499" spans="11:12" x14ac:dyDescent="0.2">
      <c r="K499" s="18"/>
      <c r="L499" s="18"/>
    </row>
    <row r="500" spans="11:12" x14ac:dyDescent="0.2">
      <c r="K500" s="18"/>
      <c r="L500" s="18"/>
    </row>
    <row r="501" spans="11:12" x14ac:dyDescent="0.2">
      <c r="K501" s="18"/>
      <c r="L501" s="18"/>
    </row>
    <row r="502" spans="11:12" x14ac:dyDescent="0.2">
      <c r="K502" s="18"/>
      <c r="L502" s="18"/>
    </row>
    <row r="503" spans="11:12" x14ac:dyDescent="0.2">
      <c r="K503" s="18"/>
      <c r="L503" s="18"/>
    </row>
    <row r="504" spans="11:12" x14ac:dyDescent="0.2">
      <c r="K504" s="18"/>
      <c r="L504" s="18"/>
    </row>
    <row r="505" spans="11:12" x14ac:dyDescent="0.2">
      <c r="K505" s="18"/>
      <c r="L505" s="18"/>
    </row>
    <row r="506" spans="11:12" x14ac:dyDescent="0.2">
      <c r="K506" s="18"/>
      <c r="L506" s="18"/>
    </row>
    <row r="507" spans="11:12" x14ac:dyDescent="0.2">
      <c r="K507" s="18"/>
      <c r="L507" s="18"/>
    </row>
    <row r="508" spans="11:12" x14ac:dyDescent="0.2">
      <c r="K508" s="18"/>
      <c r="L508" s="18"/>
    </row>
    <row r="509" spans="11:12" x14ac:dyDescent="0.2">
      <c r="K509" s="18"/>
      <c r="L509" s="18"/>
    </row>
    <row r="510" spans="11:12" x14ac:dyDescent="0.2">
      <c r="K510" s="18"/>
      <c r="L510" s="18"/>
    </row>
    <row r="511" spans="11:12" x14ac:dyDescent="0.2">
      <c r="K511" s="18"/>
      <c r="L511" s="18"/>
    </row>
    <row r="512" spans="11:12" x14ac:dyDescent="0.2">
      <c r="K512" s="18"/>
      <c r="L512" s="18"/>
    </row>
    <row r="513" spans="11:12" x14ac:dyDescent="0.2">
      <c r="K513" s="18"/>
      <c r="L513" s="18"/>
    </row>
    <row r="514" spans="11:12" x14ac:dyDescent="0.2">
      <c r="K514" s="18"/>
      <c r="L514" s="18"/>
    </row>
    <row r="515" spans="11:12" x14ac:dyDescent="0.2">
      <c r="K515" s="18"/>
      <c r="L515" s="18"/>
    </row>
    <row r="516" spans="11:12" x14ac:dyDescent="0.2">
      <c r="K516" s="18"/>
      <c r="L516" s="18"/>
    </row>
    <row r="517" spans="11:12" x14ac:dyDescent="0.2">
      <c r="K517" s="18"/>
      <c r="L517" s="18"/>
    </row>
    <row r="518" spans="11:12" x14ac:dyDescent="0.2">
      <c r="K518" s="18"/>
      <c r="L518" s="18"/>
    </row>
    <row r="519" spans="11:12" x14ac:dyDescent="0.2">
      <c r="K519" s="18"/>
      <c r="L519" s="18"/>
    </row>
    <row r="520" spans="11:12" x14ac:dyDescent="0.2">
      <c r="K520" s="18"/>
      <c r="L520" s="18"/>
    </row>
    <row r="521" spans="11:12" x14ac:dyDescent="0.2">
      <c r="K521" s="18"/>
      <c r="L521" s="18"/>
    </row>
    <row r="522" spans="11:12" x14ac:dyDescent="0.2">
      <c r="K522" s="18"/>
      <c r="L522" s="18"/>
    </row>
    <row r="523" spans="11:12" x14ac:dyDescent="0.2">
      <c r="K523" s="18"/>
      <c r="L523" s="18"/>
    </row>
    <row r="524" spans="11:12" x14ac:dyDescent="0.2">
      <c r="K524" s="18"/>
      <c r="L524" s="18"/>
    </row>
    <row r="525" spans="11:12" x14ac:dyDescent="0.2">
      <c r="K525" s="18"/>
      <c r="L525" s="18"/>
    </row>
    <row r="526" spans="11:12" x14ac:dyDescent="0.2">
      <c r="K526" s="18"/>
      <c r="L526" s="18"/>
    </row>
    <row r="527" spans="11:12" x14ac:dyDescent="0.2">
      <c r="K527" s="18"/>
      <c r="L527" s="18"/>
    </row>
    <row r="528" spans="11:12" x14ac:dyDescent="0.2">
      <c r="K528" s="18"/>
      <c r="L528" s="18"/>
    </row>
    <row r="529" spans="11:12" x14ac:dyDescent="0.2">
      <c r="K529" s="18"/>
      <c r="L529" s="18"/>
    </row>
    <row r="530" spans="11:12" x14ac:dyDescent="0.2">
      <c r="K530" s="18"/>
      <c r="L530" s="18"/>
    </row>
    <row r="531" spans="11:12" x14ac:dyDescent="0.2">
      <c r="K531" s="18"/>
      <c r="L531" s="18"/>
    </row>
    <row r="532" spans="11:12" x14ac:dyDescent="0.2">
      <c r="K532" s="18"/>
      <c r="L532" s="18"/>
    </row>
    <row r="533" spans="11:12" x14ac:dyDescent="0.2">
      <c r="K533" s="18"/>
      <c r="L533" s="18"/>
    </row>
    <row r="534" spans="11:12" x14ac:dyDescent="0.2">
      <c r="K534" s="18"/>
      <c r="L534" s="18"/>
    </row>
    <row r="535" spans="11:12" x14ac:dyDescent="0.2">
      <c r="K535" s="18"/>
      <c r="L535" s="18"/>
    </row>
    <row r="536" spans="11:12" x14ac:dyDescent="0.2">
      <c r="K536" s="18"/>
      <c r="L536" s="18"/>
    </row>
    <row r="537" spans="11:12" x14ac:dyDescent="0.2">
      <c r="K537" s="18"/>
      <c r="L537" s="18"/>
    </row>
    <row r="538" spans="11:12" x14ac:dyDescent="0.2">
      <c r="K538" s="18"/>
      <c r="L538" s="18"/>
    </row>
    <row r="539" spans="11:12" x14ac:dyDescent="0.2">
      <c r="K539" s="18"/>
      <c r="L539" s="18"/>
    </row>
    <row r="540" spans="11:12" x14ac:dyDescent="0.2">
      <c r="K540" s="18"/>
      <c r="L540" s="18"/>
    </row>
    <row r="541" spans="11:12" x14ac:dyDescent="0.2">
      <c r="K541" s="18"/>
      <c r="L541" s="18"/>
    </row>
    <row r="542" spans="11:12" x14ac:dyDescent="0.2">
      <c r="K542" s="18"/>
      <c r="L542" s="18"/>
    </row>
    <row r="543" spans="11:12" x14ac:dyDescent="0.2">
      <c r="K543" s="18"/>
      <c r="L543" s="18"/>
    </row>
    <row r="544" spans="11:12" x14ac:dyDescent="0.2">
      <c r="K544" s="18"/>
      <c r="L544" s="18"/>
    </row>
    <row r="545" spans="11:12" x14ac:dyDescent="0.2">
      <c r="K545" s="18"/>
      <c r="L545" s="18"/>
    </row>
    <row r="546" spans="11:12" x14ac:dyDescent="0.2">
      <c r="K546" s="18"/>
      <c r="L546" s="18"/>
    </row>
    <row r="547" spans="11:12" x14ac:dyDescent="0.2">
      <c r="K547" s="18"/>
      <c r="L547" s="18"/>
    </row>
    <row r="548" spans="11:12" x14ac:dyDescent="0.2">
      <c r="K548" s="18"/>
      <c r="L548" s="18"/>
    </row>
    <row r="549" spans="11:12" x14ac:dyDescent="0.2">
      <c r="K549" s="18"/>
      <c r="L549" s="18"/>
    </row>
    <row r="550" spans="11:12" x14ac:dyDescent="0.2">
      <c r="K550" s="18"/>
      <c r="L550" s="18"/>
    </row>
    <row r="551" spans="11:12" x14ac:dyDescent="0.2">
      <c r="K551" s="18"/>
      <c r="L551" s="18"/>
    </row>
    <row r="552" spans="11:12" x14ac:dyDescent="0.2">
      <c r="K552" s="18"/>
      <c r="L552" s="18"/>
    </row>
    <row r="553" spans="11:12" x14ac:dyDescent="0.2">
      <c r="K553" s="18"/>
      <c r="L553" s="18"/>
    </row>
    <row r="554" spans="11:12" x14ac:dyDescent="0.2">
      <c r="K554" s="18"/>
      <c r="L554" s="18"/>
    </row>
    <row r="555" spans="11:12" x14ac:dyDescent="0.2">
      <c r="K555" s="18"/>
      <c r="L555" s="18"/>
    </row>
    <row r="556" spans="11:12" x14ac:dyDescent="0.2">
      <c r="K556" s="18"/>
      <c r="L556" s="18"/>
    </row>
    <row r="557" spans="11:12" x14ac:dyDescent="0.2">
      <c r="K557" s="18"/>
      <c r="L557" s="18"/>
    </row>
    <row r="558" spans="11:12" x14ac:dyDescent="0.2">
      <c r="K558" s="18"/>
      <c r="L558" s="18"/>
    </row>
    <row r="559" spans="11:12" x14ac:dyDescent="0.2">
      <c r="K559" s="18"/>
      <c r="L559" s="18"/>
    </row>
    <row r="560" spans="11:12" x14ac:dyDescent="0.2">
      <c r="K560" s="18"/>
      <c r="L560" s="18"/>
    </row>
    <row r="561" spans="11:12" x14ac:dyDescent="0.2">
      <c r="K561" s="18"/>
      <c r="L561" s="18"/>
    </row>
    <row r="562" spans="11:12" x14ac:dyDescent="0.2">
      <c r="K562" s="18"/>
      <c r="L562" s="18"/>
    </row>
    <row r="563" spans="11:12" x14ac:dyDescent="0.2">
      <c r="K563" s="18"/>
      <c r="L563" s="18"/>
    </row>
    <row r="564" spans="11:12" x14ac:dyDescent="0.2">
      <c r="K564" s="18"/>
      <c r="L564" s="18"/>
    </row>
    <row r="565" spans="11:12" x14ac:dyDescent="0.2">
      <c r="K565" s="18"/>
      <c r="L565" s="18"/>
    </row>
    <row r="566" spans="11:12" x14ac:dyDescent="0.2">
      <c r="K566" s="18"/>
      <c r="L566" s="18"/>
    </row>
    <row r="567" spans="11:12" x14ac:dyDescent="0.2">
      <c r="K567" s="18"/>
      <c r="L567" s="18"/>
    </row>
    <row r="568" spans="11:12" x14ac:dyDescent="0.2">
      <c r="K568" s="18"/>
      <c r="L568" s="18"/>
    </row>
    <row r="569" spans="11:12" x14ac:dyDescent="0.2">
      <c r="K569" s="18"/>
      <c r="L569" s="18"/>
    </row>
    <row r="570" spans="11:12" x14ac:dyDescent="0.2">
      <c r="K570" s="18"/>
      <c r="L570" s="18"/>
    </row>
    <row r="571" spans="11:12" x14ac:dyDescent="0.2">
      <c r="K571" s="18"/>
      <c r="L571" s="18"/>
    </row>
    <row r="572" spans="11:12" x14ac:dyDescent="0.2">
      <c r="K572" s="18"/>
      <c r="L572" s="18"/>
    </row>
    <row r="573" spans="11:12" x14ac:dyDescent="0.2">
      <c r="K573" s="18"/>
      <c r="L573" s="18"/>
    </row>
    <row r="574" spans="11:12" x14ac:dyDescent="0.2">
      <c r="K574" s="18"/>
      <c r="L574" s="18"/>
    </row>
    <row r="575" spans="11:12" x14ac:dyDescent="0.2">
      <c r="K575" s="18"/>
      <c r="L575" s="18"/>
    </row>
    <row r="576" spans="11:12" x14ac:dyDescent="0.2">
      <c r="K576" s="18"/>
      <c r="L576" s="18"/>
    </row>
    <row r="577" spans="11:12" x14ac:dyDescent="0.2">
      <c r="K577" s="18"/>
      <c r="L577" s="18"/>
    </row>
    <row r="578" spans="11:12" x14ac:dyDescent="0.2">
      <c r="K578" s="18"/>
      <c r="L578" s="18"/>
    </row>
    <row r="579" spans="11:12" x14ac:dyDescent="0.2">
      <c r="K579" s="18"/>
      <c r="L579" s="18"/>
    </row>
    <row r="580" spans="11:12" x14ac:dyDescent="0.2">
      <c r="K580" s="18"/>
      <c r="L580" s="18"/>
    </row>
    <row r="581" spans="11:12" x14ac:dyDescent="0.2">
      <c r="K581" s="18"/>
      <c r="L581" s="18"/>
    </row>
    <row r="582" spans="11:12" x14ac:dyDescent="0.2">
      <c r="K582" s="18"/>
      <c r="L582" s="18"/>
    </row>
    <row r="583" spans="11:12" x14ac:dyDescent="0.2">
      <c r="K583" s="18"/>
      <c r="L583" s="18"/>
    </row>
    <row r="584" spans="11:12" x14ac:dyDescent="0.2">
      <c r="K584" s="18"/>
      <c r="L584" s="18"/>
    </row>
    <row r="585" spans="11:12" x14ac:dyDescent="0.2">
      <c r="K585" s="18"/>
      <c r="L585" s="18"/>
    </row>
    <row r="586" spans="11:12" x14ac:dyDescent="0.2">
      <c r="K586" s="18"/>
      <c r="L586" s="18"/>
    </row>
    <row r="587" spans="11:12" x14ac:dyDescent="0.2">
      <c r="K587" s="18"/>
      <c r="L587" s="18"/>
    </row>
    <row r="588" spans="11:12" x14ac:dyDescent="0.2">
      <c r="K588" s="18"/>
      <c r="L588" s="18"/>
    </row>
    <row r="589" spans="11:12" x14ac:dyDescent="0.2">
      <c r="K589" s="18"/>
      <c r="L589" s="18"/>
    </row>
    <row r="590" spans="11:12" x14ac:dyDescent="0.2">
      <c r="K590" s="18"/>
      <c r="L590" s="18"/>
    </row>
    <row r="591" spans="11:12" x14ac:dyDescent="0.2">
      <c r="K591" s="18"/>
      <c r="L591" s="18"/>
    </row>
    <row r="592" spans="11:12" x14ac:dyDescent="0.2">
      <c r="K592" s="18"/>
      <c r="L592" s="18"/>
    </row>
    <row r="593" spans="11:12" x14ac:dyDescent="0.2">
      <c r="K593" s="18"/>
      <c r="L593" s="18"/>
    </row>
    <row r="594" spans="11:12" x14ac:dyDescent="0.2">
      <c r="K594" s="18"/>
      <c r="L594" s="18"/>
    </row>
    <row r="595" spans="11:12" x14ac:dyDescent="0.2">
      <c r="K595" s="18"/>
      <c r="L595" s="18"/>
    </row>
    <row r="596" spans="11:12" x14ac:dyDescent="0.2">
      <c r="K596" s="18"/>
      <c r="L596" s="18"/>
    </row>
    <row r="597" spans="11:12" x14ac:dyDescent="0.2">
      <c r="K597" s="18"/>
      <c r="L597" s="18"/>
    </row>
    <row r="598" spans="11:12" x14ac:dyDescent="0.2">
      <c r="K598" s="18"/>
      <c r="L598" s="18"/>
    </row>
    <row r="599" spans="11:12" x14ac:dyDescent="0.2">
      <c r="K599" s="18"/>
      <c r="L599" s="18"/>
    </row>
    <row r="600" spans="11:12" x14ac:dyDescent="0.2">
      <c r="K600" s="18"/>
      <c r="L600" s="18"/>
    </row>
    <row r="601" spans="11:12" x14ac:dyDescent="0.2">
      <c r="K601" s="18"/>
      <c r="L601" s="18"/>
    </row>
    <row r="602" spans="11:12" x14ac:dyDescent="0.2">
      <c r="K602" s="18"/>
      <c r="L602" s="18"/>
    </row>
    <row r="603" spans="11:12" x14ac:dyDescent="0.2">
      <c r="K603" s="18"/>
      <c r="L603" s="18"/>
    </row>
    <row r="604" spans="11:12" x14ac:dyDescent="0.2">
      <c r="K604" s="18"/>
      <c r="L604" s="18"/>
    </row>
    <row r="605" spans="11:12" x14ac:dyDescent="0.2">
      <c r="K605" s="18"/>
      <c r="L605" s="18"/>
    </row>
    <row r="606" spans="11:12" x14ac:dyDescent="0.2">
      <c r="K606" s="18"/>
      <c r="L606" s="18"/>
    </row>
    <row r="607" spans="11:12" x14ac:dyDescent="0.2">
      <c r="K607" s="18"/>
      <c r="L607" s="18"/>
    </row>
    <row r="608" spans="11:12" x14ac:dyDescent="0.2">
      <c r="K608" s="18"/>
      <c r="L608" s="18"/>
    </row>
    <row r="609" spans="11:12" x14ac:dyDescent="0.2">
      <c r="K609" s="18"/>
      <c r="L609" s="18"/>
    </row>
    <row r="610" spans="11:12" x14ac:dyDescent="0.2">
      <c r="K610" s="18"/>
      <c r="L610" s="18"/>
    </row>
    <row r="611" spans="11:12" x14ac:dyDescent="0.2">
      <c r="K611" s="18"/>
      <c r="L611" s="18"/>
    </row>
    <row r="612" spans="11:12" x14ac:dyDescent="0.2">
      <c r="K612" s="18"/>
      <c r="L612" s="18"/>
    </row>
    <row r="613" spans="11:12" x14ac:dyDescent="0.2">
      <c r="K613" s="18"/>
      <c r="L613" s="18"/>
    </row>
    <row r="614" spans="11:12" x14ac:dyDescent="0.2">
      <c r="K614" s="18"/>
      <c r="L614" s="18"/>
    </row>
    <row r="615" spans="11:12" x14ac:dyDescent="0.2">
      <c r="K615" s="18"/>
      <c r="L615" s="18"/>
    </row>
    <row r="616" spans="11:12" x14ac:dyDescent="0.2">
      <c r="K616" s="18"/>
      <c r="L616" s="18"/>
    </row>
    <row r="617" spans="11:12" x14ac:dyDescent="0.2">
      <c r="K617" s="18"/>
      <c r="L617" s="18"/>
    </row>
    <row r="618" spans="11:12" x14ac:dyDescent="0.2">
      <c r="K618" s="18"/>
      <c r="L618" s="18"/>
    </row>
    <row r="619" spans="11:12" x14ac:dyDescent="0.2">
      <c r="K619" s="18"/>
      <c r="L619" s="18"/>
    </row>
    <row r="620" spans="11:12" x14ac:dyDescent="0.2">
      <c r="K620" s="18"/>
      <c r="L620" s="18"/>
    </row>
    <row r="621" spans="11:12" x14ac:dyDescent="0.2">
      <c r="K621" s="18"/>
      <c r="L621" s="18"/>
    </row>
    <row r="622" spans="11:12" x14ac:dyDescent="0.2">
      <c r="K622" s="18"/>
      <c r="L622" s="18"/>
    </row>
    <row r="623" spans="11:12" x14ac:dyDescent="0.2">
      <c r="K623" s="18"/>
      <c r="L623" s="18"/>
    </row>
    <row r="624" spans="11:12" x14ac:dyDescent="0.2">
      <c r="K624" s="18"/>
      <c r="L624" s="18"/>
    </row>
    <row r="625" spans="11:12" x14ac:dyDescent="0.2">
      <c r="K625" s="18"/>
      <c r="L625" s="18"/>
    </row>
    <row r="626" spans="11:12" x14ac:dyDescent="0.2">
      <c r="K626" s="18"/>
      <c r="L626" s="18"/>
    </row>
    <row r="627" spans="11:12" x14ac:dyDescent="0.2">
      <c r="K627" s="18"/>
      <c r="L627" s="18"/>
    </row>
    <row r="628" spans="11:12" x14ac:dyDescent="0.2">
      <c r="K628" s="18"/>
      <c r="L628" s="18"/>
    </row>
    <row r="629" spans="11:12" x14ac:dyDescent="0.2">
      <c r="K629" s="18"/>
      <c r="L629" s="18"/>
    </row>
    <row r="630" spans="11:12" x14ac:dyDescent="0.2">
      <c r="K630" s="18"/>
      <c r="L630" s="18"/>
    </row>
    <row r="631" spans="11:12" x14ac:dyDescent="0.2">
      <c r="K631" s="18"/>
      <c r="L631" s="18"/>
    </row>
    <row r="632" spans="11:12" x14ac:dyDescent="0.2">
      <c r="K632" s="18"/>
      <c r="L632" s="18"/>
    </row>
    <row r="633" spans="11:12" x14ac:dyDescent="0.2">
      <c r="K633" s="18"/>
      <c r="L633" s="18"/>
    </row>
    <row r="634" spans="11:12" x14ac:dyDescent="0.2">
      <c r="K634" s="18"/>
      <c r="L634" s="18"/>
    </row>
    <row r="635" spans="11:12" x14ac:dyDescent="0.2">
      <c r="K635" s="18"/>
      <c r="L635" s="18"/>
    </row>
    <row r="636" spans="11:12" x14ac:dyDescent="0.2">
      <c r="K636" s="18"/>
      <c r="L636" s="18"/>
    </row>
    <row r="637" spans="11:12" x14ac:dyDescent="0.2">
      <c r="K637" s="18"/>
      <c r="L637" s="18"/>
    </row>
    <row r="638" spans="11:12" x14ac:dyDescent="0.2">
      <c r="K638" s="18"/>
      <c r="L638" s="18"/>
    </row>
    <row r="639" spans="11:12" x14ac:dyDescent="0.2">
      <c r="K639" s="18"/>
      <c r="L639" s="18"/>
    </row>
    <row r="640" spans="11:12" x14ac:dyDescent="0.2">
      <c r="K640" s="18"/>
      <c r="L640" s="18"/>
    </row>
    <row r="641" spans="11:12" x14ac:dyDescent="0.2">
      <c r="K641" s="18"/>
      <c r="L641" s="18"/>
    </row>
    <row r="642" spans="11:12" x14ac:dyDescent="0.2">
      <c r="K642" s="18"/>
      <c r="L642" s="18"/>
    </row>
    <row r="643" spans="11:12" x14ac:dyDescent="0.2">
      <c r="K643" s="18"/>
      <c r="L643" s="18"/>
    </row>
    <row r="644" spans="11:12" x14ac:dyDescent="0.2">
      <c r="K644" s="18"/>
      <c r="L644" s="18"/>
    </row>
    <row r="645" spans="11:12" x14ac:dyDescent="0.2">
      <c r="K645" s="18"/>
      <c r="L645" s="18"/>
    </row>
    <row r="646" spans="11:12" x14ac:dyDescent="0.2">
      <c r="K646" s="18"/>
      <c r="L646" s="18"/>
    </row>
    <row r="647" spans="11:12" x14ac:dyDescent="0.2">
      <c r="K647" s="18"/>
      <c r="L647" s="18"/>
    </row>
    <row r="648" spans="11:12" x14ac:dyDescent="0.2">
      <c r="K648" s="18"/>
      <c r="L648" s="18"/>
    </row>
    <row r="649" spans="11:12" x14ac:dyDescent="0.2">
      <c r="K649" s="18"/>
      <c r="L649" s="18"/>
    </row>
    <row r="650" spans="11:12" x14ac:dyDescent="0.2">
      <c r="K650" s="18"/>
      <c r="L650" s="18"/>
    </row>
    <row r="651" spans="11:12" x14ac:dyDescent="0.2">
      <c r="K651" s="18"/>
      <c r="L651" s="18"/>
    </row>
    <row r="652" spans="11:12" x14ac:dyDescent="0.2">
      <c r="K652" s="18"/>
      <c r="L652" s="18"/>
    </row>
    <row r="653" spans="11:12" x14ac:dyDescent="0.2">
      <c r="K653" s="18"/>
      <c r="L653" s="18"/>
    </row>
    <row r="654" spans="11:12" x14ac:dyDescent="0.2">
      <c r="K654" s="18"/>
      <c r="L654" s="18"/>
    </row>
    <row r="655" spans="11:12" x14ac:dyDescent="0.2">
      <c r="K655" s="18"/>
      <c r="L655" s="18"/>
    </row>
    <row r="656" spans="11:12" x14ac:dyDescent="0.2">
      <c r="K656" s="18"/>
      <c r="L656" s="18"/>
    </row>
    <row r="657" spans="11:12" x14ac:dyDescent="0.2">
      <c r="K657" s="18"/>
      <c r="L657" s="18"/>
    </row>
    <row r="658" spans="11:12" x14ac:dyDescent="0.2">
      <c r="K658" s="18"/>
      <c r="L658" s="18"/>
    </row>
    <row r="659" spans="11:12" x14ac:dyDescent="0.2">
      <c r="K659" s="18"/>
      <c r="L659" s="18"/>
    </row>
    <row r="660" spans="11:12" x14ac:dyDescent="0.2">
      <c r="K660" s="18"/>
      <c r="L660" s="18"/>
    </row>
    <row r="661" spans="11:12" x14ac:dyDescent="0.2">
      <c r="K661" s="18"/>
      <c r="L661" s="18"/>
    </row>
    <row r="662" spans="11:12" x14ac:dyDescent="0.2">
      <c r="K662" s="18"/>
      <c r="L662" s="18"/>
    </row>
    <row r="663" spans="11:12" x14ac:dyDescent="0.2">
      <c r="K663" s="18"/>
      <c r="L663" s="18"/>
    </row>
    <row r="664" spans="11:12" x14ac:dyDescent="0.2">
      <c r="K664" s="18"/>
      <c r="L664" s="18"/>
    </row>
    <row r="665" spans="11:12" x14ac:dyDescent="0.2">
      <c r="K665" s="18"/>
      <c r="L665" s="18"/>
    </row>
    <row r="666" spans="11:12" x14ac:dyDescent="0.2">
      <c r="K666" s="18"/>
      <c r="L666" s="18"/>
    </row>
    <row r="667" spans="11:12" x14ac:dyDescent="0.2">
      <c r="K667" s="18"/>
      <c r="L667" s="18"/>
    </row>
    <row r="668" spans="11:12" x14ac:dyDescent="0.2">
      <c r="K668" s="18"/>
      <c r="L668" s="18"/>
    </row>
    <row r="669" spans="11:12" x14ac:dyDescent="0.2">
      <c r="K669" s="18"/>
      <c r="L669" s="18"/>
    </row>
    <row r="670" spans="11:12" x14ac:dyDescent="0.2">
      <c r="K670" s="18"/>
      <c r="L670" s="18"/>
    </row>
    <row r="671" spans="11:12" x14ac:dyDescent="0.2">
      <c r="K671" s="18"/>
      <c r="L671" s="18"/>
    </row>
    <row r="672" spans="11:12" x14ac:dyDescent="0.2">
      <c r="K672" s="18"/>
      <c r="L672" s="18"/>
    </row>
    <row r="673" spans="11:12" x14ac:dyDescent="0.2">
      <c r="K673" s="18"/>
      <c r="L673" s="18"/>
    </row>
    <row r="674" spans="11:12" x14ac:dyDescent="0.2">
      <c r="K674" s="18"/>
      <c r="L674" s="18"/>
    </row>
    <row r="675" spans="11:12" x14ac:dyDescent="0.2">
      <c r="K675" s="18"/>
      <c r="L675" s="18"/>
    </row>
    <row r="676" spans="11:12" x14ac:dyDescent="0.2">
      <c r="K676" s="18"/>
      <c r="L676" s="18"/>
    </row>
    <row r="677" spans="11:12" x14ac:dyDescent="0.2">
      <c r="K677" s="18"/>
      <c r="L677" s="18"/>
    </row>
    <row r="678" spans="11:12" x14ac:dyDescent="0.2">
      <c r="K678" s="18"/>
      <c r="L678" s="18"/>
    </row>
    <row r="679" spans="11:12" x14ac:dyDescent="0.2">
      <c r="K679" s="18"/>
      <c r="L679" s="18"/>
    </row>
    <row r="680" spans="11:12" x14ac:dyDescent="0.2">
      <c r="K680" s="18"/>
      <c r="L680" s="18"/>
    </row>
    <row r="681" spans="11:12" x14ac:dyDescent="0.2">
      <c r="K681" s="18"/>
      <c r="L681" s="18"/>
    </row>
    <row r="682" spans="11:12" x14ac:dyDescent="0.2">
      <c r="K682" s="18"/>
      <c r="L682" s="18"/>
    </row>
    <row r="683" spans="11:12" x14ac:dyDescent="0.2">
      <c r="K683" s="18"/>
      <c r="L683" s="18"/>
    </row>
    <row r="684" spans="11:12" x14ac:dyDescent="0.2">
      <c r="K684" s="18"/>
      <c r="L684" s="18"/>
    </row>
    <row r="685" spans="11:12" x14ac:dyDescent="0.2">
      <c r="K685" s="18"/>
      <c r="L685" s="18"/>
    </row>
    <row r="686" spans="11:12" x14ac:dyDescent="0.2">
      <c r="K686" s="18"/>
      <c r="L686" s="18"/>
    </row>
    <row r="687" spans="11:12" x14ac:dyDescent="0.2">
      <c r="K687" s="18"/>
      <c r="L687" s="18"/>
    </row>
    <row r="688" spans="11:12" x14ac:dyDescent="0.2">
      <c r="K688" s="18"/>
      <c r="L688" s="18"/>
    </row>
    <row r="689" spans="11:12" x14ac:dyDescent="0.2">
      <c r="K689" s="18"/>
      <c r="L689" s="18"/>
    </row>
    <row r="690" spans="11:12" x14ac:dyDescent="0.2">
      <c r="K690" s="18"/>
      <c r="L690" s="18"/>
    </row>
    <row r="691" spans="11:12" x14ac:dyDescent="0.2">
      <c r="K691" s="18"/>
      <c r="L691" s="18"/>
    </row>
    <row r="692" spans="11:12" x14ac:dyDescent="0.2">
      <c r="K692" s="18"/>
      <c r="L692" s="18"/>
    </row>
    <row r="693" spans="11:12" x14ac:dyDescent="0.2">
      <c r="K693" s="18"/>
      <c r="L693" s="18"/>
    </row>
    <row r="694" spans="11:12" x14ac:dyDescent="0.2">
      <c r="K694" s="18"/>
      <c r="L694" s="18"/>
    </row>
    <row r="695" spans="11:12" x14ac:dyDescent="0.2">
      <c r="K695" s="18"/>
      <c r="L695" s="18"/>
    </row>
    <row r="696" spans="11:12" x14ac:dyDescent="0.2">
      <c r="K696" s="18"/>
      <c r="L696" s="18"/>
    </row>
    <row r="697" spans="11:12" x14ac:dyDescent="0.2">
      <c r="K697" s="18"/>
      <c r="L697" s="18"/>
    </row>
    <row r="698" spans="11:12" x14ac:dyDescent="0.2">
      <c r="K698" s="18"/>
      <c r="L698" s="18"/>
    </row>
    <row r="699" spans="11:12" x14ac:dyDescent="0.2">
      <c r="K699" s="18"/>
      <c r="L699" s="18"/>
    </row>
    <row r="700" spans="11:12" x14ac:dyDescent="0.2">
      <c r="K700" s="18"/>
      <c r="L700" s="18"/>
    </row>
    <row r="701" spans="11:12" x14ac:dyDescent="0.2">
      <c r="K701" s="18"/>
      <c r="L701" s="18"/>
    </row>
    <row r="702" spans="11:12" x14ac:dyDescent="0.2">
      <c r="K702" s="18"/>
      <c r="L702" s="18"/>
    </row>
    <row r="703" spans="11:12" x14ac:dyDescent="0.2">
      <c r="K703" s="18"/>
      <c r="L703" s="18"/>
    </row>
    <row r="704" spans="11:12" x14ac:dyDescent="0.2">
      <c r="K704" s="18"/>
      <c r="L704" s="18"/>
    </row>
    <row r="705" spans="11:12" x14ac:dyDescent="0.2">
      <c r="K705" s="18"/>
      <c r="L705" s="18"/>
    </row>
    <row r="706" spans="11:12" x14ac:dyDescent="0.2">
      <c r="K706" s="18"/>
      <c r="L706" s="18"/>
    </row>
    <row r="707" spans="11:12" x14ac:dyDescent="0.2">
      <c r="K707" s="18"/>
      <c r="L707" s="18"/>
    </row>
    <row r="708" spans="11:12" x14ac:dyDescent="0.2">
      <c r="K708" s="18"/>
      <c r="L708" s="18"/>
    </row>
    <row r="709" spans="11:12" x14ac:dyDescent="0.2">
      <c r="K709" s="18"/>
      <c r="L709" s="18"/>
    </row>
    <row r="710" spans="11:12" x14ac:dyDescent="0.2">
      <c r="K710" s="18"/>
      <c r="L710" s="18"/>
    </row>
    <row r="711" spans="11:12" x14ac:dyDescent="0.2">
      <c r="K711" s="18"/>
      <c r="L711" s="18"/>
    </row>
    <row r="712" spans="11:12" x14ac:dyDescent="0.2">
      <c r="K712" s="18"/>
      <c r="L712" s="18"/>
    </row>
    <row r="713" spans="11:12" x14ac:dyDescent="0.2">
      <c r="K713" s="18"/>
      <c r="L713" s="18"/>
    </row>
    <row r="714" spans="11:12" x14ac:dyDescent="0.2">
      <c r="K714" s="18"/>
      <c r="L714" s="18"/>
    </row>
    <row r="715" spans="11:12" x14ac:dyDescent="0.2">
      <c r="K715" s="18"/>
      <c r="L715" s="18"/>
    </row>
    <row r="716" spans="11:12" x14ac:dyDescent="0.2">
      <c r="K716" s="18"/>
      <c r="L716" s="18"/>
    </row>
    <row r="717" spans="11:12" x14ac:dyDescent="0.2">
      <c r="K717" s="18"/>
      <c r="L717" s="18"/>
    </row>
    <row r="718" spans="11:12" x14ac:dyDescent="0.2">
      <c r="K718" s="18"/>
      <c r="L718" s="18"/>
    </row>
    <row r="719" spans="11:12" x14ac:dyDescent="0.2">
      <c r="K719" s="18"/>
      <c r="L719" s="18"/>
    </row>
    <row r="720" spans="11:12" x14ac:dyDescent="0.2">
      <c r="K720" s="18"/>
      <c r="L720" s="18"/>
    </row>
    <row r="721" spans="11:12" x14ac:dyDescent="0.2">
      <c r="K721" s="18"/>
      <c r="L721" s="18"/>
    </row>
    <row r="722" spans="11:12" x14ac:dyDescent="0.2">
      <c r="K722" s="18"/>
      <c r="L722" s="18"/>
    </row>
    <row r="723" spans="11:12" x14ac:dyDescent="0.2">
      <c r="K723" s="18"/>
      <c r="L723" s="18"/>
    </row>
    <row r="724" spans="11:12" x14ac:dyDescent="0.2">
      <c r="K724" s="18"/>
      <c r="L724" s="18"/>
    </row>
    <row r="725" spans="11:12" x14ac:dyDescent="0.2">
      <c r="K725" s="18"/>
      <c r="L725" s="18"/>
    </row>
    <row r="726" spans="11:12" x14ac:dyDescent="0.2">
      <c r="K726" s="18"/>
      <c r="L726" s="18"/>
    </row>
    <row r="727" spans="11:12" x14ac:dyDescent="0.2">
      <c r="K727" s="18"/>
      <c r="L727" s="18"/>
    </row>
    <row r="728" spans="11:12" x14ac:dyDescent="0.2">
      <c r="K728" s="18"/>
      <c r="L728" s="18"/>
    </row>
    <row r="729" spans="11:12" x14ac:dyDescent="0.2">
      <c r="K729" s="18"/>
      <c r="L729" s="18"/>
    </row>
    <row r="730" spans="11:12" x14ac:dyDescent="0.2">
      <c r="K730" s="18"/>
      <c r="L730" s="18"/>
    </row>
    <row r="731" spans="11:12" x14ac:dyDescent="0.2">
      <c r="K731" s="18"/>
      <c r="L731" s="18"/>
    </row>
    <row r="732" spans="11:12" x14ac:dyDescent="0.2">
      <c r="K732" s="18"/>
      <c r="L732" s="18"/>
    </row>
    <row r="733" spans="11:12" x14ac:dyDescent="0.2">
      <c r="K733" s="18"/>
      <c r="L733" s="18"/>
    </row>
    <row r="734" spans="11:12" x14ac:dyDescent="0.2">
      <c r="K734" s="18"/>
      <c r="L734" s="18"/>
    </row>
    <row r="735" spans="11:12" x14ac:dyDescent="0.2">
      <c r="K735" s="18"/>
      <c r="L735" s="18"/>
    </row>
    <row r="736" spans="11:12" x14ac:dyDescent="0.2">
      <c r="K736" s="18"/>
      <c r="L736" s="18"/>
    </row>
    <row r="737" spans="11:12" x14ac:dyDescent="0.2">
      <c r="K737" s="18"/>
      <c r="L737" s="18"/>
    </row>
    <row r="738" spans="11:12" x14ac:dyDescent="0.2">
      <c r="K738" s="18"/>
      <c r="L738" s="18"/>
    </row>
    <row r="739" spans="11:12" x14ac:dyDescent="0.2">
      <c r="K739" s="18"/>
      <c r="L739" s="18"/>
    </row>
    <row r="740" spans="11:12" x14ac:dyDescent="0.2">
      <c r="K740" s="18"/>
      <c r="L740" s="18"/>
    </row>
    <row r="741" spans="11:12" x14ac:dyDescent="0.2">
      <c r="K741" s="18"/>
      <c r="L741" s="18"/>
    </row>
    <row r="742" spans="11:12" x14ac:dyDescent="0.2">
      <c r="K742" s="18"/>
      <c r="L742" s="18"/>
    </row>
    <row r="743" spans="11:12" x14ac:dyDescent="0.2">
      <c r="K743" s="18"/>
      <c r="L743" s="18"/>
    </row>
    <row r="744" spans="11:12" x14ac:dyDescent="0.2">
      <c r="K744" s="18"/>
      <c r="L744" s="18"/>
    </row>
    <row r="745" spans="11:12" x14ac:dyDescent="0.2">
      <c r="K745" s="18"/>
      <c r="L745" s="18"/>
    </row>
    <row r="746" spans="11:12" x14ac:dyDescent="0.2">
      <c r="K746" s="18"/>
      <c r="L746" s="18"/>
    </row>
    <row r="747" spans="11:12" x14ac:dyDescent="0.2">
      <c r="K747" s="18"/>
      <c r="L747" s="18"/>
    </row>
    <row r="748" spans="11:12" x14ac:dyDescent="0.2">
      <c r="K748" s="18"/>
      <c r="L748" s="18"/>
    </row>
    <row r="749" spans="11:12" x14ac:dyDescent="0.2">
      <c r="K749" s="18"/>
      <c r="L749" s="18"/>
    </row>
    <row r="750" spans="11:12" x14ac:dyDescent="0.2">
      <c r="K750" s="18"/>
      <c r="L750" s="18"/>
    </row>
    <row r="751" spans="11:12" x14ac:dyDescent="0.2">
      <c r="K751" s="18"/>
      <c r="L751" s="18"/>
    </row>
    <row r="752" spans="11:12" x14ac:dyDescent="0.2">
      <c r="K752" s="18"/>
      <c r="L752" s="18"/>
    </row>
    <row r="753" spans="11:12" x14ac:dyDescent="0.2">
      <c r="K753" s="18"/>
      <c r="L753" s="18"/>
    </row>
    <row r="754" spans="11:12" x14ac:dyDescent="0.2">
      <c r="K754" s="18"/>
      <c r="L754" s="18"/>
    </row>
    <row r="755" spans="11:12" x14ac:dyDescent="0.2">
      <c r="K755" s="18"/>
      <c r="L755" s="18"/>
    </row>
    <row r="756" spans="11:12" x14ac:dyDescent="0.2">
      <c r="K756" s="18"/>
      <c r="L756" s="18"/>
    </row>
    <row r="757" spans="11:12" x14ac:dyDescent="0.2">
      <c r="K757" s="18"/>
      <c r="L757" s="18"/>
    </row>
    <row r="758" spans="11:12" x14ac:dyDescent="0.2">
      <c r="K758" s="18"/>
      <c r="L758" s="18"/>
    </row>
    <row r="759" spans="11:12" x14ac:dyDescent="0.2">
      <c r="K759" s="18"/>
      <c r="L759" s="18"/>
    </row>
    <row r="760" spans="11:12" x14ac:dyDescent="0.2">
      <c r="K760" s="18"/>
      <c r="L760" s="18"/>
    </row>
    <row r="761" spans="11:12" x14ac:dyDescent="0.2">
      <c r="K761" s="18"/>
      <c r="L761" s="18"/>
    </row>
    <row r="762" spans="11:12" x14ac:dyDescent="0.2">
      <c r="K762" s="18"/>
      <c r="L762" s="18"/>
    </row>
    <row r="763" spans="11:12" x14ac:dyDescent="0.2">
      <c r="K763" s="18"/>
      <c r="L763" s="18"/>
    </row>
    <row r="764" spans="11:12" x14ac:dyDescent="0.2">
      <c r="K764" s="18"/>
      <c r="L764" s="18"/>
    </row>
    <row r="765" spans="11:12" x14ac:dyDescent="0.2">
      <c r="K765" s="18"/>
      <c r="L765" s="18"/>
    </row>
    <row r="766" spans="11:12" x14ac:dyDescent="0.2">
      <c r="K766" s="18"/>
      <c r="L766" s="18"/>
    </row>
    <row r="767" spans="11:12" x14ac:dyDescent="0.2">
      <c r="K767" s="18"/>
      <c r="L767" s="18"/>
    </row>
    <row r="768" spans="11:12" x14ac:dyDescent="0.2">
      <c r="K768" s="18"/>
      <c r="L768" s="18"/>
    </row>
    <row r="769" spans="11:12" x14ac:dyDescent="0.2">
      <c r="K769" s="18"/>
      <c r="L769" s="18"/>
    </row>
    <row r="770" spans="11:12" x14ac:dyDescent="0.2">
      <c r="K770" s="18"/>
      <c r="L770" s="18"/>
    </row>
    <row r="771" spans="11:12" x14ac:dyDescent="0.2">
      <c r="K771" s="18"/>
      <c r="L771" s="18"/>
    </row>
    <row r="772" spans="11:12" x14ac:dyDescent="0.2">
      <c r="K772" s="18"/>
      <c r="L772" s="18"/>
    </row>
    <row r="773" spans="11:12" x14ac:dyDescent="0.2">
      <c r="K773" s="18"/>
      <c r="L773" s="18"/>
    </row>
    <row r="774" spans="11:12" x14ac:dyDescent="0.2">
      <c r="K774" s="18"/>
      <c r="L774" s="18"/>
    </row>
    <row r="775" spans="11:12" x14ac:dyDescent="0.2">
      <c r="K775" s="18"/>
      <c r="L775" s="18"/>
    </row>
    <row r="776" spans="11:12" x14ac:dyDescent="0.2">
      <c r="K776" s="18"/>
      <c r="L776" s="18"/>
    </row>
    <row r="777" spans="11:12" x14ac:dyDescent="0.2">
      <c r="K777" s="18"/>
      <c r="L777" s="18"/>
    </row>
    <row r="778" spans="11:12" x14ac:dyDescent="0.2">
      <c r="K778" s="18"/>
      <c r="L778" s="18"/>
    </row>
    <row r="779" spans="11:12" x14ac:dyDescent="0.2">
      <c r="K779" s="18"/>
      <c r="L779" s="18"/>
    </row>
    <row r="780" spans="11:12" x14ac:dyDescent="0.2">
      <c r="K780" s="18"/>
      <c r="L780" s="18"/>
    </row>
    <row r="781" spans="11:12" x14ac:dyDescent="0.2">
      <c r="K781" s="18"/>
      <c r="L781" s="18"/>
    </row>
    <row r="782" spans="11:12" x14ac:dyDescent="0.2">
      <c r="K782" s="18"/>
      <c r="L782" s="18"/>
    </row>
    <row r="783" spans="11:12" x14ac:dyDescent="0.2">
      <c r="K783" s="18"/>
      <c r="L783" s="18"/>
    </row>
    <row r="784" spans="11:12" x14ac:dyDescent="0.2">
      <c r="K784" s="18"/>
      <c r="L784" s="18"/>
    </row>
    <row r="785" spans="11:12" x14ac:dyDescent="0.2">
      <c r="K785" s="18"/>
      <c r="L785" s="18"/>
    </row>
    <row r="786" spans="11:12" x14ac:dyDescent="0.2">
      <c r="K786" s="18"/>
      <c r="L786" s="18"/>
    </row>
    <row r="787" spans="11:12" x14ac:dyDescent="0.2">
      <c r="K787" s="18"/>
      <c r="L787" s="18"/>
    </row>
    <row r="788" spans="11:12" x14ac:dyDescent="0.2">
      <c r="K788" s="18"/>
      <c r="L788" s="18"/>
    </row>
    <row r="789" spans="11:12" x14ac:dyDescent="0.2">
      <c r="K789" s="18"/>
      <c r="L789" s="18"/>
    </row>
    <row r="790" spans="11:12" x14ac:dyDescent="0.2">
      <c r="K790" s="18"/>
      <c r="L790" s="18"/>
    </row>
    <row r="791" spans="11:12" x14ac:dyDescent="0.2">
      <c r="K791" s="18"/>
      <c r="L791" s="18"/>
    </row>
    <row r="792" spans="11:12" x14ac:dyDescent="0.2">
      <c r="K792" s="18"/>
      <c r="L792" s="18"/>
    </row>
    <row r="793" spans="11:12" x14ac:dyDescent="0.2">
      <c r="K793" s="18"/>
      <c r="L793" s="18"/>
    </row>
    <row r="794" spans="11:12" x14ac:dyDescent="0.2">
      <c r="K794" s="18"/>
      <c r="L794" s="18"/>
    </row>
    <row r="795" spans="11:12" x14ac:dyDescent="0.2">
      <c r="K795" s="18"/>
      <c r="L795" s="18"/>
    </row>
    <row r="796" spans="11:12" x14ac:dyDescent="0.2">
      <c r="K796" s="18"/>
      <c r="L796" s="18"/>
    </row>
    <row r="797" spans="11:12" x14ac:dyDescent="0.2">
      <c r="K797" s="18"/>
      <c r="L797" s="18"/>
    </row>
    <row r="798" spans="11:12" x14ac:dyDescent="0.2">
      <c r="K798" s="18"/>
      <c r="L798" s="18"/>
    </row>
    <row r="799" spans="11:12" x14ac:dyDescent="0.2">
      <c r="K799" s="18"/>
      <c r="L799" s="18"/>
    </row>
    <row r="800" spans="11:12" x14ac:dyDescent="0.2">
      <c r="K800" s="18"/>
      <c r="L800" s="18"/>
    </row>
    <row r="801" spans="11:12" x14ac:dyDescent="0.2">
      <c r="K801" s="18"/>
      <c r="L801" s="18"/>
    </row>
    <row r="802" spans="11:12" x14ac:dyDescent="0.2">
      <c r="K802" s="18"/>
      <c r="L802" s="18"/>
    </row>
    <row r="803" spans="11:12" x14ac:dyDescent="0.2">
      <c r="K803" s="18"/>
      <c r="L803" s="18"/>
    </row>
    <row r="804" spans="11:12" x14ac:dyDescent="0.2">
      <c r="K804" s="18"/>
      <c r="L804" s="18"/>
    </row>
    <row r="805" spans="11:12" x14ac:dyDescent="0.2">
      <c r="K805" s="18"/>
      <c r="L805" s="18"/>
    </row>
    <row r="806" spans="11:12" x14ac:dyDescent="0.2">
      <c r="K806" s="18"/>
      <c r="L806" s="18"/>
    </row>
    <row r="807" spans="11:12" x14ac:dyDescent="0.2">
      <c r="K807" s="18"/>
      <c r="L807" s="18"/>
    </row>
    <row r="808" spans="11:12" x14ac:dyDescent="0.2">
      <c r="K808" s="18"/>
      <c r="L808" s="18"/>
    </row>
    <row r="809" spans="11:12" x14ac:dyDescent="0.2">
      <c r="K809" s="18"/>
      <c r="L809" s="18"/>
    </row>
    <row r="810" spans="11:12" x14ac:dyDescent="0.2">
      <c r="K810" s="18"/>
      <c r="L810" s="18"/>
    </row>
    <row r="811" spans="11:12" x14ac:dyDescent="0.2">
      <c r="K811" s="18"/>
      <c r="L811" s="18"/>
    </row>
    <row r="812" spans="11:12" x14ac:dyDescent="0.2">
      <c r="K812" s="18"/>
      <c r="L812" s="18"/>
    </row>
    <row r="813" spans="11:12" x14ac:dyDescent="0.2">
      <c r="K813" s="18"/>
      <c r="L813" s="18"/>
    </row>
    <row r="814" spans="11:12" x14ac:dyDescent="0.2">
      <c r="K814" s="18"/>
      <c r="L814" s="18"/>
    </row>
    <row r="815" spans="11:12" x14ac:dyDescent="0.2">
      <c r="K815" s="18"/>
      <c r="L815" s="18"/>
    </row>
    <row r="816" spans="11:12" x14ac:dyDescent="0.2">
      <c r="K816" s="18"/>
      <c r="L816" s="18"/>
    </row>
    <row r="817" spans="11:12" x14ac:dyDescent="0.2">
      <c r="K817" s="18"/>
      <c r="L817" s="18"/>
    </row>
    <row r="818" spans="11:12" x14ac:dyDescent="0.2">
      <c r="K818" s="18"/>
      <c r="L818" s="18"/>
    </row>
    <row r="819" spans="11:12" x14ac:dyDescent="0.2">
      <c r="K819" s="18"/>
      <c r="L819" s="18"/>
    </row>
    <row r="820" spans="11:12" x14ac:dyDescent="0.2">
      <c r="K820" s="18"/>
      <c r="L820" s="18"/>
    </row>
    <row r="821" spans="11:12" x14ac:dyDescent="0.2">
      <c r="K821" s="18"/>
      <c r="L821" s="18"/>
    </row>
    <row r="822" spans="11:12" x14ac:dyDescent="0.2">
      <c r="K822" s="18"/>
      <c r="L822" s="18"/>
    </row>
    <row r="823" spans="11:12" x14ac:dyDescent="0.2">
      <c r="K823" s="18"/>
      <c r="L823" s="18"/>
    </row>
    <row r="824" spans="11:12" x14ac:dyDescent="0.2">
      <c r="K824" s="18"/>
      <c r="L824" s="18"/>
    </row>
    <row r="825" spans="11:12" x14ac:dyDescent="0.2">
      <c r="K825" s="18"/>
      <c r="L825" s="18"/>
    </row>
    <row r="826" spans="11:12" x14ac:dyDescent="0.2">
      <c r="K826" s="18"/>
      <c r="L826" s="18"/>
    </row>
    <row r="827" spans="11:12" x14ac:dyDescent="0.2">
      <c r="K827" s="18"/>
      <c r="L827" s="18"/>
    </row>
    <row r="828" spans="11:12" x14ac:dyDescent="0.2">
      <c r="K828" s="18"/>
      <c r="L828" s="18"/>
    </row>
    <row r="829" spans="11:12" x14ac:dyDescent="0.2">
      <c r="K829" s="18"/>
      <c r="L829" s="18"/>
    </row>
    <row r="830" spans="11:12" x14ac:dyDescent="0.2">
      <c r="K830" s="18"/>
      <c r="L830" s="18"/>
    </row>
    <row r="831" spans="11:12" x14ac:dyDescent="0.2">
      <c r="K831" s="18"/>
      <c r="L831" s="18"/>
    </row>
    <row r="832" spans="11:12" x14ac:dyDescent="0.2">
      <c r="K832" s="18"/>
      <c r="L832" s="18"/>
    </row>
    <row r="833" spans="11:12" x14ac:dyDescent="0.2">
      <c r="K833" s="18"/>
      <c r="L833" s="18"/>
    </row>
    <row r="834" spans="11:12" x14ac:dyDescent="0.2">
      <c r="K834" s="18"/>
      <c r="L834" s="18"/>
    </row>
    <row r="835" spans="11:12" x14ac:dyDescent="0.2">
      <c r="K835" s="18"/>
      <c r="L835" s="18"/>
    </row>
    <row r="836" spans="11:12" x14ac:dyDescent="0.2">
      <c r="K836" s="18"/>
      <c r="L836" s="18"/>
    </row>
    <row r="837" spans="11:12" x14ac:dyDescent="0.2">
      <c r="K837" s="18"/>
      <c r="L837" s="18"/>
    </row>
    <row r="838" spans="11:12" x14ac:dyDescent="0.2">
      <c r="K838" s="18"/>
      <c r="L838" s="18"/>
    </row>
    <row r="839" spans="11:12" x14ac:dyDescent="0.2">
      <c r="K839" s="18"/>
      <c r="L839" s="18"/>
    </row>
    <row r="840" spans="11:12" x14ac:dyDescent="0.2">
      <c r="K840" s="18"/>
      <c r="L840" s="18"/>
    </row>
    <row r="841" spans="11:12" x14ac:dyDescent="0.2">
      <c r="K841" s="18"/>
      <c r="L841" s="18"/>
    </row>
    <row r="842" spans="11:12" x14ac:dyDescent="0.2">
      <c r="K842" s="18"/>
      <c r="L842" s="18"/>
    </row>
    <row r="843" spans="11:12" x14ac:dyDescent="0.2">
      <c r="K843" s="18"/>
      <c r="L843" s="18"/>
    </row>
    <row r="844" spans="11:12" x14ac:dyDescent="0.2">
      <c r="K844" s="18"/>
      <c r="L844" s="18"/>
    </row>
    <row r="845" spans="11:12" x14ac:dyDescent="0.2">
      <c r="K845" s="18"/>
      <c r="L845" s="18"/>
    </row>
    <row r="846" spans="11:12" x14ac:dyDescent="0.2">
      <c r="K846" s="18"/>
      <c r="L846" s="18"/>
    </row>
    <row r="847" spans="11:12" x14ac:dyDescent="0.2">
      <c r="K847" s="18"/>
      <c r="L847" s="18"/>
    </row>
    <row r="848" spans="11:12" x14ac:dyDescent="0.2">
      <c r="K848" s="18"/>
      <c r="L848" s="18"/>
    </row>
    <row r="849" spans="11:12" x14ac:dyDescent="0.2">
      <c r="K849" s="18"/>
      <c r="L849" s="18"/>
    </row>
    <row r="850" spans="11:12" x14ac:dyDescent="0.2">
      <c r="K850" s="18"/>
      <c r="L850" s="18"/>
    </row>
    <row r="851" spans="11:12" x14ac:dyDescent="0.2">
      <c r="K851" s="18"/>
      <c r="L851" s="18"/>
    </row>
    <row r="852" spans="11:12" x14ac:dyDescent="0.2">
      <c r="K852" s="18"/>
      <c r="L852" s="18"/>
    </row>
    <row r="853" spans="11:12" x14ac:dyDescent="0.2">
      <c r="K853" s="18"/>
      <c r="L853" s="18"/>
    </row>
    <row r="854" spans="11:12" x14ac:dyDescent="0.2">
      <c r="K854" s="18"/>
      <c r="L854" s="18"/>
    </row>
    <row r="855" spans="11:12" x14ac:dyDescent="0.2">
      <c r="K855" s="18"/>
      <c r="L855" s="18"/>
    </row>
    <row r="856" spans="11:12" x14ac:dyDescent="0.2">
      <c r="K856" s="18"/>
      <c r="L856" s="18"/>
    </row>
    <row r="857" spans="11:12" x14ac:dyDescent="0.2">
      <c r="K857" s="18"/>
      <c r="L857" s="18"/>
    </row>
    <row r="858" spans="11:12" x14ac:dyDescent="0.2">
      <c r="K858" s="18"/>
      <c r="L858" s="18"/>
    </row>
    <row r="859" spans="11:12" x14ac:dyDescent="0.2">
      <c r="K859" s="18"/>
      <c r="L859" s="18"/>
    </row>
    <row r="860" spans="11:12" x14ac:dyDescent="0.2">
      <c r="K860" s="18"/>
      <c r="L860" s="18"/>
    </row>
    <row r="861" spans="11:12" x14ac:dyDescent="0.2">
      <c r="K861" s="18"/>
      <c r="L861" s="18"/>
    </row>
    <row r="862" spans="11:12" x14ac:dyDescent="0.2">
      <c r="K862" s="18"/>
      <c r="L862" s="18"/>
    </row>
    <row r="863" spans="11:12" x14ac:dyDescent="0.2">
      <c r="K863" s="18"/>
      <c r="L863" s="18"/>
    </row>
    <row r="864" spans="11:12" x14ac:dyDescent="0.2">
      <c r="K864" s="18"/>
      <c r="L864" s="18"/>
    </row>
    <row r="865" spans="11:12" x14ac:dyDescent="0.2">
      <c r="K865" s="18"/>
      <c r="L865" s="18"/>
    </row>
    <row r="866" spans="11:12" x14ac:dyDescent="0.2">
      <c r="K866" s="18"/>
      <c r="L866" s="18"/>
    </row>
    <row r="867" spans="11:12" x14ac:dyDescent="0.2">
      <c r="K867" s="18"/>
      <c r="L867" s="18"/>
    </row>
    <row r="868" spans="11:12" x14ac:dyDescent="0.2">
      <c r="K868" s="18"/>
      <c r="L868" s="18"/>
    </row>
    <row r="869" spans="11:12" x14ac:dyDescent="0.2">
      <c r="K869" s="18"/>
      <c r="L869" s="18"/>
    </row>
    <row r="870" spans="11:12" x14ac:dyDescent="0.2">
      <c r="K870" s="18"/>
      <c r="L870" s="18"/>
    </row>
    <row r="871" spans="11:12" x14ac:dyDescent="0.2">
      <c r="K871" s="18"/>
      <c r="L871" s="18"/>
    </row>
    <row r="872" spans="11:12" x14ac:dyDescent="0.2">
      <c r="K872" s="18"/>
      <c r="L872" s="18"/>
    </row>
    <row r="873" spans="11:12" x14ac:dyDescent="0.2">
      <c r="K873" s="18"/>
      <c r="L873" s="18"/>
    </row>
    <row r="874" spans="11:12" x14ac:dyDescent="0.2">
      <c r="K874" s="18"/>
      <c r="L874" s="18"/>
    </row>
    <row r="875" spans="11:12" x14ac:dyDescent="0.2">
      <c r="K875" s="18"/>
      <c r="L875" s="18"/>
    </row>
    <row r="876" spans="11:12" x14ac:dyDescent="0.2">
      <c r="K876" s="18"/>
      <c r="L876" s="18"/>
    </row>
    <row r="877" spans="11:12" x14ac:dyDescent="0.2">
      <c r="K877" s="18"/>
      <c r="L877" s="18"/>
    </row>
    <row r="878" spans="11:12" x14ac:dyDescent="0.2">
      <c r="K878" s="18"/>
      <c r="L878" s="18"/>
    </row>
    <row r="879" spans="11:12" x14ac:dyDescent="0.2">
      <c r="K879" s="18"/>
      <c r="L879" s="18"/>
    </row>
    <row r="880" spans="11:12" x14ac:dyDescent="0.2">
      <c r="K880" s="18"/>
      <c r="L880" s="18"/>
    </row>
    <row r="881" spans="11:12" x14ac:dyDescent="0.2">
      <c r="K881" s="18"/>
      <c r="L881" s="18"/>
    </row>
    <row r="882" spans="11:12" x14ac:dyDescent="0.2">
      <c r="K882" s="18"/>
      <c r="L882" s="18"/>
    </row>
    <row r="883" spans="11:12" x14ac:dyDescent="0.2">
      <c r="K883" s="18"/>
      <c r="L883" s="18"/>
    </row>
    <row r="884" spans="11:12" x14ac:dyDescent="0.2">
      <c r="K884" s="18"/>
      <c r="L884" s="18"/>
    </row>
    <row r="885" spans="11:12" x14ac:dyDescent="0.2">
      <c r="K885" s="18"/>
      <c r="L885" s="18"/>
    </row>
    <row r="886" spans="11:12" x14ac:dyDescent="0.2">
      <c r="K886" s="18"/>
      <c r="L886" s="18"/>
    </row>
    <row r="887" spans="11:12" x14ac:dyDescent="0.2">
      <c r="K887" s="18"/>
      <c r="L887" s="18"/>
    </row>
    <row r="888" spans="11:12" x14ac:dyDescent="0.2">
      <c r="K888" s="18"/>
      <c r="L888" s="18"/>
    </row>
    <row r="889" spans="11:12" x14ac:dyDescent="0.2">
      <c r="K889" s="18"/>
      <c r="L889" s="18"/>
    </row>
    <row r="890" spans="11:12" x14ac:dyDescent="0.2">
      <c r="K890" s="18"/>
      <c r="L890" s="18"/>
    </row>
    <row r="891" spans="11:12" x14ac:dyDescent="0.2">
      <c r="K891" s="18"/>
      <c r="L891" s="18"/>
    </row>
    <row r="892" spans="11:12" x14ac:dyDescent="0.2">
      <c r="K892" s="18"/>
      <c r="L892" s="18"/>
    </row>
    <row r="893" spans="11:12" x14ac:dyDescent="0.2">
      <c r="K893" s="18"/>
      <c r="L893" s="18"/>
    </row>
    <row r="894" spans="11:12" x14ac:dyDescent="0.2">
      <c r="K894" s="18"/>
      <c r="L894" s="18"/>
    </row>
    <row r="895" spans="11:12" x14ac:dyDescent="0.2">
      <c r="K895" s="18"/>
      <c r="L895" s="18"/>
    </row>
    <row r="896" spans="11:12" x14ac:dyDescent="0.2">
      <c r="K896" s="18"/>
      <c r="L896" s="18"/>
    </row>
    <row r="897" spans="11:12" x14ac:dyDescent="0.2">
      <c r="K897" s="18"/>
      <c r="L897" s="18"/>
    </row>
    <row r="898" spans="11:12" x14ac:dyDescent="0.2">
      <c r="K898" s="18"/>
      <c r="L898" s="18"/>
    </row>
    <row r="899" spans="11:12" x14ac:dyDescent="0.2">
      <c r="K899" s="18"/>
      <c r="L899" s="18"/>
    </row>
    <row r="900" spans="11:12" x14ac:dyDescent="0.2">
      <c r="K900" s="18"/>
      <c r="L900" s="18"/>
    </row>
    <row r="901" spans="11:12" x14ac:dyDescent="0.2">
      <c r="K901" s="18"/>
      <c r="L901" s="18"/>
    </row>
    <row r="902" spans="11:12" x14ac:dyDescent="0.2">
      <c r="K902" s="18"/>
      <c r="L902" s="18"/>
    </row>
    <row r="903" spans="11:12" x14ac:dyDescent="0.2">
      <c r="K903" s="18"/>
      <c r="L903" s="18"/>
    </row>
    <row r="904" spans="11:12" x14ac:dyDescent="0.2">
      <c r="K904" s="18"/>
      <c r="L904" s="18"/>
    </row>
    <row r="905" spans="11:12" x14ac:dyDescent="0.2">
      <c r="K905" s="18"/>
      <c r="L905" s="18"/>
    </row>
    <row r="906" spans="11:12" x14ac:dyDescent="0.2">
      <c r="K906" s="18"/>
      <c r="L906" s="18"/>
    </row>
    <row r="907" spans="11:12" x14ac:dyDescent="0.2">
      <c r="K907" s="18"/>
      <c r="L907" s="18"/>
    </row>
    <row r="908" spans="11:12" x14ac:dyDescent="0.2">
      <c r="K908" s="18"/>
      <c r="L908" s="18"/>
    </row>
    <row r="909" spans="11:12" x14ac:dyDescent="0.2">
      <c r="K909" s="18"/>
      <c r="L909" s="18"/>
    </row>
    <row r="910" spans="11:12" x14ac:dyDescent="0.2">
      <c r="K910" s="18"/>
      <c r="L910" s="18"/>
    </row>
    <row r="911" spans="11:12" x14ac:dyDescent="0.2">
      <c r="K911" s="18"/>
      <c r="L911" s="18"/>
    </row>
    <row r="912" spans="11:12" x14ac:dyDescent="0.2">
      <c r="K912" s="18"/>
      <c r="L912" s="18"/>
    </row>
    <row r="913" spans="11:12" x14ac:dyDescent="0.2">
      <c r="K913" s="18"/>
      <c r="L913" s="18"/>
    </row>
    <row r="914" spans="11:12" x14ac:dyDescent="0.2">
      <c r="K914" s="18"/>
      <c r="L914" s="18"/>
    </row>
    <row r="915" spans="11:12" x14ac:dyDescent="0.2">
      <c r="K915" s="18"/>
      <c r="L915" s="18"/>
    </row>
    <row r="916" spans="11:12" x14ac:dyDescent="0.2">
      <c r="K916" s="18"/>
      <c r="L916" s="18"/>
    </row>
    <row r="917" spans="11:12" x14ac:dyDescent="0.2">
      <c r="K917" s="18"/>
      <c r="L917" s="18"/>
    </row>
    <row r="918" spans="11:12" x14ac:dyDescent="0.2">
      <c r="K918" s="18"/>
      <c r="L918" s="18"/>
    </row>
    <row r="919" spans="11:12" x14ac:dyDescent="0.2">
      <c r="K919" s="18"/>
      <c r="L919" s="18"/>
    </row>
    <row r="920" spans="11:12" x14ac:dyDescent="0.2">
      <c r="K920" s="18"/>
      <c r="L920" s="18"/>
    </row>
    <row r="921" spans="11:12" x14ac:dyDescent="0.2">
      <c r="K921" s="18"/>
      <c r="L921" s="18"/>
    </row>
    <row r="922" spans="11:12" x14ac:dyDescent="0.2">
      <c r="K922" s="18"/>
      <c r="L922" s="18"/>
    </row>
    <row r="923" spans="11:12" x14ac:dyDescent="0.2">
      <c r="K923" s="18"/>
      <c r="L923" s="18"/>
    </row>
    <row r="924" spans="11:12" x14ac:dyDescent="0.2">
      <c r="K924" s="18"/>
      <c r="L924" s="18"/>
    </row>
    <row r="925" spans="11:12" x14ac:dyDescent="0.2">
      <c r="K925" s="18"/>
      <c r="L925" s="18"/>
    </row>
    <row r="926" spans="11:12" x14ac:dyDescent="0.2">
      <c r="K926" s="18"/>
      <c r="L926" s="18"/>
    </row>
    <row r="927" spans="11:12" x14ac:dyDescent="0.2">
      <c r="K927" s="18"/>
      <c r="L927" s="18"/>
    </row>
    <row r="928" spans="11:12" x14ac:dyDescent="0.2">
      <c r="K928" s="18"/>
      <c r="L928" s="18"/>
    </row>
    <row r="929" spans="11:12" x14ac:dyDescent="0.2">
      <c r="K929" s="18"/>
      <c r="L929" s="18"/>
    </row>
    <row r="930" spans="11:12" x14ac:dyDescent="0.2">
      <c r="K930" s="18"/>
      <c r="L930" s="18"/>
    </row>
    <row r="931" spans="11:12" x14ac:dyDescent="0.2">
      <c r="K931" s="18"/>
      <c r="L931" s="18"/>
    </row>
    <row r="932" spans="11:12" x14ac:dyDescent="0.2">
      <c r="K932" s="18"/>
      <c r="L932" s="18"/>
    </row>
    <row r="933" spans="11:12" x14ac:dyDescent="0.2">
      <c r="K933" s="18"/>
      <c r="L933" s="18"/>
    </row>
    <row r="934" spans="11:12" x14ac:dyDescent="0.2">
      <c r="K934" s="18"/>
      <c r="L934" s="18"/>
    </row>
    <row r="935" spans="11:12" x14ac:dyDescent="0.2">
      <c r="K935" s="18"/>
      <c r="L935" s="18"/>
    </row>
    <row r="936" spans="11:12" x14ac:dyDescent="0.2">
      <c r="K936" s="18"/>
      <c r="L936" s="18"/>
    </row>
    <row r="937" spans="11:12" x14ac:dyDescent="0.2">
      <c r="K937" s="18"/>
      <c r="L937" s="18"/>
    </row>
    <row r="938" spans="11:12" x14ac:dyDescent="0.2">
      <c r="K938" s="18"/>
      <c r="L938" s="18"/>
    </row>
    <row r="939" spans="11:12" x14ac:dyDescent="0.2">
      <c r="K939" s="18"/>
      <c r="L939" s="18"/>
    </row>
    <row r="940" spans="11:12" x14ac:dyDescent="0.2">
      <c r="K940" s="18"/>
      <c r="L940" s="18"/>
    </row>
    <row r="941" spans="11:12" x14ac:dyDescent="0.2">
      <c r="K941" s="18"/>
      <c r="L941" s="18"/>
    </row>
    <row r="942" spans="11:12" x14ac:dyDescent="0.2">
      <c r="K942" s="18"/>
      <c r="L942" s="18"/>
    </row>
    <row r="943" spans="11:12" x14ac:dyDescent="0.2">
      <c r="K943" s="18"/>
      <c r="L943" s="18"/>
    </row>
    <row r="944" spans="11:12" x14ac:dyDescent="0.2">
      <c r="K944" s="18"/>
      <c r="L944" s="18"/>
    </row>
    <row r="945" spans="11:12" x14ac:dyDescent="0.2">
      <c r="K945" s="18"/>
      <c r="L945" s="18"/>
    </row>
    <row r="946" spans="11:12" x14ac:dyDescent="0.2">
      <c r="K946" s="18"/>
      <c r="L946" s="18"/>
    </row>
    <row r="947" spans="11:12" x14ac:dyDescent="0.2">
      <c r="K947" s="18"/>
      <c r="L947" s="18"/>
    </row>
    <row r="948" spans="11:12" x14ac:dyDescent="0.2">
      <c r="K948" s="18"/>
      <c r="L948" s="18"/>
    </row>
    <row r="949" spans="11:12" x14ac:dyDescent="0.2">
      <c r="K949" s="18"/>
      <c r="L949" s="18"/>
    </row>
    <row r="950" spans="11:12" x14ac:dyDescent="0.2">
      <c r="K950" s="18"/>
      <c r="L950" s="18"/>
    </row>
    <row r="951" spans="11:12" x14ac:dyDescent="0.2">
      <c r="K951" s="18"/>
      <c r="L951" s="18"/>
    </row>
    <row r="952" spans="11:12" x14ac:dyDescent="0.2">
      <c r="K952" s="18"/>
      <c r="L952" s="18"/>
    </row>
    <row r="953" spans="11:12" x14ac:dyDescent="0.2">
      <c r="K953" s="18"/>
      <c r="L953" s="18"/>
    </row>
    <row r="954" spans="11:12" x14ac:dyDescent="0.2">
      <c r="K954" s="18"/>
      <c r="L954" s="18"/>
    </row>
    <row r="955" spans="11:12" x14ac:dyDescent="0.2">
      <c r="K955" s="18"/>
      <c r="L955" s="18"/>
    </row>
    <row r="956" spans="11:12" x14ac:dyDescent="0.2">
      <c r="K956" s="18"/>
      <c r="L956" s="18"/>
    </row>
    <row r="957" spans="11:12" x14ac:dyDescent="0.2">
      <c r="K957" s="18"/>
      <c r="L957" s="18"/>
    </row>
    <row r="958" spans="11:12" x14ac:dyDescent="0.2">
      <c r="K958" s="18"/>
      <c r="L958" s="18"/>
    </row>
    <row r="959" spans="11:12" x14ac:dyDescent="0.2">
      <c r="K959" s="18"/>
      <c r="L959" s="18"/>
    </row>
    <row r="960" spans="11:12" x14ac:dyDescent="0.2">
      <c r="K960" s="18"/>
      <c r="L960" s="18"/>
    </row>
    <row r="961" spans="11:12" x14ac:dyDescent="0.2">
      <c r="K961" s="18"/>
      <c r="L961" s="18"/>
    </row>
    <row r="962" spans="11:12" x14ac:dyDescent="0.2">
      <c r="K962" s="18"/>
      <c r="L962" s="18"/>
    </row>
    <row r="963" spans="11:12" x14ac:dyDescent="0.2">
      <c r="K963" s="18"/>
      <c r="L963" s="18"/>
    </row>
    <row r="964" spans="11:12" x14ac:dyDescent="0.2">
      <c r="K964" s="18"/>
      <c r="L964" s="18"/>
    </row>
    <row r="965" spans="11:12" x14ac:dyDescent="0.2">
      <c r="K965" s="18"/>
      <c r="L965" s="18"/>
    </row>
    <row r="966" spans="11:12" x14ac:dyDescent="0.2">
      <c r="K966" s="18"/>
      <c r="L966" s="18"/>
    </row>
    <row r="967" spans="11:12" x14ac:dyDescent="0.2">
      <c r="K967" s="18"/>
      <c r="L967" s="18"/>
    </row>
    <row r="968" spans="11:12" x14ac:dyDescent="0.2">
      <c r="K968" s="18"/>
      <c r="L968" s="18"/>
    </row>
    <row r="969" spans="11:12" x14ac:dyDescent="0.2">
      <c r="K969" s="18"/>
      <c r="L969" s="18"/>
    </row>
    <row r="970" spans="11:12" x14ac:dyDescent="0.2">
      <c r="K970" s="18"/>
      <c r="L970" s="18"/>
    </row>
    <row r="971" spans="11:12" x14ac:dyDescent="0.2">
      <c r="K971" s="18"/>
      <c r="L971" s="18"/>
    </row>
    <row r="972" spans="11:12" x14ac:dyDescent="0.2">
      <c r="K972" s="18"/>
      <c r="L972" s="18"/>
    </row>
    <row r="973" spans="11:12" x14ac:dyDescent="0.2">
      <c r="K973" s="18"/>
      <c r="L973" s="18"/>
    </row>
    <row r="974" spans="11:12" x14ac:dyDescent="0.2">
      <c r="K974" s="18"/>
      <c r="L974" s="18"/>
    </row>
    <row r="975" spans="11:12" x14ac:dyDescent="0.2">
      <c r="K975" s="18"/>
      <c r="L975" s="18"/>
    </row>
    <row r="976" spans="11:12" x14ac:dyDescent="0.2">
      <c r="K976" s="18"/>
      <c r="L976" s="18"/>
    </row>
    <row r="977" spans="11:12" x14ac:dyDescent="0.2">
      <c r="K977" s="18"/>
      <c r="L977" s="18"/>
    </row>
    <row r="978" spans="11:12" x14ac:dyDescent="0.2">
      <c r="K978" s="18"/>
      <c r="L978" s="18"/>
    </row>
    <row r="979" spans="11:12" x14ac:dyDescent="0.2">
      <c r="K979" s="18"/>
      <c r="L979" s="18"/>
    </row>
    <row r="980" spans="11:12" x14ac:dyDescent="0.2">
      <c r="K980" s="18"/>
      <c r="L980" s="18"/>
    </row>
    <row r="981" spans="11:12" x14ac:dyDescent="0.2">
      <c r="K981" s="18"/>
      <c r="L981" s="18"/>
    </row>
    <row r="982" spans="11:12" x14ac:dyDescent="0.2">
      <c r="K982" s="18"/>
      <c r="L982" s="18"/>
    </row>
    <row r="983" spans="11:12" x14ac:dyDescent="0.2">
      <c r="K983" s="18"/>
      <c r="L983" s="18"/>
    </row>
    <row r="984" spans="11:12" x14ac:dyDescent="0.2">
      <c r="K984" s="18"/>
      <c r="L984" s="18"/>
    </row>
    <row r="985" spans="11:12" x14ac:dyDescent="0.2">
      <c r="K985" s="18"/>
      <c r="L985" s="18"/>
    </row>
    <row r="986" spans="11:12" x14ac:dyDescent="0.2">
      <c r="K986" s="18"/>
      <c r="L986" s="18"/>
    </row>
    <row r="987" spans="11:12" x14ac:dyDescent="0.2">
      <c r="K987" s="18"/>
      <c r="L987" s="18"/>
    </row>
    <row r="988" spans="11:12" x14ac:dyDescent="0.2">
      <c r="K988" s="18"/>
      <c r="L988" s="18"/>
    </row>
    <row r="989" spans="11:12" x14ac:dyDescent="0.2">
      <c r="K989" s="18"/>
      <c r="L989" s="18"/>
    </row>
    <row r="990" spans="11:12" x14ac:dyDescent="0.2">
      <c r="K990" s="18"/>
      <c r="L990" s="18"/>
    </row>
    <row r="991" spans="11:12" x14ac:dyDescent="0.2">
      <c r="K991" s="18"/>
      <c r="L991" s="18"/>
    </row>
    <row r="992" spans="11:12" x14ac:dyDescent="0.2">
      <c r="K992" s="18"/>
      <c r="L992" s="18"/>
    </row>
    <row r="993" spans="11:12" x14ac:dyDescent="0.2">
      <c r="K993" s="18"/>
      <c r="L993" s="18"/>
    </row>
    <row r="994" spans="11:12" x14ac:dyDescent="0.2">
      <c r="K994" s="18"/>
      <c r="L994" s="18"/>
    </row>
    <row r="995" spans="11:12" x14ac:dyDescent="0.2">
      <c r="K995" s="18"/>
      <c r="L995" s="18"/>
    </row>
    <row r="996" spans="11:12" x14ac:dyDescent="0.2">
      <c r="K996" s="18"/>
      <c r="L996" s="18"/>
    </row>
    <row r="997" spans="11:12" x14ac:dyDescent="0.2">
      <c r="K997" s="18"/>
      <c r="L997" s="18"/>
    </row>
    <row r="998" spans="11:12" x14ac:dyDescent="0.2">
      <c r="K998" s="18"/>
      <c r="L998" s="18"/>
    </row>
    <row r="999" spans="11:12" x14ac:dyDescent="0.2">
      <c r="K999" s="18"/>
      <c r="L999" s="18"/>
    </row>
    <row r="1000" spans="11:12" x14ac:dyDescent="0.2">
      <c r="K1000" s="18"/>
      <c r="L1000" s="18"/>
    </row>
    <row r="1001" spans="11:12" x14ac:dyDescent="0.2">
      <c r="K1001" s="18"/>
      <c r="L1001" s="18"/>
    </row>
    <row r="1002" spans="11:12" x14ac:dyDescent="0.2">
      <c r="K1002" s="18"/>
      <c r="L1002" s="18"/>
    </row>
    <row r="1003" spans="11:12" x14ac:dyDescent="0.2">
      <c r="K1003" s="18"/>
      <c r="L1003" s="18"/>
    </row>
    <row r="1004" spans="11:12" x14ac:dyDescent="0.2">
      <c r="K1004" s="18"/>
      <c r="L1004" s="18"/>
    </row>
    <row r="1005" spans="11:12" x14ac:dyDescent="0.2">
      <c r="K1005" s="18"/>
      <c r="L1005" s="18"/>
    </row>
    <row r="1006" spans="11:12" x14ac:dyDescent="0.2">
      <c r="K1006" s="18"/>
      <c r="L1006" s="18"/>
    </row>
    <row r="1007" spans="11:12" x14ac:dyDescent="0.2">
      <c r="K1007" s="18"/>
      <c r="L1007" s="18"/>
    </row>
    <row r="1008" spans="11:12" x14ac:dyDescent="0.2">
      <c r="K1008" s="18"/>
      <c r="L1008" s="18"/>
    </row>
    <row r="1009" spans="11:12" x14ac:dyDescent="0.2">
      <c r="K1009" s="18"/>
      <c r="L1009" s="18"/>
    </row>
    <row r="1010" spans="11:12" x14ac:dyDescent="0.2">
      <c r="K1010" s="18"/>
      <c r="L1010" s="18"/>
    </row>
    <row r="1011" spans="11:12" x14ac:dyDescent="0.2">
      <c r="K1011" s="18"/>
      <c r="L1011" s="18"/>
    </row>
    <row r="1012" spans="11:12" x14ac:dyDescent="0.2">
      <c r="K1012" s="18"/>
      <c r="L1012" s="18"/>
    </row>
    <row r="1013" spans="11:12" x14ac:dyDescent="0.2">
      <c r="K1013" s="18"/>
      <c r="L1013" s="18"/>
    </row>
    <row r="1014" spans="11:12" x14ac:dyDescent="0.2">
      <c r="K1014" s="18"/>
      <c r="L1014" s="18"/>
    </row>
    <row r="1015" spans="11:12" x14ac:dyDescent="0.2">
      <c r="K1015" s="18"/>
      <c r="L1015" s="18"/>
    </row>
    <row r="1016" spans="11:12" x14ac:dyDescent="0.2">
      <c r="K1016" s="18"/>
      <c r="L1016" s="18"/>
    </row>
    <row r="1017" spans="11:12" x14ac:dyDescent="0.2">
      <c r="K1017" s="18"/>
      <c r="L1017" s="18"/>
    </row>
    <row r="1018" spans="11:12" x14ac:dyDescent="0.2">
      <c r="K1018" s="18"/>
      <c r="L1018" s="18"/>
    </row>
    <row r="1019" spans="11:12" x14ac:dyDescent="0.2">
      <c r="K1019" s="18"/>
      <c r="L1019" s="18"/>
    </row>
    <row r="1020" spans="11:12" x14ac:dyDescent="0.2">
      <c r="K1020" s="18"/>
      <c r="L1020" s="18"/>
    </row>
    <row r="1021" spans="11:12" x14ac:dyDescent="0.2">
      <c r="K1021" s="18"/>
      <c r="L1021" s="18"/>
    </row>
    <row r="1022" spans="11:12" x14ac:dyDescent="0.2">
      <c r="K1022" s="18"/>
      <c r="L1022" s="18"/>
    </row>
    <row r="1023" spans="11:12" x14ac:dyDescent="0.2">
      <c r="K1023" s="18"/>
      <c r="L1023" s="18"/>
    </row>
    <row r="1024" spans="11:12" x14ac:dyDescent="0.2">
      <c r="K1024" s="18"/>
      <c r="L1024" s="18"/>
    </row>
    <row r="1025" spans="11:12" x14ac:dyDescent="0.2">
      <c r="K1025" s="18"/>
      <c r="L1025" s="18"/>
    </row>
    <row r="1026" spans="11:12" x14ac:dyDescent="0.2">
      <c r="K1026" s="18"/>
      <c r="L1026" s="18"/>
    </row>
    <row r="1027" spans="11:12" x14ac:dyDescent="0.2">
      <c r="K1027" s="18"/>
      <c r="L1027" s="18"/>
    </row>
    <row r="1028" spans="11:12" x14ac:dyDescent="0.2">
      <c r="K1028" s="18"/>
      <c r="L1028" s="18"/>
    </row>
    <row r="1029" spans="11:12" x14ac:dyDescent="0.2">
      <c r="K1029" s="18"/>
      <c r="L1029" s="18"/>
    </row>
    <row r="1030" spans="11:12" x14ac:dyDescent="0.2">
      <c r="K1030" s="18"/>
      <c r="L1030" s="18"/>
    </row>
    <row r="1031" spans="11:12" x14ac:dyDescent="0.2">
      <c r="K1031" s="18"/>
      <c r="L1031" s="18"/>
    </row>
    <row r="1032" spans="11:12" x14ac:dyDescent="0.2">
      <c r="K1032" s="18"/>
      <c r="L1032" s="18"/>
    </row>
    <row r="1033" spans="11:12" x14ac:dyDescent="0.2">
      <c r="K1033" s="18"/>
      <c r="L1033" s="18"/>
    </row>
    <row r="1034" spans="11:12" x14ac:dyDescent="0.2">
      <c r="K1034" s="18"/>
      <c r="L1034" s="18"/>
    </row>
    <row r="1035" spans="11:12" x14ac:dyDescent="0.2">
      <c r="K1035" s="18"/>
      <c r="L1035" s="18"/>
    </row>
    <row r="1036" spans="11:12" x14ac:dyDescent="0.2">
      <c r="K1036" s="18"/>
      <c r="L1036" s="18"/>
    </row>
    <row r="1037" spans="11:12" x14ac:dyDescent="0.2">
      <c r="K1037" s="18"/>
      <c r="L1037" s="18"/>
    </row>
    <row r="1038" spans="11:12" x14ac:dyDescent="0.2">
      <c r="K1038" s="18"/>
      <c r="L1038" s="18"/>
    </row>
    <row r="1039" spans="11:12" x14ac:dyDescent="0.2">
      <c r="K1039" s="18"/>
      <c r="L1039" s="18"/>
    </row>
    <row r="1040" spans="11:12" x14ac:dyDescent="0.2">
      <c r="K1040" s="18"/>
      <c r="L1040" s="18"/>
    </row>
    <row r="1041" spans="11:12" x14ac:dyDescent="0.2">
      <c r="K1041" s="18"/>
      <c r="L1041" s="18"/>
    </row>
    <row r="1042" spans="11:12" x14ac:dyDescent="0.2">
      <c r="K1042" s="18"/>
      <c r="L1042" s="18"/>
    </row>
    <row r="1043" spans="11:12" x14ac:dyDescent="0.2">
      <c r="K1043" s="18"/>
      <c r="L1043" s="18"/>
    </row>
    <row r="1044" spans="11:12" x14ac:dyDescent="0.2">
      <c r="K1044" s="18"/>
      <c r="L1044" s="18"/>
    </row>
    <row r="1045" spans="11:12" x14ac:dyDescent="0.2">
      <c r="K1045" s="18"/>
      <c r="L1045" s="18"/>
    </row>
    <row r="1046" spans="11:12" x14ac:dyDescent="0.2">
      <c r="K1046" s="18"/>
      <c r="L1046" s="18"/>
    </row>
    <row r="1047" spans="11:12" x14ac:dyDescent="0.2">
      <c r="K1047" s="18"/>
      <c r="L1047" s="18"/>
    </row>
    <row r="1048" spans="11:12" x14ac:dyDescent="0.2">
      <c r="K1048" s="18"/>
      <c r="L1048" s="18"/>
    </row>
    <row r="1049" spans="11:12" x14ac:dyDescent="0.2">
      <c r="K1049" s="18"/>
      <c r="L1049" s="18"/>
    </row>
    <row r="1050" spans="11:12" x14ac:dyDescent="0.2">
      <c r="K1050" s="18"/>
      <c r="L1050" s="18"/>
    </row>
    <row r="1051" spans="11:12" x14ac:dyDescent="0.2">
      <c r="K1051" s="18"/>
      <c r="L1051" s="18"/>
    </row>
    <row r="1052" spans="11:12" x14ac:dyDescent="0.2">
      <c r="K1052" s="18"/>
      <c r="L1052" s="18"/>
    </row>
    <row r="1053" spans="11:12" x14ac:dyDescent="0.2">
      <c r="K1053" s="18"/>
      <c r="L1053" s="18"/>
    </row>
    <row r="1054" spans="11:12" x14ac:dyDescent="0.2">
      <c r="K1054" s="18"/>
      <c r="L1054" s="18"/>
    </row>
    <row r="1055" spans="11:12" x14ac:dyDescent="0.2">
      <c r="K1055" s="18"/>
      <c r="L1055" s="18"/>
    </row>
    <row r="1056" spans="11:12" x14ac:dyDescent="0.2">
      <c r="K1056" s="18"/>
      <c r="L1056" s="18"/>
    </row>
    <row r="1057" spans="11:12" x14ac:dyDescent="0.2">
      <c r="K1057" s="18"/>
      <c r="L1057" s="18"/>
    </row>
    <row r="1058" spans="11:12" x14ac:dyDescent="0.2">
      <c r="K1058" s="18"/>
      <c r="L1058" s="18"/>
    </row>
    <row r="1059" spans="11:12" x14ac:dyDescent="0.2">
      <c r="K1059" s="18"/>
      <c r="L1059" s="18"/>
    </row>
    <row r="1060" spans="11:12" x14ac:dyDescent="0.2">
      <c r="K1060" s="18"/>
      <c r="L1060" s="18"/>
    </row>
    <row r="1061" spans="11:12" x14ac:dyDescent="0.2">
      <c r="K1061" s="18"/>
      <c r="L1061" s="18"/>
    </row>
    <row r="1062" spans="11:12" x14ac:dyDescent="0.2">
      <c r="K1062" s="18"/>
      <c r="L1062" s="18"/>
    </row>
    <row r="1063" spans="11:12" x14ac:dyDescent="0.2">
      <c r="K1063" s="18"/>
      <c r="L1063" s="18"/>
    </row>
    <row r="1064" spans="11:12" x14ac:dyDescent="0.2">
      <c r="K1064" s="18"/>
      <c r="L1064" s="18"/>
    </row>
    <row r="1065" spans="11:12" x14ac:dyDescent="0.2">
      <c r="K1065" s="18"/>
      <c r="L1065" s="18"/>
    </row>
    <row r="1066" spans="11:12" x14ac:dyDescent="0.2">
      <c r="K1066" s="18"/>
      <c r="L1066" s="18"/>
    </row>
    <row r="1067" spans="11:12" x14ac:dyDescent="0.2">
      <c r="K1067" s="18"/>
      <c r="L1067" s="18"/>
    </row>
    <row r="1068" spans="11:12" x14ac:dyDescent="0.2">
      <c r="K1068" s="18"/>
      <c r="L1068" s="18"/>
    </row>
    <row r="1069" spans="11:12" x14ac:dyDescent="0.2">
      <c r="K1069" s="18"/>
      <c r="L1069" s="18"/>
    </row>
    <row r="1070" spans="11:12" x14ac:dyDescent="0.2">
      <c r="K1070" s="18"/>
      <c r="L1070" s="18"/>
    </row>
    <row r="1071" spans="11:12" x14ac:dyDescent="0.2">
      <c r="K1071" s="18"/>
      <c r="L1071" s="18"/>
    </row>
    <row r="1072" spans="11:12" x14ac:dyDescent="0.2">
      <c r="K1072" s="18"/>
      <c r="L1072" s="18"/>
    </row>
    <row r="1073" spans="11:12" x14ac:dyDescent="0.2">
      <c r="K1073" s="18"/>
      <c r="L1073" s="18"/>
    </row>
    <row r="1074" spans="11:12" x14ac:dyDescent="0.2">
      <c r="K1074" s="18"/>
      <c r="L1074" s="18"/>
    </row>
    <row r="1075" spans="11:12" x14ac:dyDescent="0.2">
      <c r="K1075" s="18"/>
      <c r="L1075" s="18"/>
    </row>
    <row r="1076" spans="11:12" x14ac:dyDescent="0.2">
      <c r="K1076" s="18"/>
      <c r="L1076" s="18"/>
    </row>
    <row r="1077" spans="11:12" x14ac:dyDescent="0.2">
      <c r="K1077" s="18"/>
      <c r="L1077" s="18"/>
    </row>
    <row r="1078" spans="11:12" x14ac:dyDescent="0.2">
      <c r="K1078" s="18"/>
      <c r="L1078" s="18"/>
    </row>
    <row r="1079" spans="11:12" x14ac:dyDescent="0.2">
      <c r="K1079" s="18"/>
      <c r="L1079" s="18"/>
    </row>
    <row r="1080" spans="11:12" x14ac:dyDescent="0.2">
      <c r="K1080" s="18"/>
      <c r="L1080" s="18"/>
    </row>
    <row r="1081" spans="11:12" x14ac:dyDescent="0.2">
      <c r="K1081" s="18"/>
      <c r="L1081" s="18"/>
    </row>
    <row r="1082" spans="11:12" x14ac:dyDescent="0.2">
      <c r="K1082" s="18"/>
      <c r="L1082" s="18"/>
    </row>
    <row r="1083" spans="11:12" x14ac:dyDescent="0.2">
      <c r="K1083" s="18"/>
      <c r="L1083" s="18"/>
    </row>
    <row r="1084" spans="11:12" x14ac:dyDescent="0.2">
      <c r="K1084" s="18"/>
      <c r="L1084" s="18"/>
    </row>
    <row r="1085" spans="11:12" x14ac:dyDescent="0.2">
      <c r="K1085" s="18"/>
      <c r="L1085" s="18"/>
    </row>
    <row r="1086" spans="11:12" x14ac:dyDescent="0.2">
      <c r="K1086" s="18"/>
      <c r="L1086" s="18"/>
    </row>
    <row r="1087" spans="11:12" x14ac:dyDescent="0.2">
      <c r="K1087" s="18"/>
      <c r="L1087" s="18"/>
    </row>
    <row r="1088" spans="11:12" x14ac:dyDescent="0.2">
      <c r="K1088" s="18"/>
      <c r="L1088" s="18"/>
    </row>
    <row r="1089" spans="11:12" x14ac:dyDescent="0.2">
      <c r="K1089" s="18"/>
      <c r="L1089" s="18"/>
    </row>
    <row r="1090" spans="11:12" x14ac:dyDescent="0.2">
      <c r="K1090" s="18"/>
      <c r="L1090" s="18"/>
    </row>
    <row r="1091" spans="11:12" x14ac:dyDescent="0.2">
      <c r="K1091" s="18"/>
      <c r="L1091" s="18"/>
    </row>
    <row r="1092" spans="11:12" x14ac:dyDescent="0.2">
      <c r="K1092" s="18"/>
      <c r="L1092" s="18"/>
    </row>
    <row r="1093" spans="11:12" x14ac:dyDescent="0.2">
      <c r="K1093" s="18"/>
      <c r="L1093" s="18"/>
    </row>
    <row r="1094" spans="11:12" x14ac:dyDescent="0.2">
      <c r="K1094" s="18"/>
      <c r="L1094" s="18"/>
    </row>
    <row r="1095" spans="11:12" x14ac:dyDescent="0.2">
      <c r="K1095" s="18"/>
      <c r="L1095" s="18"/>
    </row>
    <row r="1096" spans="11:12" x14ac:dyDescent="0.2">
      <c r="K1096" s="18"/>
      <c r="L1096" s="18"/>
    </row>
    <row r="1097" spans="11:12" x14ac:dyDescent="0.2">
      <c r="K1097" s="18"/>
      <c r="L1097" s="18"/>
    </row>
    <row r="1098" spans="11:12" x14ac:dyDescent="0.2">
      <c r="K1098" s="18"/>
      <c r="L1098" s="18"/>
    </row>
    <row r="1099" spans="11:12" x14ac:dyDescent="0.2">
      <c r="K1099" s="18"/>
      <c r="L1099" s="18"/>
    </row>
    <row r="1100" spans="11:12" x14ac:dyDescent="0.2">
      <c r="K1100" s="18"/>
      <c r="L1100" s="18"/>
    </row>
    <row r="1101" spans="11:12" x14ac:dyDescent="0.2">
      <c r="K1101" s="18"/>
      <c r="L1101" s="18"/>
    </row>
    <row r="1102" spans="11:12" x14ac:dyDescent="0.2">
      <c r="K1102" s="18"/>
      <c r="L1102" s="18"/>
    </row>
    <row r="1103" spans="11:12" x14ac:dyDescent="0.2">
      <c r="K1103" s="18"/>
      <c r="L1103" s="18"/>
    </row>
    <row r="1104" spans="11:12" x14ac:dyDescent="0.2">
      <c r="K1104" s="18"/>
      <c r="L1104" s="18"/>
    </row>
    <row r="1105" spans="11:12" x14ac:dyDescent="0.2">
      <c r="K1105" s="18"/>
      <c r="L1105" s="18"/>
    </row>
    <row r="1106" spans="11:12" x14ac:dyDescent="0.2">
      <c r="K1106" s="18"/>
      <c r="L1106" s="18"/>
    </row>
    <row r="1107" spans="11:12" x14ac:dyDescent="0.2">
      <c r="K1107" s="18"/>
      <c r="L1107" s="18"/>
    </row>
    <row r="1108" spans="11:12" x14ac:dyDescent="0.2">
      <c r="K1108" s="18"/>
      <c r="L1108" s="18"/>
    </row>
    <row r="1109" spans="11:12" x14ac:dyDescent="0.2">
      <c r="K1109" s="18"/>
      <c r="L1109" s="18"/>
    </row>
    <row r="1110" spans="11:12" x14ac:dyDescent="0.2">
      <c r="K1110" s="18"/>
      <c r="L1110" s="18"/>
    </row>
    <row r="1111" spans="11:12" x14ac:dyDescent="0.2">
      <c r="K1111" s="18"/>
      <c r="L1111" s="18"/>
    </row>
    <row r="1112" spans="11:12" x14ac:dyDescent="0.2">
      <c r="K1112" s="18"/>
      <c r="L1112" s="18"/>
    </row>
    <row r="1113" spans="11:12" x14ac:dyDescent="0.2">
      <c r="K1113" s="18"/>
      <c r="L1113" s="18"/>
    </row>
    <row r="1114" spans="11:12" x14ac:dyDescent="0.2">
      <c r="K1114" s="18"/>
      <c r="L1114" s="18"/>
    </row>
    <row r="1115" spans="11:12" x14ac:dyDescent="0.2">
      <c r="K1115" s="18"/>
      <c r="L1115" s="18"/>
    </row>
    <row r="1116" spans="11:12" x14ac:dyDescent="0.2">
      <c r="K1116" s="18"/>
      <c r="L1116" s="18"/>
    </row>
    <row r="1117" spans="11:12" x14ac:dyDescent="0.2">
      <c r="K1117" s="18"/>
      <c r="L1117" s="18"/>
    </row>
    <row r="1118" spans="11:12" x14ac:dyDescent="0.2">
      <c r="K1118" s="18"/>
      <c r="L1118" s="18"/>
    </row>
    <row r="1119" spans="11:12" x14ac:dyDescent="0.2">
      <c r="K1119" s="18"/>
      <c r="L1119" s="18"/>
    </row>
    <row r="1120" spans="11:12" x14ac:dyDescent="0.2">
      <c r="K1120" s="18"/>
      <c r="L1120" s="18"/>
    </row>
    <row r="1121" spans="11:12" x14ac:dyDescent="0.2">
      <c r="K1121" s="18"/>
      <c r="L1121" s="18"/>
    </row>
    <row r="1122" spans="11:12" x14ac:dyDescent="0.2">
      <c r="K1122" s="18"/>
      <c r="L1122" s="18"/>
    </row>
    <row r="1123" spans="11:12" x14ac:dyDescent="0.2">
      <c r="K1123" s="18"/>
      <c r="L1123" s="18"/>
    </row>
    <row r="1124" spans="11:12" x14ac:dyDescent="0.2">
      <c r="K1124" s="18"/>
      <c r="L1124" s="18"/>
    </row>
    <row r="1125" spans="11:12" x14ac:dyDescent="0.2">
      <c r="K1125" s="18"/>
      <c r="L1125" s="18"/>
    </row>
    <row r="1126" spans="11:12" x14ac:dyDescent="0.2">
      <c r="K1126" s="18"/>
      <c r="L1126" s="18"/>
    </row>
    <row r="1127" spans="11:12" x14ac:dyDescent="0.2">
      <c r="K1127" s="18"/>
      <c r="L1127" s="18"/>
    </row>
    <row r="1128" spans="11:12" x14ac:dyDescent="0.2">
      <c r="K1128" s="18"/>
      <c r="L1128" s="18"/>
    </row>
    <row r="1129" spans="11:12" x14ac:dyDescent="0.2">
      <c r="K1129" s="18"/>
      <c r="L1129" s="18"/>
    </row>
    <row r="1130" spans="11:12" x14ac:dyDescent="0.2">
      <c r="K1130" s="18"/>
      <c r="L1130" s="18"/>
    </row>
    <row r="1131" spans="11:12" x14ac:dyDescent="0.2">
      <c r="K1131" s="18"/>
      <c r="L1131" s="18"/>
    </row>
    <row r="1132" spans="11:12" x14ac:dyDescent="0.2">
      <c r="K1132" s="18"/>
      <c r="L1132" s="18"/>
    </row>
    <row r="1133" spans="11:12" x14ac:dyDescent="0.2">
      <c r="K1133" s="18"/>
      <c r="L1133" s="18"/>
    </row>
    <row r="1134" spans="11:12" x14ac:dyDescent="0.2">
      <c r="K1134" s="18"/>
      <c r="L1134" s="18"/>
    </row>
    <row r="1135" spans="11:12" x14ac:dyDescent="0.2">
      <c r="K1135" s="18"/>
      <c r="L1135" s="18"/>
    </row>
    <row r="1136" spans="11:12" x14ac:dyDescent="0.2">
      <c r="K1136" s="18"/>
      <c r="L1136" s="18"/>
    </row>
    <row r="1137" spans="11:12" x14ac:dyDescent="0.2">
      <c r="K1137" s="18"/>
      <c r="L1137" s="18"/>
    </row>
    <row r="1138" spans="11:12" x14ac:dyDescent="0.2">
      <c r="K1138" s="18"/>
      <c r="L1138" s="18"/>
    </row>
    <row r="1139" spans="11:12" x14ac:dyDescent="0.2">
      <c r="K1139" s="18"/>
      <c r="L1139" s="18"/>
    </row>
    <row r="1140" spans="11:12" x14ac:dyDescent="0.2">
      <c r="K1140" s="18"/>
      <c r="L1140" s="18"/>
    </row>
    <row r="1141" spans="11:12" x14ac:dyDescent="0.2">
      <c r="K1141" s="18"/>
      <c r="L1141" s="18"/>
    </row>
    <row r="1142" spans="11:12" x14ac:dyDescent="0.2">
      <c r="K1142" s="18"/>
      <c r="L1142" s="18"/>
    </row>
    <row r="1143" spans="11:12" x14ac:dyDescent="0.2">
      <c r="K1143" s="18"/>
      <c r="L1143" s="18"/>
    </row>
    <row r="1144" spans="11:12" x14ac:dyDescent="0.2">
      <c r="K1144" s="18"/>
      <c r="L1144" s="18"/>
    </row>
    <row r="1145" spans="11:12" x14ac:dyDescent="0.2">
      <c r="K1145" s="18"/>
      <c r="L1145" s="18"/>
    </row>
    <row r="1146" spans="11:12" x14ac:dyDescent="0.2">
      <c r="K1146" s="18"/>
      <c r="L1146" s="18"/>
    </row>
    <row r="1147" spans="11:12" x14ac:dyDescent="0.2">
      <c r="K1147" s="18"/>
      <c r="L1147" s="18"/>
    </row>
    <row r="1148" spans="11:12" x14ac:dyDescent="0.2">
      <c r="K1148" s="18"/>
      <c r="L1148" s="18"/>
    </row>
    <row r="1149" spans="11:12" x14ac:dyDescent="0.2">
      <c r="K1149" s="18"/>
      <c r="L1149" s="18"/>
    </row>
    <row r="1150" spans="11:12" x14ac:dyDescent="0.2">
      <c r="K1150" s="18"/>
      <c r="L1150" s="18"/>
    </row>
    <row r="1151" spans="11:12" x14ac:dyDescent="0.2">
      <c r="K1151" s="18"/>
      <c r="L1151" s="18"/>
    </row>
    <row r="1152" spans="11:12" x14ac:dyDescent="0.2">
      <c r="K1152" s="18"/>
      <c r="L1152" s="18"/>
    </row>
    <row r="1153" spans="11:12" x14ac:dyDescent="0.2">
      <c r="K1153" s="18"/>
      <c r="L1153" s="18"/>
    </row>
    <row r="1154" spans="11:12" x14ac:dyDescent="0.2">
      <c r="K1154" s="18"/>
      <c r="L1154" s="18"/>
    </row>
    <row r="1155" spans="11:12" x14ac:dyDescent="0.2">
      <c r="K1155" s="18"/>
      <c r="L1155" s="18"/>
    </row>
    <row r="1156" spans="11:12" x14ac:dyDescent="0.2">
      <c r="K1156" s="18"/>
      <c r="L1156" s="18"/>
    </row>
    <row r="1157" spans="11:12" x14ac:dyDescent="0.2">
      <c r="K1157" s="18"/>
      <c r="L1157" s="18"/>
    </row>
    <row r="1158" spans="11:12" x14ac:dyDescent="0.2">
      <c r="K1158" s="18"/>
      <c r="L1158" s="18"/>
    </row>
    <row r="1159" spans="11:12" x14ac:dyDescent="0.2">
      <c r="K1159" s="18"/>
      <c r="L1159" s="18"/>
    </row>
    <row r="1160" spans="11:12" x14ac:dyDescent="0.2">
      <c r="K1160" s="18"/>
      <c r="L1160" s="18"/>
    </row>
    <row r="1161" spans="11:12" x14ac:dyDescent="0.2">
      <c r="K1161" s="18"/>
      <c r="L1161" s="18"/>
    </row>
    <row r="1162" spans="11:12" x14ac:dyDescent="0.2">
      <c r="K1162" s="18"/>
      <c r="L1162" s="18"/>
    </row>
    <row r="1163" spans="11:12" x14ac:dyDescent="0.2">
      <c r="K1163" s="18"/>
      <c r="L1163" s="18"/>
    </row>
    <row r="1164" spans="11:12" x14ac:dyDescent="0.2">
      <c r="K1164" s="18"/>
      <c r="L1164" s="18"/>
    </row>
    <row r="1165" spans="11:12" x14ac:dyDescent="0.2">
      <c r="K1165" s="18"/>
      <c r="L1165" s="18"/>
    </row>
    <row r="1166" spans="11:12" x14ac:dyDescent="0.2">
      <c r="K1166" s="18"/>
      <c r="L1166" s="18"/>
    </row>
    <row r="1167" spans="11:12" x14ac:dyDescent="0.2">
      <c r="K1167" s="18"/>
      <c r="L1167" s="18"/>
    </row>
    <row r="1168" spans="11:12" x14ac:dyDescent="0.2">
      <c r="K1168" s="18"/>
      <c r="L1168" s="18"/>
    </row>
    <row r="1169" spans="11:12" x14ac:dyDescent="0.2">
      <c r="K1169" s="18"/>
      <c r="L1169" s="18"/>
    </row>
    <row r="1170" spans="11:12" x14ac:dyDescent="0.2">
      <c r="K1170" s="18"/>
      <c r="L1170" s="18"/>
    </row>
    <row r="1171" spans="11:12" x14ac:dyDescent="0.2">
      <c r="K1171" s="18"/>
      <c r="L1171" s="18"/>
    </row>
    <row r="1172" spans="11:12" x14ac:dyDescent="0.2">
      <c r="K1172" s="18"/>
      <c r="L1172" s="18"/>
    </row>
    <row r="1173" spans="11:12" x14ac:dyDescent="0.2">
      <c r="K1173" s="18"/>
      <c r="L1173" s="18"/>
    </row>
    <row r="1174" spans="11:12" x14ac:dyDescent="0.2">
      <c r="K1174" s="18"/>
      <c r="L1174" s="18"/>
    </row>
    <row r="1175" spans="11:12" x14ac:dyDescent="0.2">
      <c r="K1175" s="18"/>
      <c r="L1175" s="18"/>
    </row>
    <row r="1176" spans="11:12" x14ac:dyDescent="0.2">
      <c r="K1176" s="18"/>
      <c r="L1176" s="18"/>
    </row>
    <row r="1177" spans="11:12" x14ac:dyDescent="0.2">
      <c r="K1177" s="18"/>
      <c r="L1177" s="18"/>
    </row>
    <row r="1178" spans="11:12" x14ac:dyDescent="0.2">
      <c r="K1178" s="18"/>
      <c r="L1178" s="18"/>
    </row>
    <row r="1179" spans="11:12" x14ac:dyDescent="0.2">
      <c r="K1179" s="18"/>
      <c r="L1179" s="18"/>
    </row>
    <row r="1180" spans="11:12" x14ac:dyDescent="0.2">
      <c r="K1180" s="18"/>
      <c r="L1180" s="18"/>
    </row>
    <row r="1181" spans="11:12" x14ac:dyDescent="0.2">
      <c r="K1181" s="18"/>
      <c r="L1181" s="18"/>
    </row>
    <row r="1182" spans="11:12" x14ac:dyDescent="0.2">
      <c r="K1182" s="18"/>
      <c r="L1182" s="18"/>
    </row>
    <row r="1183" spans="11:12" x14ac:dyDescent="0.2">
      <c r="K1183" s="18"/>
      <c r="L1183" s="18"/>
    </row>
    <row r="1184" spans="11:12" x14ac:dyDescent="0.2">
      <c r="K1184" s="18"/>
      <c r="L1184" s="18"/>
    </row>
    <row r="1185" spans="11:12" x14ac:dyDescent="0.2">
      <c r="K1185" s="18"/>
      <c r="L1185" s="18"/>
    </row>
    <row r="1186" spans="11:12" x14ac:dyDescent="0.2">
      <c r="K1186" s="18"/>
      <c r="L1186" s="18"/>
    </row>
    <row r="1187" spans="11:12" x14ac:dyDescent="0.2">
      <c r="K1187" s="18"/>
      <c r="L1187" s="18"/>
    </row>
    <row r="1188" spans="11:12" x14ac:dyDescent="0.2">
      <c r="K1188" s="18"/>
      <c r="L1188" s="18"/>
    </row>
    <row r="1189" spans="11:12" x14ac:dyDescent="0.2">
      <c r="K1189" s="18"/>
      <c r="L1189" s="18"/>
    </row>
    <row r="1190" spans="11:12" x14ac:dyDescent="0.2">
      <c r="K1190" s="18"/>
      <c r="L1190" s="18"/>
    </row>
    <row r="1191" spans="11:12" x14ac:dyDescent="0.2">
      <c r="K1191" s="18"/>
      <c r="L1191" s="18"/>
    </row>
    <row r="1192" spans="11:12" x14ac:dyDescent="0.2">
      <c r="K1192" s="18"/>
      <c r="L1192" s="18"/>
    </row>
    <row r="1193" spans="11:12" x14ac:dyDescent="0.2">
      <c r="K1193" s="18"/>
      <c r="L1193" s="18"/>
    </row>
    <row r="1194" spans="11:12" x14ac:dyDescent="0.2">
      <c r="K1194" s="18"/>
      <c r="L1194" s="18"/>
    </row>
    <row r="1195" spans="11:12" x14ac:dyDescent="0.2">
      <c r="K1195" s="18"/>
      <c r="L1195" s="18"/>
    </row>
    <row r="1196" spans="11:12" x14ac:dyDescent="0.2">
      <c r="K1196" s="18"/>
      <c r="L1196" s="18"/>
    </row>
    <row r="1197" spans="11:12" x14ac:dyDescent="0.2">
      <c r="K1197" s="18"/>
      <c r="L1197" s="18"/>
    </row>
    <row r="1198" spans="11:12" x14ac:dyDescent="0.2">
      <c r="K1198" s="18"/>
      <c r="L1198" s="18"/>
    </row>
    <row r="1199" spans="11:12" x14ac:dyDescent="0.2">
      <c r="K1199" s="18"/>
      <c r="L1199" s="18"/>
    </row>
    <row r="1200" spans="11:12" x14ac:dyDescent="0.2">
      <c r="K1200" s="18"/>
      <c r="L1200" s="18"/>
    </row>
    <row r="1201" spans="11:12" x14ac:dyDescent="0.2">
      <c r="K1201" s="18"/>
      <c r="L1201" s="18"/>
    </row>
    <row r="1202" spans="11:12" x14ac:dyDescent="0.2">
      <c r="K1202" s="18"/>
      <c r="L1202" s="18"/>
    </row>
    <row r="1203" spans="11:12" x14ac:dyDescent="0.2">
      <c r="K1203" s="18"/>
      <c r="L1203" s="18"/>
    </row>
    <row r="1204" spans="11:12" x14ac:dyDescent="0.2">
      <c r="K1204" s="18"/>
      <c r="L1204" s="18"/>
    </row>
    <row r="1205" spans="11:12" x14ac:dyDescent="0.2">
      <c r="K1205" s="18"/>
      <c r="L1205" s="18"/>
    </row>
    <row r="1206" spans="11:12" x14ac:dyDescent="0.2">
      <c r="K1206" s="18"/>
      <c r="L1206" s="18"/>
    </row>
    <row r="1207" spans="11:12" x14ac:dyDescent="0.2">
      <c r="K1207" s="18"/>
      <c r="L1207" s="18"/>
    </row>
    <row r="1208" spans="11:12" x14ac:dyDescent="0.2">
      <c r="K1208" s="18"/>
      <c r="L1208" s="18"/>
    </row>
    <row r="1209" spans="11:12" x14ac:dyDescent="0.2">
      <c r="K1209" s="18"/>
      <c r="L1209" s="18"/>
    </row>
    <row r="1210" spans="11:12" x14ac:dyDescent="0.2">
      <c r="K1210" s="18"/>
      <c r="L1210" s="18"/>
    </row>
    <row r="1211" spans="11:12" x14ac:dyDescent="0.2">
      <c r="K1211" s="18"/>
      <c r="L1211" s="18"/>
    </row>
    <row r="1212" spans="11:12" x14ac:dyDescent="0.2">
      <c r="K1212" s="18"/>
      <c r="L1212" s="18"/>
    </row>
    <row r="1213" spans="11:12" x14ac:dyDescent="0.2">
      <c r="K1213" s="18"/>
      <c r="L1213" s="18"/>
    </row>
    <row r="1214" spans="11:12" x14ac:dyDescent="0.2">
      <c r="K1214" s="18"/>
      <c r="L1214" s="18"/>
    </row>
    <row r="1215" spans="11:12" x14ac:dyDescent="0.2">
      <c r="K1215" s="18"/>
      <c r="L1215" s="18"/>
    </row>
    <row r="1216" spans="11:12" x14ac:dyDescent="0.2">
      <c r="K1216" s="18"/>
      <c r="L1216" s="18"/>
    </row>
    <row r="1217" spans="11:12" x14ac:dyDescent="0.2">
      <c r="K1217" s="18"/>
      <c r="L1217" s="18"/>
    </row>
    <row r="1218" spans="11:12" x14ac:dyDescent="0.2">
      <c r="K1218" s="18"/>
      <c r="L1218" s="18"/>
    </row>
    <row r="1219" spans="11:12" x14ac:dyDescent="0.2">
      <c r="K1219" s="18"/>
      <c r="L1219" s="18"/>
    </row>
    <row r="1220" spans="11:12" x14ac:dyDescent="0.2">
      <c r="K1220" s="18"/>
      <c r="L1220" s="18"/>
    </row>
    <row r="1221" spans="11:12" x14ac:dyDescent="0.2">
      <c r="K1221" s="18"/>
      <c r="L1221" s="18"/>
    </row>
    <row r="1222" spans="11:12" x14ac:dyDescent="0.2">
      <c r="K1222" s="18"/>
      <c r="L1222" s="18"/>
    </row>
    <row r="1223" spans="11:12" x14ac:dyDescent="0.2">
      <c r="K1223" s="18"/>
      <c r="L1223" s="18"/>
    </row>
    <row r="1224" spans="11:12" x14ac:dyDescent="0.2">
      <c r="K1224" s="18"/>
      <c r="L1224" s="18"/>
    </row>
    <row r="1225" spans="11:12" x14ac:dyDescent="0.2">
      <c r="K1225" s="18"/>
      <c r="L1225" s="18"/>
    </row>
    <row r="1226" spans="11:12" x14ac:dyDescent="0.2">
      <c r="K1226" s="18"/>
      <c r="L1226" s="18"/>
    </row>
    <row r="1227" spans="11:12" x14ac:dyDescent="0.2">
      <c r="K1227" s="18"/>
      <c r="L1227" s="18"/>
    </row>
    <row r="1228" spans="11:12" x14ac:dyDescent="0.2">
      <c r="K1228" s="18"/>
      <c r="L1228" s="18"/>
    </row>
    <row r="1229" spans="11:12" x14ac:dyDescent="0.2">
      <c r="K1229" s="18"/>
      <c r="L1229" s="18"/>
    </row>
    <row r="1230" spans="11:12" x14ac:dyDescent="0.2">
      <c r="K1230" s="18"/>
      <c r="L1230" s="18"/>
    </row>
    <row r="1231" spans="11:12" x14ac:dyDescent="0.2">
      <c r="K1231" s="18"/>
      <c r="L1231" s="18"/>
    </row>
    <row r="1232" spans="11:12" x14ac:dyDescent="0.2">
      <c r="K1232" s="18"/>
      <c r="L1232" s="18"/>
    </row>
    <row r="1233" spans="11:12" x14ac:dyDescent="0.2">
      <c r="K1233" s="18"/>
      <c r="L1233" s="18"/>
    </row>
    <row r="1234" spans="11:12" x14ac:dyDescent="0.2">
      <c r="K1234" s="18"/>
      <c r="L1234" s="18"/>
    </row>
    <row r="1235" spans="11:12" x14ac:dyDescent="0.2">
      <c r="K1235" s="18"/>
      <c r="L1235" s="18"/>
    </row>
    <row r="1236" spans="11:12" x14ac:dyDescent="0.2">
      <c r="K1236" s="18"/>
      <c r="L1236" s="18"/>
    </row>
    <row r="1237" spans="11:12" x14ac:dyDescent="0.2">
      <c r="K1237" s="18"/>
      <c r="L1237" s="18"/>
    </row>
    <row r="1238" spans="11:12" x14ac:dyDescent="0.2">
      <c r="K1238" s="18"/>
      <c r="L1238" s="18"/>
    </row>
    <row r="1239" spans="11:12" x14ac:dyDescent="0.2">
      <c r="K1239" s="18"/>
      <c r="L1239" s="18"/>
    </row>
    <row r="1240" spans="11:12" x14ac:dyDescent="0.2">
      <c r="K1240" s="18"/>
      <c r="L1240" s="18"/>
    </row>
    <row r="1241" spans="11:12" x14ac:dyDescent="0.2">
      <c r="K1241" s="18"/>
      <c r="L1241" s="18"/>
    </row>
    <row r="1242" spans="11:12" x14ac:dyDescent="0.2">
      <c r="K1242" s="18"/>
      <c r="L1242" s="18"/>
    </row>
    <row r="1243" spans="11:12" x14ac:dyDescent="0.2">
      <c r="K1243" s="18"/>
      <c r="L1243" s="18"/>
    </row>
    <row r="1244" spans="11:12" x14ac:dyDescent="0.2">
      <c r="K1244" s="18"/>
      <c r="L1244" s="18"/>
    </row>
    <row r="1245" spans="11:12" x14ac:dyDescent="0.2">
      <c r="K1245" s="18"/>
      <c r="L1245" s="18"/>
    </row>
    <row r="1246" spans="11:12" x14ac:dyDescent="0.2">
      <c r="K1246" s="18"/>
      <c r="L1246" s="18"/>
    </row>
    <row r="1247" spans="11:12" x14ac:dyDescent="0.2">
      <c r="K1247" s="18"/>
      <c r="L1247" s="18"/>
    </row>
    <row r="1248" spans="11:12" x14ac:dyDescent="0.2">
      <c r="K1248" s="18"/>
      <c r="L1248" s="18"/>
    </row>
    <row r="1249" spans="11:12" x14ac:dyDescent="0.2">
      <c r="K1249" s="18"/>
      <c r="L1249" s="18"/>
    </row>
    <row r="1250" spans="11:12" x14ac:dyDescent="0.2">
      <c r="K1250" s="18"/>
      <c r="L1250" s="18"/>
    </row>
    <row r="1251" spans="11:12" x14ac:dyDescent="0.2">
      <c r="K1251" s="18"/>
      <c r="L1251" s="18"/>
    </row>
    <row r="1252" spans="11:12" x14ac:dyDescent="0.2">
      <c r="K1252" s="18"/>
      <c r="L1252" s="18"/>
    </row>
    <row r="1253" spans="11:12" x14ac:dyDescent="0.2">
      <c r="K1253" s="18"/>
      <c r="L1253" s="18"/>
    </row>
    <row r="1254" spans="11:12" x14ac:dyDescent="0.2">
      <c r="K1254" s="18"/>
      <c r="L1254" s="18"/>
    </row>
    <row r="1255" spans="11:12" x14ac:dyDescent="0.2">
      <c r="K1255" s="18"/>
      <c r="L1255" s="18"/>
    </row>
    <row r="1256" spans="11:12" x14ac:dyDescent="0.2">
      <c r="K1256" s="18"/>
      <c r="L1256" s="18"/>
    </row>
    <row r="1257" spans="11:12" x14ac:dyDescent="0.2">
      <c r="K1257" s="18"/>
      <c r="L1257" s="18"/>
    </row>
    <row r="1258" spans="11:12" x14ac:dyDescent="0.2">
      <c r="K1258" s="18"/>
      <c r="L1258" s="18"/>
    </row>
    <row r="1259" spans="11:12" x14ac:dyDescent="0.2">
      <c r="K1259" s="18"/>
      <c r="L1259" s="18"/>
    </row>
    <row r="1260" spans="11:12" x14ac:dyDescent="0.2">
      <c r="K1260" s="18"/>
      <c r="L1260" s="18"/>
    </row>
    <row r="1261" spans="11:12" x14ac:dyDescent="0.2">
      <c r="K1261" s="18"/>
      <c r="L1261" s="18"/>
    </row>
    <row r="1262" spans="11:12" x14ac:dyDescent="0.2">
      <c r="K1262" s="18"/>
      <c r="L1262" s="18"/>
    </row>
    <row r="1263" spans="11:12" x14ac:dyDescent="0.2">
      <c r="K1263" s="18"/>
      <c r="L1263" s="18"/>
    </row>
    <row r="1264" spans="11:12" x14ac:dyDescent="0.2">
      <c r="K1264" s="18"/>
      <c r="L1264" s="18"/>
    </row>
    <row r="1265" spans="11:12" x14ac:dyDescent="0.2">
      <c r="K1265" s="18"/>
      <c r="L1265" s="18"/>
    </row>
    <row r="1266" spans="11:12" x14ac:dyDescent="0.2">
      <c r="K1266" s="18"/>
      <c r="L1266" s="18"/>
    </row>
    <row r="1267" spans="11:12" x14ac:dyDescent="0.2">
      <c r="K1267" s="18"/>
      <c r="L1267" s="18"/>
    </row>
    <row r="1268" spans="11:12" x14ac:dyDescent="0.2">
      <c r="K1268" s="18"/>
      <c r="L1268" s="18"/>
    </row>
    <row r="1269" spans="11:12" x14ac:dyDescent="0.2">
      <c r="K1269" s="18"/>
      <c r="L1269" s="18"/>
    </row>
    <row r="1270" spans="11:12" x14ac:dyDescent="0.2">
      <c r="K1270" s="18"/>
      <c r="L1270" s="18"/>
    </row>
    <row r="1271" spans="11:12" x14ac:dyDescent="0.2">
      <c r="K1271" s="18"/>
      <c r="L1271" s="18"/>
    </row>
    <row r="1272" spans="11:12" x14ac:dyDescent="0.2">
      <c r="K1272" s="18"/>
      <c r="L1272" s="18"/>
    </row>
    <row r="1273" spans="11:12" x14ac:dyDescent="0.2">
      <c r="K1273" s="18"/>
      <c r="L1273" s="18"/>
    </row>
    <row r="1274" spans="11:12" x14ac:dyDescent="0.2">
      <c r="K1274" s="18"/>
      <c r="L1274" s="18"/>
    </row>
    <row r="1275" spans="11:12" x14ac:dyDescent="0.2">
      <c r="K1275" s="18"/>
      <c r="L1275" s="18"/>
    </row>
    <row r="1276" spans="11:12" x14ac:dyDescent="0.2">
      <c r="K1276" s="18"/>
      <c r="L1276" s="18"/>
    </row>
    <row r="1277" spans="11:12" x14ac:dyDescent="0.2">
      <c r="K1277" s="18"/>
      <c r="L1277" s="18"/>
    </row>
    <row r="1278" spans="11:12" x14ac:dyDescent="0.2">
      <c r="K1278" s="18"/>
      <c r="L1278" s="18"/>
    </row>
    <row r="1279" spans="11:12" x14ac:dyDescent="0.2">
      <c r="K1279" s="18"/>
      <c r="L1279" s="18"/>
    </row>
    <row r="1280" spans="11:12" x14ac:dyDescent="0.2">
      <c r="K1280" s="18"/>
      <c r="L1280" s="18"/>
    </row>
    <row r="1281" spans="11:12" x14ac:dyDescent="0.2">
      <c r="K1281" s="18"/>
      <c r="L1281" s="18"/>
    </row>
    <row r="1282" spans="11:12" x14ac:dyDescent="0.2">
      <c r="K1282" s="18"/>
      <c r="L1282" s="18"/>
    </row>
    <row r="1283" spans="11:12" x14ac:dyDescent="0.2">
      <c r="K1283" s="18"/>
      <c r="L1283" s="18"/>
    </row>
    <row r="1284" spans="11:12" x14ac:dyDescent="0.2">
      <c r="K1284" s="18"/>
      <c r="L1284" s="18"/>
    </row>
    <row r="1285" spans="11:12" x14ac:dyDescent="0.2">
      <c r="K1285" s="18"/>
      <c r="L1285" s="18"/>
    </row>
    <row r="1286" spans="11:12" x14ac:dyDescent="0.2">
      <c r="K1286" s="18"/>
      <c r="L1286" s="18"/>
    </row>
    <row r="1287" spans="11:12" x14ac:dyDescent="0.2">
      <c r="K1287" s="18"/>
      <c r="L1287" s="18"/>
    </row>
    <row r="1288" spans="11:12" x14ac:dyDescent="0.2">
      <c r="K1288" s="18"/>
      <c r="L1288" s="18"/>
    </row>
    <row r="1289" spans="11:12" x14ac:dyDescent="0.2">
      <c r="K1289" s="18"/>
      <c r="L1289" s="18"/>
    </row>
    <row r="1290" spans="11:12" x14ac:dyDescent="0.2">
      <c r="K1290" s="18"/>
      <c r="L1290" s="18"/>
    </row>
    <row r="1291" spans="11:12" x14ac:dyDescent="0.2">
      <c r="K1291" s="18"/>
      <c r="L1291" s="18"/>
    </row>
    <row r="1292" spans="11:12" x14ac:dyDescent="0.2">
      <c r="K1292" s="18"/>
      <c r="L1292" s="18"/>
    </row>
    <row r="1293" spans="11:12" x14ac:dyDescent="0.2">
      <c r="K1293" s="18"/>
      <c r="L1293" s="18"/>
    </row>
    <row r="1294" spans="11:12" x14ac:dyDescent="0.2">
      <c r="K1294" s="18"/>
      <c r="L1294" s="18"/>
    </row>
    <row r="1295" spans="11:12" x14ac:dyDescent="0.2">
      <c r="K1295" s="18"/>
      <c r="L1295" s="18"/>
    </row>
    <row r="1296" spans="11:12" x14ac:dyDescent="0.2">
      <c r="K1296" s="18"/>
      <c r="L1296" s="18"/>
    </row>
    <row r="1297" spans="11:12" x14ac:dyDescent="0.2">
      <c r="K1297" s="18"/>
      <c r="L1297" s="18"/>
    </row>
    <row r="1298" spans="11:12" x14ac:dyDescent="0.2">
      <c r="K1298" s="18"/>
      <c r="L1298" s="18"/>
    </row>
    <row r="1299" spans="11:12" x14ac:dyDescent="0.2">
      <c r="K1299" s="18"/>
      <c r="L1299" s="18"/>
    </row>
    <row r="1300" spans="11:12" x14ac:dyDescent="0.2">
      <c r="K1300" s="18"/>
      <c r="L1300" s="18"/>
    </row>
    <row r="1301" spans="11:12" x14ac:dyDescent="0.2">
      <c r="K1301" s="18"/>
      <c r="L1301" s="18"/>
    </row>
    <row r="1302" spans="11:12" x14ac:dyDescent="0.2">
      <c r="K1302" s="18"/>
      <c r="L1302" s="18"/>
    </row>
    <row r="1303" spans="11:12" x14ac:dyDescent="0.2">
      <c r="K1303" s="18"/>
      <c r="L1303" s="18"/>
    </row>
    <row r="1304" spans="11:12" x14ac:dyDescent="0.2">
      <c r="K1304" s="18"/>
      <c r="L1304" s="18"/>
    </row>
    <row r="1305" spans="11:12" x14ac:dyDescent="0.2">
      <c r="K1305" s="18"/>
      <c r="L1305" s="18"/>
    </row>
    <row r="1306" spans="11:12" x14ac:dyDescent="0.2">
      <c r="K1306" s="18"/>
      <c r="L1306" s="18"/>
    </row>
    <row r="1307" spans="11:12" x14ac:dyDescent="0.2">
      <c r="K1307" s="18"/>
      <c r="L1307" s="18"/>
    </row>
    <row r="1308" spans="11:12" x14ac:dyDescent="0.2">
      <c r="K1308" s="18"/>
      <c r="L1308" s="18"/>
    </row>
    <row r="1309" spans="11:12" x14ac:dyDescent="0.2">
      <c r="K1309" s="18"/>
      <c r="L1309" s="18"/>
    </row>
    <row r="1310" spans="11:12" x14ac:dyDescent="0.2">
      <c r="K1310" s="18"/>
      <c r="L1310" s="18"/>
    </row>
    <row r="1311" spans="11:12" x14ac:dyDescent="0.2">
      <c r="K1311" s="18"/>
      <c r="L1311" s="18"/>
    </row>
    <row r="1312" spans="11:12" x14ac:dyDescent="0.2">
      <c r="K1312" s="18"/>
      <c r="L1312" s="18"/>
    </row>
    <row r="1313" spans="11:12" x14ac:dyDescent="0.2">
      <c r="K1313" s="18"/>
      <c r="L1313" s="18"/>
    </row>
    <row r="1314" spans="11:12" x14ac:dyDescent="0.2">
      <c r="K1314" s="18"/>
      <c r="L1314" s="18"/>
    </row>
    <row r="1315" spans="11:12" x14ac:dyDescent="0.2">
      <c r="K1315" s="18"/>
      <c r="L1315" s="18"/>
    </row>
    <row r="1316" spans="11:12" x14ac:dyDescent="0.2">
      <c r="K1316" s="18"/>
      <c r="L1316" s="18"/>
    </row>
    <row r="1317" spans="11:12" x14ac:dyDescent="0.2">
      <c r="K1317" s="18"/>
      <c r="L1317" s="18"/>
    </row>
    <row r="1318" spans="11:12" x14ac:dyDescent="0.2">
      <c r="K1318" s="18"/>
      <c r="L1318" s="18"/>
    </row>
    <row r="1319" spans="11:12" x14ac:dyDescent="0.2">
      <c r="K1319" s="18"/>
      <c r="L1319" s="18"/>
    </row>
    <row r="1320" spans="11:12" x14ac:dyDescent="0.2">
      <c r="K1320" s="18"/>
      <c r="L1320" s="18"/>
    </row>
    <row r="1321" spans="11:12" x14ac:dyDescent="0.2">
      <c r="K1321" s="18"/>
      <c r="L1321" s="18"/>
    </row>
    <row r="1322" spans="11:12" x14ac:dyDescent="0.2">
      <c r="K1322" s="18"/>
      <c r="L1322" s="18"/>
    </row>
    <row r="1323" spans="11:12" x14ac:dyDescent="0.2">
      <c r="K1323" s="18"/>
      <c r="L1323" s="18"/>
    </row>
    <row r="1324" spans="11:12" x14ac:dyDescent="0.2">
      <c r="K1324" s="18"/>
      <c r="L1324" s="18"/>
    </row>
    <row r="1325" spans="11:12" x14ac:dyDescent="0.2">
      <c r="K1325" s="18"/>
      <c r="L1325" s="18"/>
    </row>
    <row r="1326" spans="11:12" x14ac:dyDescent="0.2">
      <c r="K1326" s="18"/>
      <c r="L1326" s="18"/>
    </row>
    <row r="1327" spans="11:12" x14ac:dyDescent="0.2">
      <c r="K1327" s="18"/>
      <c r="L1327" s="18"/>
    </row>
    <row r="1328" spans="11:12" x14ac:dyDescent="0.2">
      <c r="K1328" s="18"/>
      <c r="L1328" s="18"/>
    </row>
    <row r="1329" spans="11:12" x14ac:dyDescent="0.2">
      <c r="K1329" s="18"/>
      <c r="L1329" s="18"/>
    </row>
    <row r="1330" spans="11:12" x14ac:dyDescent="0.2">
      <c r="K1330" s="18"/>
      <c r="L1330" s="18"/>
    </row>
    <row r="1331" spans="11:12" x14ac:dyDescent="0.2">
      <c r="K1331" s="18"/>
      <c r="L1331" s="18"/>
    </row>
    <row r="1332" spans="11:12" x14ac:dyDescent="0.2">
      <c r="K1332" s="18"/>
      <c r="L1332" s="18"/>
    </row>
    <row r="1333" spans="11:12" x14ac:dyDescent="0.2">
      <c r="K1333" s="18"/>
      <c r="L1333" s="18"/>
    </row>
    <row r="1334" spans="11:12" x14ac:dyDescent="0.2">
      <c r="K1334" s="18"/>
      <c r="L1334" s="18"/>
    </row>
    <row r="1335" spans="11:12" x14ac:dyDescent="0.2">
      <c r="K1335" s="18"/>
      <c r="L1335" s="18"/>
    </row>
    <row r="1336" spans="11:12" x14ac:dyDescent="0.2">
      <c r="K1336" s="18"/>
      <c r="L1336" s="18"/>
    </row>
    <row r="1337" spans="11:12" x14ac:dyDescent="0.2">
      <c r="K1337" s="18"/>
      <c r="L1337" s="18"/>
    </row>
    <row r="1338" spans="11:12" x14ac:dyDescent="0.2">
      <c r="K1338" s="18"/>
      <c r="L1338" s="18"/>
    </row>
    <row r="1339" spans="11:12" x14ac:dyDescent="0.2">
      <c r="K1339" s="18"/>
      <c r="L1339" s="18"/>
    </row>
    <row r="1340" spans="11:12" x14ac:dyDescent="0.2">
      <c r="K1340" s="18"/>
      <c r="L1340" s="18"/>
    </row>
    <row r="1341" spans="11:12" x14ac:dyDescent="0.2">
      <c r="K1341" s="18"/>
      <c r="L1341" s="18"/>
    </row>
    <row r="1342" spans="11:12" x14ac:dyDescent="0.2">
      <c r="K1342" s="18"/>
      <c r="L1342" s="18"/>
    </row>
    <row r="1343" spans="11:12" x14ac:dyDescent="0.2">
      <c r="K1343" s="18"/>
      <c r="L1343" s="18"/>
    </row>
    <row r="1344" spans="11:12" x14ac:dyDescent="0.2">
      <c r="K1344" s="18"/>
      <c r="L1344" s="18"/>
    </row>
    <row r="1345" spans="11:12" x14ac:dyDescent="0.2">
      <c r="K1345" s="18"/>
      <c r="L1345" s="18"/>
    </row>
    <row r="1346" spans="11:12" x14ac:dyDescent="0.2">
      <c r="K1346" s="18"/>
      <c r="L1346" s="18"/>
    </row>
    <row r="1347" spans="11:12" x14ac:dyDescent="0.2">
      <c r="K1347" s="18"/>
      <c r="L1347" s="18"/>
    </row>
    <row r="1348" spans="11:12" x14ac:dyDescent="0.2">
      <c r="K1348" s="18"/>
      <c r="L1348" s="18"/>
    </row>
    <row r="1349" spans="11:12" x14ac:dyDescent="0.2">
      <c r="K1349" s="18"/>
      <c r="L1349" s="18"/>
    </row>
    <row r="1350" spans="11:12" x14ac:dyDescent="0.2">
      <c r="K1350" s="18"/>
      <c r="L1350" s="18"/>
    </row>
    <row r="1351" spans="11:12" x14ac:dyDescent="0.2">
      <c r="K1351" s="18"/>
      <c r="L1351" s="18"/>
    </row>
    <row r="1352" spans="11:12" x14ac:dyDescent="0.2">
      <c r="K1352" s="18"/>
      <c r="L1352" s="18"/>
    </row>
    <row r="1353" spans="11:12" x14ac:dyDescent="0.2">
      <c r="K1353" s="18"/>
      <c r="L1353" s="18"/>
    </row>
    <row r="1354" spans="11:12" x14ac:dyDescent="0.2">
      <c r="K1354" s="18"/>
      <c r="L1354" s="18"/>
    </row>
    <row r="1355" spans="11:12" x14ac:dyDescent="0.2">
      <c r="K1355" s="18"/>
      <c r="L1355" s="18"/>
    </row>
    <row r="1356" spans="11:12" x14ac:dyDescent="0.2">
      <c r="K1356" s="18"/>
      <c r="L1356" s="18"/>
    </row>
    <row r="1357" spans="11:12" x14ac:dyDescent="0.2">
      <c r="K1357" s="18"/>
      <c r="L1357" s="18"/>
    </row>
    <row r="1358" spans="11:12" x14ac:dyDescent="0.2">
      <c r="K1358" s="18"/>
      <c r="L1358" s="18"/>
    </row>
    <row r="1359" spans="11:12" x14ac:dyDescent="0.2">
      <c r="K1359" s="18"/>
      <c r="L1359" s="18"/>
    </row>
    <row r="1360" spans="11:12" x14ac:dyDescent="0.2">
      <c r="K1360" s="18"/>
      <c r="L1360" s="18"/>
    </row>
    <row r="1361" spans="11:12" x14ac:dyDescent="0.2">
      <c r="K1361" s="18"/>
      <c r="L1361" s="18"/>
    </row>
    <row r="1362" spans="11:12" x14ac:dyDescent="0.2">
      <c r="K1362" s="18"/>
      <c r="L1362" s="18"/>
    </row>
    <row r="1363" spans="11:12" x14ac:dyDescent="0.2">
      <c r="K1363" s="18"/>
      <c r="L1363" s="18"/>
    </row>
    <row r="1364" spans="11:12" x14ac:dyDescent="0.2">
      <c r="K1364" s="18"/>
      <c r="L1364" s="18"/>
    </row>
    <row r="1365" spans="11:12" x14ac:dyDescent="0.2">
      <c r="K1365" s="18"/>
      <c r="L1365" s="18"/>
    </row>
    <row r="1366" spans="11:12" x14ac:dyDescent="0.2">
      <c r="K1366" s="18"/>
      <c r="L1366" s="18"/>
    </row>
    <row r="1367" spans="11:12" x14ac:dyDescent="0.2">
      <c r="K1367" s="18"/>
      <c r="L1367" s="18"/>
    </row>
    <row r="1368" spans="11:12" x14ac:dyDescent="0.2">
      <c r="K1368" s="18"/>
      <c r="L1368" s="18"/>
    </row>
    <row r="1369" spans="11:12" x14ac:dyDescent="0.2">
      <c r="K1369" s="18"/>
      <c r="L1369" s="18"/>
    </row>
    <row r="1370" spans="11:12" x14ac:dyDescent="0.2">
      <c r="K1370" s="18"/>
      <c r="L1370" s="18"/>
    </row>
    <row r="1371" spans="11:12" x14ac:dyDescent="0.2">
      <c r="K1371" s="18"/>
      <c r="L1371" s="18"/>
    </row>
    <row r="1372" spans="11:12" x14ac:dyDescent="0.2">
      <c r="K1372" s="18"/>
      <c r="L1372" s="18"/>
    </row>
    <row r="1373" spans="11:12" x14ac:dyDescent="0.2">
      <c r="K1373" s="18"/>
      <c r="L1373" s="18"/>
    </row>
    <row r="1374" spans="11:12" x14ac:dyDescent="0.2">
      <c r="K1374" s="18"/>
      <c r="L1374" s="18"/>
    </row>
    <row r="1375" spans="11:12" x14ac:dyDescent="0.2">
      <c r="K1375" s="18"/>
      <c r="L1375" s="18"/>
    </row>
    <row r="1376" spans="11:12" x14ac:dyDescent="0.2">
      <c r="K1376" s="18"/>
      <c r="L1376" s="18"/>
    </row>
    <row r="1377" spans="11:12" x14ac:dyDescent="0.2">
      <c r="K1377" s="18"/>
      <c r="L1377" s="18"/>
    </row>
    <row r="1378" spans="11:12" x14ac:dyDescent="0.2">
      <c r="K1378" s="18"/>
      <c r="L1378" s="18"/>
    </row>
    <row r="1379" spans="11:12" x14ac:dyDescent="0.2">
      <c r="K1379" s="18"/>
      <c r="L1379" s="18"/>
    </row>
    <row r="1380" spans="11:12" x14ac:dyDescent="0.2">
      <c r="K1380" s="18"/>
      <c r="L1380" s="18"/>
    </row>
    <row r="1381" spans="11:12" x14ac:dyDescent="0.2">
      <c r="K1381" s="18"/>
      <c r="L1381" s="18"/>
    </row>
    <row r="1382" spans="11:12" x14ac:dyDescent="0.2">
      <c r="K1382" s="18"/>
      <c r="L1382" s="18"/>
    </row>
    <row r="1383" spans="11:12" x14ac:dyDescent="0.2">
      <c r="K1383" s="18"/>
      <c r="L1383" s="18"/>
    </row>
    <row r="1384" spans="11:12" x14ac:dyDescent="0.2">
      <c r="K1384" s="18"/>
      <c r="L1384" s="18"/>
    </row>
    <row r="1385" spans="11:12" x14ac:dyDescent="0.2">
      <c r="K1385" s="18"/>
      <c r="L1385" s="18"/>
    </row>
    <row r="1386" spans="11:12" x14ac:dyDescent="0.2">
      <c r="K1386" s="18"/>
      <c r="L1386" s="18"/>
    </row>
    <row r="1387" spans="11:12" x14ac:dyDescent="0.2">
      <c r="K1387" s="18"/>
      <c r="L1387" s="18"/>
    </row>
    <row r="1388" spans="11:12" x14ac:dyDescent="0.2">
      <c r="K1388" s="18"/>
      <c r="L1388" s="18"/>
    </row>
    <row r="1389" spans="11:12" x14ac:dyDescent="0.2">
      <c r="K1389" s="18"/>
      <c r="L1389" s="18"/>
    </row>
    <row r="1390" spans="11:12" x14ac:dyDescent="0.2">
      <c r="K1390" s="18"/>
      <c r="L1390" s="18"/>
    </row>
    <row r="1391" spans="11:12" x14ac:dyDescent="0.2">
      <c r="K1391" s="18"/>
      <c r="L1391" s="18"/>
    </row>
    <row r="1392" spans="11:12" x14ac:dyDescent="0.2">
      <c r="K1392" s="18"/>
      <c r="L1392" s="18"/>
    </row>
    <row r="1393" spans="11:12" x14ac:dyDescent="0.2">
      <c r="K1393" s="18"/>
      <c r="L1393" s="18"/>
    </row>
    <row r="1394" spans="11:12" x14ac:dyDescent="0.2">
      <c r="K1394" s="18"/>
      <c r="L1394" s="18"/>
    </row>
    <row r="1395" spans="11:12" x14ac:dyDescent="0.2">
      <c r="K1395" s="18"/>
      <c r="L1395" s="18"/>
    </row>
    <row r="1396" spans="11:12" x14ac:dyDescent="0.2">
      <c r="K1396" s="18"/>
      <c r="L1396" s="18"/>
    </row>
    <row r="1397" spans="11:12" x14ac:dyDescent="0.2">
      <c r="K1397" s="18"/>
      <c r="L1397" s="18"/>
    </row>
    <row r="1398" spans="11:12" x14ac:dyDescent="0.2">
      <c r="K1398" s="18"/>
      <c r="L1398" s="18"/>
    </row>
    <row r="1399" spans="11:12" x14ac:dyDescent="0.2">
      <c r="K1399" s="18"/>
      <c r="L1399" s="18"/>
    </row>
    <row r="1400" spans="11:12" x14ac:dyDescent="0.2">
      <c r="K1400" s="18"/>
      <c r="L1400" s="18"/>
    </row>
    <row r="1401" spans="11:12" x14ac:dyDescent="0.2">
      <c r="K1401" s="18"/>
      <c r="L1401" s="18"/>
    </row>
    <row r="1402" spans="11:12" x14ac:dyDescent="0.2">
      <c r="K1402" s="18"/>
      <c r="L1402" s="18"/>
    </row>
    <row r="1403" spans="11:12" x14ac:dyDescent="0.2">
      <c r="K1403" s="18"/>
      <c r="L1403" s="18"/>
    </row>
    <row r="1404" spans="11:12" x14ac:dyDescent="0.2">
      <c r="K1404" s="18"/>
      <c r="L1404" s="18"/>
    </row>
    <row r="1405" spans="11:12" x14ac:dyDescent="0.2">
      <c r="K1405" s="18"/>
      <c r="L1405" s="18"/>
    </row>
    <row r="1406" spans="11:12" x14ac:dyDescent="0.2">
      <c r="K1406" s="18"/>
      <c r="L1406" s="18"/>
    </row>
    <row r="1407" spans="11:12" x14ac:dyDescent="0.2">
      <c r="K1407" s="18"/>
      <c r="L1407" s="18"/>
    </row>
    <row r="1408" spans="11:12" x14ac:dyDescent="0.2">
      <c r="K1408" s="18"/>
      <c r="L1408" s="18"/>
    </row>
    <row r="1409" spans="11:12" x14ac:dyDescent="0.2">
      <c r="K1409" s="18"/>
      <c r="L1409" s="18"/>
    </row>
    <row r="1410" spans="11:12" x14ac:dyDescent="0.2">
      <c r="K1410" s="18"/>
      <c r="L1410" s="18"/>
    </row>
    <row r="1411" spans="11:12" x14ac:dyDescent="0.2">
      <c r="K1411" s="18"/>
      <c r="L1411" s="18"/>
    </row>
    <row r="1412" spans="11:12" x14ac:dyDescent="0.2">
      <c r="K1412" s="18"/>
      <c r="L1412" s="18"/>
    </row>
    <row r="1413" spans="11:12" x14ac:dyDescent="0.2">
      <c r="K1413" s="18"/>
      <c r="L1413" s="18"/>
    </row>
    <row r="1414" spans="11:12" x14ac:dyDescent="0.2">
      <c r="K1414" s="18"/>
      <c r="L1414" s="18"/>
    </row>
    <row r="1415" spans="11:12" x14ac:dyDescent="0.2">
      <c r="K1415" s="18"/>
      <c r="L1415" s="18"/>
    </row>
    <row r="1416" spans="11:12" x14ac:dyDescent="0.2">
      <c r="K1416" s="18"/>
      <c r="L1416" s="18"/>
    </row>
    <row r="1417" spans="11:12" x14ac:dyDescent="0.2">
      <c r="K1417" s="18"/>
      <c r="L1417" s="18"/>
    </row>
    <row r="1418" spans="11:12" x14ac:dyDescent="0.2">
      <c r="K1418" s="18"/>
      <c r="L1418" s="18"/>
    </row>
    <row r="1419" spans="11:12" x14ac:dyDescent="0.2">
      <c r="K1419" s="18"/>
      <c r="L1419" s="18"/>
    </row>
    <row r="1420" spans="11:12" x14ac:dyDescent="0.2">
      <c r="K1420" s="18"/>
      <c r="L1420" s="18"/>
    </row>
    <row r="1421" spans="11:12" x14ac:dyDescent="0.2">
      <c r="K1421" s="18"/>
      <c r="L1421" s="18"/>
    </row>
    <row r="1422" spans="11:12" x14ac:dyDescent="0.2">
      <c r="K1422" s="18"/>
      <c r="L1422" s="18"/>
    </row>
    <row r="1423" spans="11:12" x14ac:dyDescent="0.2">
      <c r="K1423" s="18"/>
      <c r="L1423" s="18"/>
    </row>
    <row r="1424" spans="11:12" x14ac:dyDescent="0.2">
      <c r="K1424" s="18"/>
      <c r="L1424" s="18"/>
    </row>
    <row r="1425" spans="11:12" x14ac:dyDescent="0.2">
      <c r="K1425" s="18"/>
      <c r="L1425" s="18"/>
    </row>
    <row r="1426" spans="11:12" x14ac:dyDescent="0.2">
      <c r="K1426" s="18"/>
      <c r="L1426" s="18"/>
    </row>
    <row r="1427" spans="11:12" x14ac:dyDescent="0.2">
      <c r="K1427" s="18"/>
      <c r="L1427" s="18"/>
    </row>
    <row r="1428" spans="11:12" x14ac:dyDescent="0.2">
      <c r="K1428" s="18"/>
      <c r="L1428" s="18"/>
    </row>
    <row r="1429" spans="11:12" x14ac:dyDescent="0.2">
      <c r="K1429" s="18"/>
      <c r="L1429" s="18"/>
    </row>
    <row r="1430" spans="11:12" x14ac:dyDescent="0.2">
      <c r="K1430" s="18"/>
      <c r="L1430" s="18"/>
    </row>
    <row r="1431" spans="11:12" x14ac:dyDescent="0.2">
      <c r="K1431" s="18"/>
      <c r="L1431" s="18"/>
    </row>
    <row r="1432" spans="11:12" x14ac:dyDescent="0.2">
      <c r="K1432" s="18"/>
      <c r="L1432" s="18"/>
    </row>
    <row r="1433" spans="11:12" x14ac:dyDescent="0.2">
      <c r="K1433" s="18"/>
      <c r="L1433" s="18"/>
    </row>
    <row r="1434" spans="11:12" x14ac:dyDescent="0.2">
      <c r="K1434" s="18"/>
      <c r="L1434" s="18"/>
    </row>
    <row r="1435" spans="11:12" x14ac:dyDescent="0.2">
      <c r="K1435" s="18"/>
      <c r="L1435" s="18"/>
    </row>
    <row r="1436" spans="11:12" x14ac:dyDescent="0.2">
      <c r="K1436" s="18"/>
      <c r="L1436" s="18"/>
    </row>
    <row r="1437" spans="11:12" x14ac:dyDescent="0.2">
      <c r="K1437" s="18"/>
      <c r="L1437" s="18"/>
    </row>
    <row r="1438" spans="11:12" x14ac:dyDescent="0.2">
      <c r="K1438" s="18"/>
      <c r="L1438" s="18"/>
    </row>
    <row r="1439" spans="11:12" x14ac:dyDescent="0.2">
      <c r="K1439" s="18"/>
      <c r="L1439" s="18"/>
    </row>
    <row r="1440" spans="11:12" x14ac:dyDescent="0.2">
      <c r="K1440" s="18"/>
      <c r="L1440" s="18"/>
    </row>
    <row r="1441" spans="11:12" x14ac:dyDescent="0.2">
      <c r="K1441" s="18"/>
      <c r="L1441" s="18"/>
    </row>
    <row r="1442" spans="11:12" x14ac:dyDescent="0.2">
      <c r="K1442" s="18"/>
      <c r="L1442" s="18"/>
    </row>
    <row r="1443" spans="11:12" x14ac:dyDescent="0.2">
      <c r="K1443" s="18"/>
      <c r="L1443" s="18"/>
    </row>
    <row r="1444" spans="11:12" x14ac:dyDescent="0.2">
      <c r="K1444" s="18"/>
      <c r="L1444" s="18"/>
    </row>
    <row r="1445" spans="11:12" x14ac:dyDescent="0.2">
      <c r="K1445" s="18"/>
      <c r="L1445" s="18"/>
    </row>
    <row r="1446" spans="11:12" x14ac:dyDescent="0.2">
      <c r="K1446" s="18"/>
      <c r="L1446" s="18"/>
    </row>
    <row r="1447" spans="11:12" x14ac:dyDescent="0.2">
      <c r="K1447" s="18"/>
      <c r="L1447" s="18"/>
    </row>
    <row r="1448" spans="11:12" x14ac:dyDescent="0.2">
      <c r="K1448" s="18"/>
      <c r="L1448" s="18"/>
    </row>
    <row r="1449" spans="11:12" x14ac:dyDescent="0.2">
      <c r="K1449" s="18"/>
      <c r="L1449" s="18"/>
    </row>
    <row r="1450" spans="11:12" x14ac:dyDescent="0.2">
      <c r="K1450" s="18"/>
      <c r="L1450" s="18"/>
    </row>
    <row r="1451" spans="11:12" x14ac:dyDescent="0.2">
      <c r="K1451" s="18"/>
      <c r="L1451" s="18"/>
    </row>
    <row r="1452" spans="11:12" x14ac:dyDescent="0.2">
      <c r="K1452" s="18"/>
      <c r="L1452" s="18"/>
    </row>
    <row r="1453" spans="11:12" x14ac:dyDescent="0.2">
      <c r="K1453" s="18"/>
      <c r="L1453" s="18"/>
    </row>
    <row r="1454" spans="11:12" x14ac:dyDescent="0.2">
      <c r="K1454" s="18"/>
      <c r="L1454" s="18"/>
    </row>
    <row r="1455" spans="11:12" x14ac:dyDescent="0.2">
      <c r="K1455" s="18"/>
      <c r="L1455" s="18"/>
    </row>
    <row r="1456" spans="11:12" x14ac:dyDescent="0.2">
      <c r="K1456" s="18"/>
      <c r="L1456" s="18"/>
    </row>
    <row r="1457" spans="11:12" x14ac:dyDescent="0.2">
      <c r="K1457" s="18"/>
      <c r="L1457" s="18"/>
    </row>
    <row r="1458" spans="11:12" x14ac:dyDescent="0.2">
      <c r="K1458" s="18"/>
      <c r="L1458" s="18"/>
    </row>
    <row r="1459" spans="11:12" x14ac:dyDescent="0.2">
      <c r="K1459" s="18"/>
      <c r="L1459" s="18"/>
    </row>
    <row r="1460" spans="11:12" x14ac:dyDescent="0.2">
      <c r="K1460" s="18"/>
      <c r="L1460" s="18"/>
    </row>
    <row r="1461" spans="11:12" x14ac:dyDescent="0.2">
      <c r="K1461" s="18"/>
      <c r="L1461" s="18"/>
    </row>
    <row r="1462" spans="11:12" x14ac:dyDescent="0.2">
      <c r="K1462" s="18"/>
      <c r="L1462" s="18"/>
    </row>
    <row r="1463" spans="11:12" x14ac:dyDescent="0.2">
      <c r="K1463" s="18"/>
      <c r="L1463" s="18"/>
    </row>
    <row r="1464" spans="11:12" x14ac:dyDescent="0.2">
      <c r="K1464" s="18"/>
      <c r="L1464" s="18"/>
    </row>
    <row r="1465" spans="11:12" x14ac:dyDescent="0.2">
      <c r="K1465" s="18"/>
      <c r="L1465" s="18"/>
    </row>
    <row r="1466" spans="11:12" x14ac:dyDescent="0.2">
      <c r="K1466" s="18"/>
      <c r="L1466" s="18"/>
    </row>
    <row r="1467" spans="11:12" x14ac:dyDescent="0.2">
      <c r="K1467" s="18"/>
      <c r="L1467" s="18"/>
    </row>
    <row r="1468" spans="11:12" x14ac:dyDescent="0.2">
      <c r="K1468" s="18"/>
      <c r="L1468" s="18"/>
    </row>
    <row r="1469" spans="11:12" x14ac:dyDescent="0.2">
      <c r="K1469" s="18"/>
      <c r="L1469" s="18"/>
    </row>
    <row r="1470" spans="11:12" x14ac:dyDescent="0.2">
      <c r="K1470" s="18"/>
      <c r="L1470" s="18"/>
    </row>
    <row r="1471" spans="11:12" x14ac:dyDescent="0.2">
      <c r="K1471" s="18"/>
      <c r="L1471" s="18"/>
    </row>
    <row r="1472" spans="11:12" x14ac:dyDescent="0.2">
      <c r="K1472" s="18"/>
      <c r="L1472" s="18"/>
    </row>
    <row r="1473" spans="11:12" x14ac:dyDescent="0.2">
      <c r="K1473" s="18"/>
      <c r="L1473" s="18"/>
    </row>
    <row r="1474" spans="11:12" x14ac:dyDescent="0.2">
      <c r="K1474" s="18"/>
      <c r="L1474" s="18"/>
    </row>
    <row r="1475" spans="11:12" x14ac:dyDescent="0.2">
      <c r="K1475" s="18"/>
      <c r="L1475" s="18"/>
    </row>
    <row r="1476" spans="11:12" x14ac:dyDescent="0.2">
      <c r="K1476" s="18"/>
      <c r="L1476" s="18"/>
    </row>
    <row r="1477" spans="11:12" x14ac:dyDescent="0.2">
      <c r="K1477" s="18"/>
      <c r="L1477" s="18"/>
    </row>
    <row r="1478" spans="11:12" x14ac:dyDescent="0.2">
      <c r="K1478" s="18"/>
      <c r="L1478" s="18"/>
    </row>
    <row r="1479" spans="11:12" x14ac:dyDescent="0.2">
      <c r="K1479" s="18"/>
      <c r="L1479" s="18"/>
    </row>
    <row r="1480" spans="11:12" x14ac:dyDescent="0.2">
      <c r="K1480" s="18"/>
      <c r="L1480" s="18"/>
    </row>
    <row r="1481" spans="11:12" x14ac:dyDescent="0.2">
      <c r="K1481" s="18"/>
      <c r="L1481" s="18"/>
    </row>
    <row r="1482" spans="11:12" x14ac:dyDescent="0.2">
      <c r="K1482" s="18"/>
      <c r="L1482" s="18"/>
    </row>
    <row r="1483" spans="11:12" x14ac:dyDescent="0.2">
      <c r="K1483" s="18"/>
      <c r="L1483" s="18"/>
    </row>
    <row r="1484" spans="11:12" x14ac:dyDescent="0.2">
      <c r="K1484" s="18"/>
      <c r="L1484" s="18"/>
    </row>
    <row r="1485" spans="11:12" x14ac:dyDescent="0.2">
      <c r="K1485" s="18"/>
      <c r="L1485" s="18"/>
    </row>
    <row r="1486" spans="11:12" x14ac:dyDescent="0.2">
      <c r="K1486" s="18"/>
      <c r="L1486" s="18"/>
    </row>
    <row r="1487" spans="11:12" x14ac:dyDescent="0.2">
      <c r="K1487" s="18"/>
      <c r="L1487" s="18"/>
    </row>
    <row r="1488" spans="11:12" x14ac:dyDescent="0.2">
      <c r="K1488" s="18"/>
      <c r="L1488" s="18"/>
    </row>
    <row r="1489" spans="11:12" x14ac:dyDescent="0.2">
      <c r="K1489" s="18"/>
      <c r="L1489" s="18"/>
    </row>
    <row r="1490" spans="11:12" x14ac:dyDescent="0.2">
      <c r="K1490" s="18"/>
      <c r="L1490" s="18"/>
    </row>
    <row r="1491" spans="11:12" x14ac:dyDescent="0.2">
      <c r="K1491" s="18"/>
      <c r="L1491" s="18"/>
    </row>
    <row r="1492" spans="11:12" x14ac:dyDescent="0.2">
      <c r="K1492" s="18"/>
      <c r="L1492" s="18"/>
    </row>
    <row r="1493" spans="11:12" x14ac:dyDescent="0.2">
      <c r="K1493" s="18"/>
      <c r="L1493" s="18"/>
    </row>
    <row r="1494" spans="11:12" x14ac:dyDescent="0.2">
      <c r="K1494" s="18"/>
      <c r="L1494" s="18"/>
    </row>
    <row r="1495" spans="11:12" x14ac:dyDescent="0.2">
      <c r="K1495" s="18"/>
      <c r="L1495" s="18"/>
    </row>
    <row r="1496" spans="11:12" x14ac:dyDescent="0.2">
      <c r="K1496" s="18"/>
      <c r="L1496" s="18"/>
    </row>
    <row r="1497" spans="11:12" x14ac:dyDescent="0.2">
      <c r="K1497" s="18"/>
      <c r="L1497" s="18"/>
    </row>
    <row r="1498" spans="11:12" x14ac:dyDescent="0.2">
      <c r="K1498" s="18"/>
      <c r="L1498" s="18"/>
    </row>
    <row r="1499" spans="11:12" x14ac:dyDescent="0.2">
      <c r="K1499" s="18"/>
      <c r="L1499" s="18"/>
    </row>
    <row r="1500" spans="11:12" x14ac:dyDescent="0.2">
      <c r="K1500" s="18"/>
      <c r="L1500" s="18"/>
    </row>
    <row r="1501" spans="11:12" x14ac:dyDescent="0.2">
      <c r="K1501" s="18"/>
      <c r="L1501" s="18"/>
    </row>
    <row r="1502" spans="11:12" x14ac:dyDescent="0.2">
      <c r="K1502" s="18"/>
      <c r="L1502" s="18"/>
    </row>
    <row r="1503" spans="11:12" x14ac:dyDescent="0.2">
      <c r="K1503" s="18"/>
      <c r="L1503" s="18"/>
    </row>
    <row r="1504" spans="11:12" x14ac:dyDescent="0.2">
      <c r="K1504" s="18"/>
      <c r="L1504" s="18"/>
    </row>
    <row r="1505" spans="11:12" x14ac:dyDescent="0.2">
      <c r="K1505" s="18"/>
      <c r="L1505" s="18"/>
    </row>
    <row r="1506" spans="11:12" x14ac:dyDescent="0.2">
      <c r="K1506" s="18"/>
      <c r="L1506" s="18"/>
    </row>
    <row r="1507" spans="11:12" x14ac:dyDescent="0.2">
      <c r="K1507" s="18"/>
      <c r="L1507" s="18"/>
    </row>
    <row r="1508" spans="11:12" x14ac:dyDescent="0.2">
      <c r="K1508" s="18"/>
      <c r="L1508" s="18"/>
    </row>
    <row r="1509" spans="11:12" x14ac:dyDescent="0.2">
      <c r="K1509" s="18"/>
      <c r="L1509" s="18"/>
    </row>
    <row r="1510" spans="11:12" x14ac:dyDescent="0.2">
      <c r="K1510" s="18"/>
      <c r="L1510" s="18"/>
    </row>
    <row r="1511" spans="11:12" x14ac:dyDescent="0.2">
      <c r="K1511" s="18"/>
      <c r="L1511" s="18"/>
    </row>
    <row r="1512" spans="11:12" x14ac:dyDescent="0.2">
      <c r="K1512" s="18"/>
      <c r="L1512" s="18"/>
    </row>
    <row r="1513" spans="11:12" x14ac:dyDescent="0.2">
      <c r="K1513" s="18"/>
      <c r="L1513" s="18"/>
    </row>
    <row r="1514" spans="11:12" x14ac:dyDescent="0.2">
      <c r="K1514" s="18"/>
      <c r="L1514" s="18"/>
    </row>
    <row r="1515" spans="11:12" x14ac:dyDescent="0.2">
      <c r="K1515" s="18"/>
      <c r="L1515" s="18"/>
    </row>
    <row r="1516" spans="11:12" x14ac:dyDescent="0.2">
      <c r="K1516" s="18"/>
      <c r="L1516" s="18"/>
    </row>
    <row r="1517" spans="11:12" x14ac:dyDescent="0.2">
      <c r="K1517" s="18"/>
      <c r="L1517" s="18"/>
    </row>
    <row r="1518" spans="11:12" x14ac:dyDescent="0.2">
      <c r="K1518" s="18"/>
      <c r="L1518" s="18"/>
    </row>
    <row r="1519" spans="11:12" x14ac:dyDescent="0.2">
      <c r="K1519" s="18"/>
      <c r="L1519" s="18"/>
    </row>
    <row r="1520" spans="11:12" x14ac:dyDescent="0.2">
      <c r="K1520" s="18"/>
      <c r="L1520" s="18"/>
    </row>
    <row r="1521" spans="11:12" x14ac:dyDescent="0.2">
      <c r="K1521" s="18"/>
      <c r="L1521" s="18"/>
    </row>
    <row r="1522" spans="11:12" x14ac:dyDescent="0.2">
      <c r="K1522" s="18"/>
      <c r="L1522" s="18"/>
    </row>
    <row r="1523" spans="11:12" x14ac:dyDescent="0.2">
      <c r="K1523" s="18"/>
      <c r="L1523" s="18"/>
    </row>
    <row r="1524" spans="11:12" x14ac:dyDescent="0.2">
      <c r="K1524" s="18"/>
      <c r="L1524" s="18"/>
    </row>
    <row r="1525" spans="11:12" x14ac:dyDescent="0.2">
      <c r="K1525" s="18"/>
      <c r="L1525" s="18"/>
    </row>
    <row r="1526" spans="11:12" x14ac:dyDescent="0.2">
      <c r="K1526" s="18"/>
      <c r="L1526" s="18"/>
    </row>
    <row r="1527" spans="11:12" x14ac:dyDescent="0.2">
      <c r="K1527" s="18"/>
      <c r="L1527" s="18"/>
    </row>
    <row r="1528" spans="11:12" x14ac:dyDescent="0.2">
      <c r="K1528" s="18"/>
      <c r="L1528" s="18"/>
    </row>
    <row r="1529" spans="11:12" x14ac:dyDescent="0.2">
      <c r="K1529" s="18"/>
      <c r="L1529" s="18"/>
    </row>
    <row r="1530" spans="11:12" x14ac:dyDescent="0.2">
      <c r="K1530" s="18"/>
      <c r="L1530" s="18"/>
    </row>
    <row r="1531" spans="11:12" x14ac:dyDescent="0.2">
      <c r="K1531" s="18"/>
      <c r="L1531" s="18"/>
    </row>
    <row r="1532" spans="11:12" x14ac:dyDescent="0.2">
      <c r="K1532" s="18"/>
      <c r="L1532" s="18"/>
    </row>
    <row r="1533" spans="11:12" x14ac:dyDescent="0.2">
      <c r="K1533" s="18"/>
      <c r="L1533" s="18"/>
    </row>
    <row r="1534" spans="11:12" x14ac:dyDescent="0.2">
      <c r="K1534" s="18"/>
      <c r="L1534" s="18"/>
    </row>
    <row r="1535" spans="11:12" x14ac:dyDescent="0.2">
      <c r="K1535" s="18"/>
      <c r="L1535" s="18"/>
    </row>
    <row r="1536" spans="11:12" x14ac:dyDescent="0.2">
      <c r="K1536" s="18"/>
      <c r="L1536" s="18"/>
    </row>
    <row r="1537" spans="11:12" x14ac:dyDescent="0.2">
      <c r="K1537" s="18"/>
      <c r="L1537" s="18"/>
    </row>
    <row r="1538" spans="11:12" x14ac:dyDescent="0.2">
      <c r="K1538" s="18"/>
      <c r="L1538" s="18"/>
    </row>
    <row r="1539" spans="11:12" x14ac:dyDescent="0.2">
      <c r="K1539" s="18"/>
      <c r="L1539" s="18"/>
    </row>
    <row r="1540" spans="11:12" x14ac:dyDescent="0.2">
      <c r="K1540" s="18"/>
      <c r="L1540" s="18"/>
    </row>
    <row r="1541" spans="11:12" x14ac:dyDescent="0.2">
      <c r="K1541" s="18"/>
      <c r="L1541" s="18"/>
    </row>
    <row r="1542" spans="11:12" x14ac:dyDescent="0.2">
      <c r="K1542" s="18"/>
      <c r="L1542" s="18"/>
    </row>
    <row r="1543" spans="11:12" x14ac:dyDescent="0.2">
      <c r="K1543" s="18"/>
      <c r="L1543" s="18"/>
    </row>
    <row r="1544" spans="11:12" x14ac:dyDescent="0.2">
      <c r="K1544" s="18"/>
      <c r="L1544" s="18"/>
    </row>
    <row r="1545" spans="11:12" x14ac:dyDescent="0.2">
      <c r="K1545" s="18"/>
      <c r="L1545" s="18"/>
    </row>
    <row r="1546" spans="11:12" x14ac:dyDescent="0.2">
      <c r="K1546" s="18"/>
      <c r="L1546" s="18"/>
    </row>
    <row r="1547" spans="11:12" x14ac:dyDescent="0.2">
      <c r="K1547" s="18"/>
      <c r="L1547" s="18"/>
    </row>
    <row r="1548" spans="11:12" x14ac:dyDescent="0.2">
      <c r="K1548" s="18"/>
      <c r="L1548" s="18"/>
    </row>
    <row r="1549" spans="11:12" x14ac:dyDescent="0.2">
      <c r="K1549" s="18"/>
      <c r="L1549" s="18"/>
    </row>
    <row r="1550" spans="11:12" x14ac:dyDescent="0.2">
      <c r="K1550" s="18"/>
      <c r="L1550" s="18"/>
    </row>
    <row r="1551" spans="11:12" x14ac:dyDescent="0.2">
      <c r="K1551" s="18"/>
      <c r="L1551" s="18"/>
    </row>
    <row r="1552" spans="11:12" x14ac:dyDescent="0.2">
      <c r="K1552" s="18"/>
      <c r="L1552" s="18"/>
    </row>
    <row r="1553" spans="11:12" x14ac:dyDescent="0.2">
      <c r="K1553" s="18"/>
      <c r="L1553" s="18"/>
    </row>
    <row r="1554" spans="11:12" x14ac:dyDescent="0.2">
      <c r="K1554" s="18"/>
      <c r="L1554" s="18"/>
    </row>
    <row r="1555" spans="11:12" x14ac:dyDescent="0.2">
      <c r="K1555" s="18"/>
      <c r="L1555" s="18"/>
    </row>
    <row r="1556" spans="11:12" x14ac:dyDescent="0.2">
      <c r="K1556" s="18"/>
      <c r="L1556" s="18"/>
    </row>
    <row r="1557" spans="11:12" x14ac:dyDescent="0.2">
      <c r="K1557" s="18"/>
      <c r="L1557" s="18"/>
    </row>
    <row r="1558" spans="11:12" x14ac:dyDescent="0.2">
      <c r="K1558" s="18"/>
      <c r="L1558" s="18"/>
    </row>
    <row r="1559" spans="11:12" x14ac:dyDescent="0.2">
      <c r="K1559" s="18"/>
      <c r="L1559" s="18"/>
    </row>
    <row r="1560" spans="11:12" x14ac:dyDescent="0.2">
      <c r="K1560" s="18"/>
      <c r="L1560" s="18"/>
    </row>
    <row r="1561" spans="11:12" x14ac:dyDescent="0.2">
      <c r="K1561" s="18"/>
      <c r="L1561" s="18"/>
    </row>
    <row r="1562" spans="11:12" x14ac:dyDescent="0.2">
      <c r="K1562" s="18"/>
      <c r="L1562" s="18"/>
    </row>
    <row r="1563" spans="11:12" x14ac:dyDescent="0.2">
      <c r="K1563" s="18"/>
      <c r="L1563" s="18"/>
    </row>
    <row r="1564" spans="11:12" x14ac:dyDescent="0.2">
      <c r="K1564" s="18"/>
      <c r="L1564" s="18"/>
    </row>
    <row r="1565" spans="11:12" x14ac:dyDescent="0.2">
      <c r="K1565" s="18"/>
      <c r="L1565" s="18"/>
    </row>
    <row r="1566" spans="11:12" x14ac:dyDescent="0.2">
      <c r="K1566" s="18"/>
      <c r="L1566" s="18"/>
    </row>
    <row r="1567" spans="11:12" x14ac:dyDescent="0.2">
      <c r="K1567" s="18"/>
      <c r="L1567" s="18"/>
    </row>
    <row r="1568" spans="11:12" x14ac:dyDescent="0.2">
      <c r="K1568" s="18"/>
      <c r="L1568" s="18"/>
    </row>
    <row r="1569" spans="11:12" x14ac:dyDescent="0.2">
      <c r="K1569" s="18"/>
      <c r="L1569" s="18"/>
    </row>
    <row r="1570" spans="11:12" x14ac:dyDescent="0.2">
      <c r="K1570" s="18"/>
      <c r="L1570" s="18"/>
    </row>
    <row r="1571" spans="11:12" x14ac:dyDescent="0.2">
      <c r="K1571" s="18"/>
      <c r="L1571" s="18"/>
    </row>
    <row r="1572" spans="11:12" x14ac:dyDescent="0.2">
      <c r="K1572" s="18"/>
      <c r="L1572" s="18"/>
    </row>
    <row r="1573" spans="11:12" x14ac:dyDescent="0.2">
      <c r="K1573" s="18"/>
      <c r="L1573" s="18"/>
    </row>
    <row r="1574" spans="11:12" x14ac:dyDescent="0.2">
      <c r="K1574" s="18"/>
      <c r="L1574" s="18"/>
    </row>
    <row r="1575" spans="11:12" x14ac:dyDescent="0.2">
      <c r="K1575" s="18"/>
      <c r="L1575" s="18"/>
    </row>
    <row r="1576" spans="11:12" x14ac:dyDescent="0.2">
      <c r="K1576" s="18"/>
      <c r="L1576" s="18"/>
    </row>
    <row r="1577" spans="11:12" x14ac:dyDescent="0.2">
      <c r="K1577" s="18"/>
      <c r="L1577" s="18"/>
    </row>
    <row r="1578" spans="11:12" x14ac:dyDescent="0.2">
      <c r="K1578" s="18"/>
      <c r="L1578" s="18"/>
    </row>
    <row r="1579" spans="11:12" x14ac:dyDescent="0.2">
      <c r="K1579" s="18"/>
      <c r="L1579" s="18"/>
    </row>
    <row r="1580" spans="11:12" x14ac:dyDescent="0.2">
      <c r="K1580" s="18"/>
      <c r="L1580" s="18"/>
    </row>
    <row r="1581" spans="11:12" x14ac:dyDescent="0.2">
      <c r="K1581" s="18"/>
      <c r="L1581" s="18"/>
    </row>
    <row r="1582" spans="11:12" x14ac:dyDescent="0.2">
      <c r="K1582" s="18"/>
      <c r="L1582" s="18"/>
    </row>
    <row r="1583" spans="11:12" x14ac:dyDescent="0.2">
      <c r="K1583" s="18"/>
      <c r="L1583" s="18"/>
    </row>
    <row r="1584" spans="11:12" x14ac:dyDescent="0.2">
      <c r="K1584" s="18"/>
      <c r="L1584" s="18"/>
    </row>
    <row r="1585" spans="11:12" x14ac:dyDescent="0.2">
      <c r="K1585" s="18"/>
      <c r="L1585" s="18"/>
    </row>
    <row r="1586" spans="11:12" x14ac:dyDescent="0.2">
      <c r="K1586" s="18"/>
      <c r="L1586" s="18"/>
    </row>
    <row r="1587" spans="11:12" x14ac:dyDescent="0.2">
      <c r="K1587" s="18"/>
      <c r="L1587" s="18"/>
    </row>
    <row r="1588" spans="11:12" x14ac:dyDescent="0.2">
      <c r="K1588" s="18"/>
      <c r="L1588" s="18"/>
    </row>
    <row r="1589" spans="11:12" x14ac:dyDescent="0.2">
      <c r="K1589" s="18"/>
      <c r="L1589" s="18"/>
    </row>
    <row r="1590" spans="11:12" x14ac:dyDescent="0.2">
      <c r="K1590" s="18"/>
      <c r="L1590" s="18"/>
    </row>
    <row r="1591" spans="11:12" x14ac:dyDescent="0.2">
      <c r="K1591" s="18"/>
      <c r="L1591" s="18"/>
    </row>
    <row r="1592" spans="11:12" x14ac:dyDescent="0.2">
      <c r="K1592" s="18"/>
      <c r="L1592" s="18"/>
    </row>
    <row r="1593" spans="11:12" x14ac:dyDescent="0.2">
      <c r="K1593" s="18"/>
      <c r="L1593" s="18"/>
    </row>
    <row r="1594" spans="11:12" x14ac:dyDescent="0.2">
      <c r="K1594" s="18"/>
      <c r="L1594" s="18"/>
    </row>
    <row r="1595" spans="11:12" x14ac:dyDescent="0.2">
      <c r="K1595" s="18"/>
      <c r="L1595" s="18"/>
    </row>
    <row r="1596" spans="11:12" x14ac:dyDescent="0.2">
      <c r="K1596" s="18"/>
      <c r="L1596" s="18"/>
    </row>
    <row r="1597" spans="11:12" x14ac:dyDescent="0.2">
      <c r="K1597" s="18"/>
      <c r="L1597" s="18"/>
    </row>
    <row r="1598" spans="11:12" x14ac:dyDescent="0.2">
      <c r="K1598" s="18"/>
      <c r="L1598" s="18"/>
    </row>
    <row r="1599" spans="11:12" x14ac:dyDescent="0.2">
      <c r="K1599" s="18"/>
      <c r="L1599" s="18"/>
    </row>
    <row r="1600" spans="11:12" x14ac:dyDescent="0.2">
      <c r="K1600" s="18"/>
      <c r="L1600" s="18"/>
    </row>
    <row r="1601" spans="11:12" x14ac:dyDescent="0.2">
      <c r="K1601" s="18"/>
      <c r="L1601" s="18"/>
    </row>
    <row r="1602" spans="11:12" x14ac:dyDescent="0.2">
      <c r="K1602" s="18"/>
      <c r="L1602" s="18"/>
    </row>
    <row r="1603" spans="11:12" x14ac:dyDescent="0.2">
      <c r="K1603" s="18"/>
      <c r="L1603" s="18"/>
    </row>
    <row r="1604" spans="11:12" x14ac:dyDescent="0.2">
      <c r="K1604" s="18"/>
      <c r="L1604" s="18"/>
    </row>
    <row r="1605" spans="11:12" x14ac:dyDescent="0.2">
      <c r="K1605" s="18"/>
      <c r="L1605" s="18"/>
    </row>
    <row r="1606" spans="11:12" x14ac:dyDescent="0.2">
      <c r="K1606" s="18"/>
      <c r="L1606" s="18"/>
    </row>
    <row r="1607" spans="11:12" x14ac:dyDescent="0.2">
      <c r="K1607" s="18"/>
      <c r="L1607" s="18"/>
    </row>
    <row r="1608" spans="11:12" x14ac:dyDescent="0.2">
      <c r="K1608" s="18"/>
      <c r="L1608" s="18"/>
    </row>
    <row r="1609" spans="11:12" x14ac:dyDescent="0.2">
      <c r="K1609" s="18"/>
      <c r="L1609" s="18"/>
    </row>
    <row r="1610" spans="11:12" x14ac:dyDescent="0.2">
      <c r="K1610" s="18"/>
      <c r="L1610" s="18"/>
    </row>
    <row r="1611" spans="11:12" x14ac:dyDescent="0.2">
      <c r="K1611" s="18"/>
      <c r="L1611" s="18"/>
    </row>
    <row r="1612" spans="11:12" x14ac:dyDescent="0.2">
      <c r="K1612" s="18"/>
      <c r="L1612" s="18"/>
    </row>
    <row r="1613" spans="11:12" x14ac:dyDescent="0.2">
      <c r="K1613" s="18"/>
      <c r="L1613" s="18"/>
    </row>
    <row r="1614" spans="11:12" x14ac:dyDescent="0.2">
      <c r="K1614" s="18"/>
      <c r="L1614" s="18"/>
    </row>
    <row r="1615" spans="11:12" x14ac:dyDescent="0.2">
      <c r="K1615" s="18"/>
      <c r="L1615" s="18"/>
    </row>
    <row r="1616" spans="11:12" x14ac:dyDescent="0.2">
      <c r="K1616" s="18"/>
      <c r="L1616" s="18"/>
    </row>
    <row r="1617" spans="11:12" x14ac:dyDescent="0.2">
      <c r="K1617" s="18"/>
      <c r="L1617" s="18"/>
    </row>
    <row r="1618" spans="11:12" x14ac:dyDescent="0.2">
      <c r="K1618" s="18"/>
      <c r="L1618" s="18"/>
    </row>
    <row r="1619" spans="11:12" x14ac:dyDescent="0.2">
      <c r="K1619" s="18"/>
      <c r="L1619" s="18"/>
    </row>
    <row r="1620" spans="11:12" x14ac:dyDescent="0.2">
      <c r="K1620" s="18"/>
      <c r="L1620" s="18"/>
    </row>
    <row r="1621" spans="11:12" x14ac:dyDescent="0.2">
      <c r="K1621" s="18"/>
      <c r="L1621" s="18"/>
    </row>
    <row r="1622" spans="11:12" x14ac:dyDescent="0.2">
      <c r="K1622" s="18"/>
      <c r="L1622" s="18"/>
    </row>
    <row r="1623" spans="11:12" x14ac:dyDescent="0.2">
      <c r="K1623" s="18"/>
      <c r="L1623" s="18"/>
    </row>
    <row r="1624" spans="11:12" x14ac:dyDescent="0.2">
      <c r="K1624" s="18"/>
      <c r="L1624" s="18"/>
    </row>
    <row r="1625" spans="11:12" x14ac:dyDescent="0.2">
      <c r="K1625" s="18"/>
      <c r="L1625" s="18"/>
    </row>
    <row r="1626" spans="11:12" x14ac:dyDescent="0.2">
      <c r="K1626" s="18"/>
      <c r="L1626" s="18"/>
    </row>
    <row r="1627" spans="11:12" x14ac:dyDescent="0.2">
      <c r="K1627" s="18"/>
      <c r="L1627" s="18"/>
    </row>
    <row r="1628" spans="11:12" x14ac:dyDescent="0.2">
      <c r="K1628" s="18"/>
      <c r="L1628" s="18"/>
    </row>
    <row r="1629" spans="11:12" x14ac:dyDescent="0.2">
      <c r="K1629" s="18"/>
      <c r="L1629" s="18"/>
    </row>
    <row r="1630" spans="11:12" x14ac:dyDescent="0.2">
      <c r="K1630" s="18"/>
      <c r="L1630" s="18"/>
    </row>
    <row r="1631" spans="11:12" x14ac:dyDescent="0.2">
      <c r="K1631" s="18"/>
      <c r="L1631" s="18"/>
    </row>
    <row r="1632" spans="11:12" x14ac:dyDescent="0.2">
      <c r="K1632" s="18"/>
      <c r="L1632" s="18"/>
    </row>
    <row r="1633" spans="11:12" x14ac:dyDescent="0.2">
      <c r="K1633" s="18"/>
      <c r="L1633" s="18"/>
    </row>
    <row r="1634" spans="11:12" x14ac:dyDescent="0.2">
      <c r="K1634" s="18"/>
      <c r="L1634" s="18"/>
    </row>
    <row r="1635" spans="11:12" x14ac:dyDescent="0.2">
      <c r="K1635" s="18"/>
      <c r="L1635" s="18"/>
    </row>
    <row r="1636" spans="11:12" x14ac:dyDescent="0.2">
      <c r="K1636" s="18"/>
      <c r="L1636" s="18"/>
    </row>
    <row r="1637" spans="11:12" x14ac:dyDescent="0.2">
      <c r="K1637" s="18"/>
      <c r="L1637" s="18"/>
    </row>
    <row r="1638" spans="11:12" x14ac:dyDescent="0.2">
      <c r="K1638" s="18"/>
      <c r="L1638" s="18"/>
    </row>
    <row r="1639" spans="11:12" x14ac:dyDescent="0.2">
      <c r="K1639" s="18"/>
      <c r="L1639" s="18"/>
    </row>
    <row r="1640" spans="11:12" x14ac:dyDescent="0.2">
      <c r="K1640" s="18"/>
      <c r="L1640" s="18"/>
    </row>
    <row r="1641" spans="11:12" x14ac:dyDescent="0.2">
      <c r="K1641" s="18"/>
      <c r="L1641" s="18"/>
    </row>
    <row r="1642" spans="11:12" x14ac:dyDescent="0.2">
      <c r="K1642" s="18"/>
      <c r="L1642" s="18"/>
    </row>
    <row r="1643" spans="11:12" x14ac:dyDescent="0.2">
      <c r="K1643" s="18"/>
      <c r="L1643" s="18"/>
    </row>
    <row r="1644" spans="11:12" x14ac:dyDescent="0.2">
      <c r="K1644" s="18"/>
      <c r="L1644" s="18"/>
    </row>
    <row r="1645" spans="11:12" x14ac:dyDescent="0.2">
      <c r="K1645" s="18"/>
      <c r="L1645" s="18"/>
    </row>
    <row r="1646" spans="11:12" x14ac:dyDescent="0.2">
      <c r="K1646" s="18"/>
      <c r="L1646" s="18"/>
    </row>
    <row r="1647" spans="11:12" x14ac:dyDescent="0.2">
      <c r="K1647" s="18"/>
      <c r="L1647" s="18"/>
    </row>
    <row r="1648" spans="11:12" x14ac:dyDescent="0.2">
      <c r="K1648" s="18"/>
      <c r="L1648" s="18"/>
    </row>
    <row r="1649" spans="11:12" x14ac:dyDescent="0.2">
      <c r="K1649" s="18"/>
      <c r="L1649" s="18"/>
    </row>
    <row r="1650" spans="11:12" x14ac:dyDescent="0.2">
      <c r="K1650" s="18"/>
      <c r="L1650" s="18"/>
    </row>
    <row r="1651" spans="11:12" x14ac:dyDescent="0.2">
      <c r="K1651" s="18"/>
      <c r="L1651" s="18"/>
    </row>
    <row r="1652" spans="11:12" x14ac:dyDescent="0.2">
      <c r="K1652" s="18"/>
      <c r="L1652" s="18"/>
    </row>
    <row r="1653" spans="11:12" x14ac:dyDescent="0.2">
      <c r="K1653" s="18"/>
      <c r="L1653" s="18"/>
    </row>
    <row r="1654" spans="11:12" x14ac:dyDescent="0.2">
      <c r="K1654" s="18"/>
      <c r="L1654" s="18"/>
    </row>
    <row r="1655" spans="11:12" x14ac:dyDescent="0.2">
      <c r="K1655" s="18"/>
      <c r="L1655" s="18"/>
    </row>
    <row r="1656" spans="11:12" x14ac:dyDescent="0.2">
      <c r="K1656" s="18"/>
      <c r="L1656" s="18"/>
    </row>
    <row r="1657" spans="11:12" x14ac:dyDescent="0.2">
      <c r="K1657" s="18"/>
      <c r="L1657" s="18"/>
    </row>
    <row r="1658" spans="11:12" x14ac:dyDescent="0.2">
      <c r="K1658" s="18"/>
      <c r="L1658" s="18"/>
    </row>
    <row r="1659" spans="11:12" x14ac:dyDescent="0.2">
      <c r="K1659" s="18"/>
      <c r="L1659" s="18"/>
    </row>
    <row r="1660" spans="11:12" x14ac:dyDescent="0.2">
      <c r="K1660" s="18"/>
      <c r="L1660" s="18"/>
    </row>
    <row r="1661" spans="11:12" x14ac:dyDescent="0.2">
      <c r="K1661" s="18"/>
      <c r="L1661" s="18"/>
    </row>
    <row r="1662" spans="11:12" x14ac:dyDescent="0.2">
      <c r="K1662" s="18"/>
      <c r="L1662" s="18"/>
    </row>
    <row r="1663" spans="11:12" x14ac:dyDescent="0.2">
      <c r="K1663" s="18"/>
      <c r="L1663" s="18"/>
    </row>
    <row r="1664" spans="11:12" x14ac:dyDescent="0.2">
      <c r="K1664" s="18"/>
      <c r="L1664" s="18"/>
    </row>
    <row r="1665" spans="11:12" x14ac:dyDescent="0.2">
      <c r="K1665" s="18"/>
      <c r="L1665" s="18"/>
    </row>
    <row r="1666" spans="11:12" x14ac:dyDescent="0.2">
      <c r="K1666" s="18"/>
      <c r="L1666" s="18"/>
    </row>
    <row r="1667" spans="11:12" x14ac:dyDescent="0.2">
      <c r="K1667" s="18"/>
      <c r="L1667" s="18"/>
    </row>
    <row r="1668" spans="11:12" x14ac:dyDescent="0.2">
      <c r="K1668" s="18"/>
      <c r="L1668" s="18"/>
    </row>
    <row r="1669" spans="11:12" x14ac:dyDescent="0.2">
      <c r="K1669" s="18"/>
      <c r="L1669" s="18"/>
    </row>
    <row r="1670" spans="11:12" x14ac:dyDescent="0.2">
      <c r="K1670" s="18"/>
      <c r="L1670" s="18"/>
    </row>
    <row r="1671" spans="11:12" x14ac:dyDescent="0.2">
      <c r="K1671" s="18"/>
      <c r="L1671" s="18"/>
    </row>
    <row r="1672" spans="11:12" x14ac:dyDescent="0.2">
      <c r="K1672" s="18"/>
      <c r="L1672" s="18"/>
    </row>
    <row r="1673" spans="11:12" x14ac:dyDescent="0.2">
      <c r="K1673" s="18"/>
      <c r="L1673" s="18"/>
    </row>
    <row r="1674" spans="11:12" x14ac:dyDescent="0.2">
      <c r="K1674" s="18"/>
      <c r="L1674" s="18"/>
    </row>
    <row r="1675" spans="11:12" x14ac:dyDescent="0.2">
      <c r="K1675" s="18"/>
      <c r="L1675" s="18"/>
    </row>
    <row r="1676" spans="11:12" x14ac:dyDescent="0.2">
      <c r="K1676" s="18"/>
      <c r="L1676" s="18"/>
    </row>
    <row r="1677" spans="11:12" x14ac:dyDescent="0.2">
      <c r="K1677" s="18"/>
      <c r="L1677" s="18"/>
    </row>
    <row r="1678" spans="11:12" x14ac:dyDescent="0.2">
      <c r="K1678" s="18"/>
      <c r="L1678" s="18"/>
    </row>
    <row r="1679" spans="11:12" x14ac:dyDescent="0.2">
      <c r="K1679" s="18"/>
      <c r="L1679" s="18"/>
    </row>
    <row r="1680" spans="11:12" x14ac:dyDescent="0.2">
      <c r="K1680" s="18"/>
      <c r="L1680" s="18"/>
    </row>
    <row r="1681" spans="11:12" x14ac:dyDescent="0.2">
      <c r="K1681" s="18"/>
      <c r="L1681" s="18"/>
    </row>
    <row r="1682" spans="11:12" x14ac:dyDescent="0.2">
      <c r="K1682" s="18"/>
      <c r="L1682" s="18"/>
    </row>
    <row r="1683" spans="11:12" x14ac:dyDescent="0.2">
      <c r="K1683" s="18"/>
      <c r="L1683" s="18"/>
    </row>
    <row r="1684" spans="11:12" x14ac:dyDescent="0.2">
      <c r="K1684" s="18"/>
      <c r="L1684" s="18"/>
    </row>
    <row r="1685" spans="11:12" x14ac:dyDescent="0.2">
      <c r="K1685" s="18"/>
      <c r="L1685" s="18"/>
    </row>
    <row r="1686" spans="11:12" x14ac:dyDescent="0.2">
      <c r="K1686" s="18"/>
      <c r="L1686" s="18"/>
    </row>
    <row r="1687" spans="11:12" x14ac:dyDescent="0.2">
      <c r="K1687" s="18"/>
      <c r="L1687" s="18"/>
    </row>
    <row r="1688" spans="11:12" x14ac:dyDescent="0.2">
      <c r="K1688" s="18"/>
      <c r="L1688" s="18"/>
    </row>
    <row r="1689" spans="11:12" x14ac:dyDescent="0.2">
      <c r="K1689" s="18"/>
      <c r="L1689" s="18"/>
    </row>
    <row r="1690" spans="11:12" x14ac:dyDescent="0.2">
      <c r="K1690" s="18"/>
      <c r="L1690" s="18"/>
    </row>
    <row r="1691" spans="11:12" x14ac:dyDescent="0.2">
      <c r="K1691" s="18"/>
      <c r="L1691" s="18"/>
    </row>
    <row r="1692" spans="11:12" x14ac:dyDescent="0.2">
      <c r="K1692" s="18"/>
      <c r="L1692" s="18"/>
    </row>
    <row r="1693" spans="11:12" x14ac:dyDescent="0.2">
      <c r="K1693" s="18"/>
      <c r="L1693" s="18"/>
    </row>
    <row r="1694" spans="11:12" x14ac:dyDescent="0.2">
      <c r="K1694" s="18"/>
      <c r="L1694" s="18"/>
    </row>
    <row r="1695" spans="11:12" x14ac:dyDescent="0.2">
      <c r="K1695" s="18"/>
      <c r="L1695" s="18"/>
    </row>
    <row r="1696" spans="11:12" x14ac:dyDescent="0.2">
      <c r="K1696" s="18"/>
      <c r="L1696" s="18"/>
    </row>
    <row r="1697" spans="11:12" x14ac:dyDescent="0.2">
      <c r="K1697" s="18"/>
      <c r="L1697" s="18"/>
    </row>
    <row r="1698" spans="11:12" x14ac:dyDescent="0.2">
      <c r="K1698" s="18"/>
      <c r="L1698" s="18"/>
    </row>
    <row r="1699" spans="11:12" x14ac:dyDescent="0.2">
      <c r="K1699" s="18"/>
      <c r="L1699" s="18"/>
    </row>
    <row r="1700" spans="11:12" x14ac:dyDescent="0.2">
      <c r="K1700" s="18"/>
      <c r="L1700" s="18"/>
    </row>
    <row r="1701" spans="11:12" x14ac:dyDescent="0.2">
      <c r="K1701" s="18"/>
      <c r="L1701" s="18"/>
    </row>
    <row r="1702" spans="11:12" x14ac:dyDescent="0.2">
      <c r="K1702" s="18"/>
      <c r="L1702" s="18"/>
    </row>
    <row r="1703" spans="11:12" x14ac:dyDescent="0.2">
      <c r="K1703" s="18"/>
      <c r="L1703" s="18"/>
    </row>
    <row r="1704" spans="11:12" x14ac:dyDescent="0.2">
      <c r="K1704" s="18"/>
      <c r="L1704" s="18"/>
    </row>
    <row r="1705" spans="11:12" x14ac:dyDescent="0.2">
      <c r="K1705" s="18"/>
      <c r="L1705" s="18"/>
    </row>
    <row r="1706" spans="11:12" x14ac:dyDescent="0.2">
      <c r="K1706" s="18"/>
      <c r="L1706" s="18"/>
    </row>
    <row r="1707" spans="11:12" x14ac:dyDescent="0.2">
      <c r="K1707" s="18"/>
      <c r="L1707" s="18"/>
    </row>
    <row r="1708" spans="11:12" x14ac:dyDescent="0.2">
      <c r="K1708" s="18"/>
      <c r="L1708" s="18"/>
    </row>
    <row r="1709" spans="11:12" x14ac:dyDescent="0.2">
      <c r="K1709" s="18"/>
      <c r="L1709" s="18"/>
    </row>
    <row r="1710" spans="11:12" x14ac:dyDescent="0.2">
      <c r="K1710" s="18"/>
      <c r="L1710" s="18"/>
    </row>
    <row r="1711" spans="11:12" x14ac:dyDescent="0.2">
      <c r="K1711" s="18"/>
      <c r="L1711" s="18"/>
    </row>
    <row r="1712" spans="11:12" x14ac:dyDescent="0.2">
      <c r="K1712" s="18"/>
      <c r="L1712" s="18"/>
    </row>
    <row r="1713" spans="11:12" x14ac:dyDescent="0.2">
      <c r="K1713" s="18"/>
      <c r="L1713" s="18"/>
    </row>
    <row r="1714" spans="11:12" x14ac:dyDescent="0.2">
      <c r="K1714" s="18"/>
      <c r="L1714" s="18"/>
    </row>
    <row r="1715" spans="11:12" x14ac:dyDescent="0.2">
      <c r="K1715" s="18"/>
      <c r="L1715" s="18"/>
    </row>
    <row r="1716" spans="11:12" x14ac:dyDescent="0.2">
      <c r="K1716" s="18"/>
      <c r="L1716" s="18"/>
    </row>
    <row r="1717" spans="11:12" x14ac:dyDescent="0.2">
      <c r="K1717" s="18"/>
      <c r="L1717" s="18"/>
    </row>
    <row r="1718" spans="11:12" x14ac:dyDescent="0.2">
      <c r="K1718" s="18"/>
      <c r="L1718" s="18"/>
    </row>
    <row r="1719" spans="11:12" x14ac:dyDescent="0.2">
      <c r="K1719" s="18"/>
      <c r="L1719" s="18"/>
    </row>
    <row r="1720" spans="11:12" x14ac:dyDescent="0.2">
      <c r="K1720" s="18"/>
      <c r="L1720" s="18"/>
    </row>
    <row r="1721" spans="11:12" x14ac:dyDescent="0.2">
      <c r="K1721" s="18"/>
      <c r="L1721" s="18"/>
    </row>
    <row r="1722" spans="11:12" x14ac:dyDescent="0.2">
      <c r="K1722" s="18"/>
      <c r="L1722" s="18"/>
    </row>
    <row r="1723" spans="11:12" x14ac:dyDescent="0.2">
      <c r="K1723" s="18"/>
      <c r="L1723" s="18"/>
    </row>
    <row r="1724" spans="11:12" x14ac:dyDescent="0.2">
      <c r="K1724" s="18"/>
      <c r="L1724" s="18"/>
    </row>
    <row r="1725" spans="11:12" x14ac:dyDescent="0.2">
      <c r="K1725" s="18"/>
      <c r="L1725" s="18"/>
    </row>
    <row r="1726" spans="11:12" x14ac:dyDescent="0.2">
      <c r="K1726" s="18"/>
      <c r="L1726" s="18"/>
    </row>
    <row r="1727" spans="11:12" x14ac:dyDescent="0.2">
      <c r="K1727" s="18"/>
      <c r="L1727" s="18"/>
    </row>
    <row r="1728" spans="11:12" x14ac:dyDescent="0.2">
      <c r="K1728" s="18"/>
      <c r="L1728" s="18"/>
    </row>
    <row r="1729" spans="11:12" x14ac:dyDescent="0.2">
      <c r="K1729" s="18"/>
      <c r="L1729" s="18"/>
    </row>
    <row r="1730" spans="11:12" x14ac:dyDescent="0.2">
      <c r="K1730" s="18"/>
      <c r="L1730" s="18"/>
    </row>
    <row r="1731" spans="11:12" x14ac:dyDescent="0.2">
      <c r="K1731" s="18"/>
      <c r="L1731" s="18"/>
    </row>
    <row r="1732" spans="11:12" x14ac:dyDescent="0.2">
      <c r="K1732" s="18"/>
      <c r="L1732" s="18"/>
    </row>
    <row r="1733" spans="11:12" x14ac:dyDescent="0.2">
      <c r="K1733" s="18"/>
      <c r="L1733" s="18"/>
    </row>
    <row r="1734" spans="11:12" x14ac:dyDescent="0.2">
      <c r="K1734" s="18"/>
      <c r="L1734" s="18"/>
    </row>
    <row r="1735" spans="11:12" x14ac:dyDescent="0.2">
      <c r="K1735" s="18"/>
      <c r="L1735" s="18"/>
    </row>
    <row r="1736" spans="11:12" x14ac:dyDescent="0.2">
      <c r="K1736" s="18"/>
      <c r="L1736" s="18"/>
    </row>
    <row r="1737" spans="11:12" x14ac:dyDescent="0.2">
      <c r="K1737" s="18"/>
      <c r="L1737" s="18"/>
    </row>
    <row r="1738" spans="11:12" x14ac:dyDescent="0.2">
      <c r="K1738" s="18"/>
      <c r="L1738" s="18"/>
    </row>
    <row r="1739" spans="11:12" x14ac:dyDescent="0.2">
      <c r="K1739" s="18"/>
      <c r="L1739" s="18"/>
    </row>
    <row r="1740" spans="11:12" x14ac:dyDescent="0.2">
      <c r="K1740" s="18"/>
      <c r="L1740" s="18"/>
    </row>
    <row r="1741" spans="11:12" x14ac:dyDescent="0.2">
      <c r="K1741" s="18"/>
      <c r="L1741" s="18"/>
    </row>
    <row r="1742" spans="11:12" x14ac:dyDescent="0.2">
      <c r="K1742" s="18"/>
      <c r="L1742" s="18"/>
    </row>
    <row r="1743" spans="11:12" x14ac:dyDescent="0.2">
      <c r="K1743" s="18"/>
      <c r="L1743" s="18"/>
    </row>
    <row r="1744" spans="11:12" x14ac:dyDescent="0.2">
      <c r="K1744" s="18"/>
      <c r="L1744" s="18"/>
    </row>
    <row r="1745" spans="11:12" x14ac:dyDescent="0.2">
      <c r="K1745" s="18"/>
      <c r="L1745" s="18"/>
    </row>
    <row r="1746" spans="11:12" x14ac:dyDescent="0.2">
      <c r="K1746" s="18"/>
      <c r="L1746" s="18"/>
    </row>
    <row r="1747" spans="11:12" x14ac:dyDescent="0.2">
      <c r="K1747" s="18"/>
      <c r="L1747" s="18"/>
    </row>
    <row r="1748" spans="11:12" x14ac:dyDescent="0.2">
      <c r="K1748" s="18"/>
      <c r="L1748" s="18"/>
    </row>
    <row r="1749" spans="11:12" x14ac:dyDescent="0.2">
      <c r="K1749" s="18"/>
      <c r="L1749" s="18"/>
    </row>
    <row r="1750" spans="11:12" x14ac:dyDescent="0.2">
      <c r="K1750" s="18"/>
      <c r="L1750" s="18"/>
    </row>
    <row r="1751" spans="11:12" x14ac:dyDescent="0.2">
      <c r="K1751" s="18"/>
      <c r="L1751" s="18"/>
    </row>
    <row r="1752" spans="11:12" x14ac:dyDescent="0.2">
      <c r="K1752" s="18"/>
      <c r="L1752" s="18"/>
    </row>
    <row r="1753" spans="11:12" x14ac:dyDescent="0.2">
      <c r="K1753" s="18"/>
      <c r="L1753" s="18"/>
    </row>
    <row r="1754" spans="11:12" x14ac:dyDescent="0.2">
      <c r="K1754" s="18"/>
      <c r="L1754" s="18"/>
    </row>
    <row r="1755" spans="11:12" x14ac:dyDescent="0.2">
      <c r="K1755" s="18"/>
      <c r="L1755" s="18"/>
    </row>
    <row r="1756" spans="11:12" x14ac:dyDescent="0.2">
      <c r="K1756" s="18"/>
      <c r="L1756" s="18"/>
    </row>
    <row r="1757" spans="11:12" x14ac:dyDescent="0.2">
      <c r="K1757" s="18"/>
      <c r="L1757" s="18"/>
    </row>
    <row r="1758" spans="11:12" x14ac:dyDescent="0.2">
      <c r="K1758" s="18"/>
      <c r="L1758" s="18"/>
    </row>
    <row r="1759" spans="11:12" x14ac:dyDescent="0.2">
      <c r="K1759" s="18"/>
      <c r="L1759" s="18"/>
    </row>
    <row r="1760" spans="11:12" x14ac:dyDescent="0.2">
      <c r="K1760" s="18"/>
      <c r="L1760" s="18"/>
    </row>
    <row r="1761" spans="11:12" x14ac:dyDescent="0.2">
      <c r="K1761" s="18"/>
      <c r="L1761" s="18"/>
    </row>
    <row r="1762" spans="11:12" x14ac:dyDescent="0.2">
      <c r="K1762" s="18"/>
      <c r="L1762" s="18"/>
    </row>
    <row r="1763" spans="11:12" x14ac:dyDescent="0.2">
      <c r="K1763" s="18"/>
      <c r="L1763" s="18"/>
    </row>
    <row r="1764" spans="11:12" x14ac:dyDescent="0.2">
      <c r="K1764" s="18"/>
      <c r="L1764" s="18"/>
    </row>
    <row r="1765" spans="11:12" x14ac:dyDescent="0.2">
      <c r="K1765" s="18"/>
      <c r="L1765" s="18"/>
    </row>
    <row r="1766" spans="11:12" x14ac:dyDescent="0.2">
      <c r="K1766" s="18"/>
      <c r="L1766" s="18"/>
    </row>
    <row r="1767" spans="11:12" x14ac:dyDescent="0.2">
      <c r="K1767" s="18"/>
      <c r="L1767" s="18"/>
    </row>
    <row r="1768" spans="11:12" x14ac:dyDescent="0.2">
      <c r="K1768" s="18"/>
      <c r="L1768" s="18"/>
    </row>
    <row r="1769" spans="11:12" x14ac:dyDescent="0.2">
      <c r="K1769" s="18"/>
      <c r="L1769" s="18"/>
    </row>
    <row r="1770" spans="11:12" x14ac:dyDescent="0.2">
      <c r="K1770" s="18"/>
      <c r="L1770" s="18"/>
    </row>
    <row r="1771" spans="11:12" x14ac:dyDescent="0.2">
      <c r="K1771" s="18"/>
      <c r="L1771" s="18"/>
    </row>
    <row r="1772" spans="11:12" x14ac:dyDescent="0.2">
      <c r="K1772" s="18"/>
      <c r="L1772" s="18"/>
    </row>
    <row r="1773" spans="11:12" x14ac:dyDescent="0.2">
      <c r="K1773" s="18"/>
      <c r="L1773" s="18"/>
    </row>
    <row r="1774" spans="11:12" x14ac:dyDescent="0.2">
      <c r="K1774" s="18"/>
      <c r="L1774" s="18"/>
    </row>
    <row r="1775" spans="11:12" x14ac:dyDescent="0.2">
      <c r="K1775" s="18"/>
      <c r="L1775" s="18"/>
    </row>
    <row r="1776" spans="11:12" x14ac:dyDescent="0.2">
      <c r="K1776" s="18"/>
      <c r="L1776" s="18"/>
    </row>
    <row r="1777" spans="11:12" x14ac:dyDescent="0.2">
      <c r="K1777" s="18"/>
      <c r="L1777" s="18"/>
    </row>
    <row r="1778" spans="11:12" x14ac:dyDescent="0.2">
      <c r="K1778" s="18"/>
      <c r="L1778" s="18"/>
    </row>
    <row r="1779" spans="11:12" x14ac:dyDescent="0.2">
      <c r="K1779" s="18"/>
      <c r="L1779" s="18"/>
    </row>
    <row r="1780" spans="11:12" x14ac:dyDescent="0.2">
      <c r="K1780" s="18"/>
      <c r="L1780" s="18"/>
    </row>
    <row r="1781" spans="11:12" x14ac:dyDescent="0.2">
      <c r="K1781" s="18"/>
      <c r="L1781" s="18"/>
    </row>
    <row r="1782" spans="11:12" x14ac:dyDescent="0.2">
      <c r="K1782" s="18"/>
      <c r="L1782" s="18"/>
    </row>
    <row r="1783" spans="11:12" x14ac:dyDescent="0.2">
      <c r="K1783" s="18"/>
      <c r="L1783" s="18"/>
    </row>
    <row r="1784" spans="11:12" x14ac:dyDescent="0.2">
      <c r="K1784" s="18"/>
      <c r="L1784" s="18"/>
    </row>
    <row r="1785" spans="11:12" x14ac:dyDescent="0.2">
      <c r="K1785" s="18"/>
      <c r="L1785" s="18"/>
    </row>
    <row r="1786" spans="11:12" x14ac:dyDescent="0.2">
      <c r="K1786" s="18"/>
      <c r="L1786" s="18"/>
    </row>
    <row r="1787" spans="11:12" x14ac:dyDescent="0.2">
      <c r="K1787" s="18"/>
      <c r="L1787" s="18"/>
    </row>
    <row r="1788" spans="11:12" x14ac:dyDescent="0.2">
      <c r="K1788" s="18"/>
      <c r="L1788" s="18"/>
    </row>
    <row r="1789" spans="11:12" x14ac:dyDescent="0.2">
      <c r="K1789" s="18"/>
      <c r="L1789" s="18"/>
    </row>
    <row r="1790" spans="11:12" x14ac:dyDescent="0.2">
      <c r="K1790" s="18"/>
      <c r="L1790" s="18"/>
    </row>
    <row r="1791" spans="11:12" x14ac:dyDescent="0.2">
      <c r="K1791" s="18"/>
      <c r="L1791" s="18"/>
    </row>
    <row r="1792" spans="11:12" x14ac:dyDescent="0.2">
      <c r="K1792" s="18"/>
      <c r="L1792" s="18"/>
    </row>
    <row r="1793" spans="11:12" x14ac:dyDescent="0.2">
      <c r="K1793" s="18"/>
      <c r="L1793" s="18"/>
    </row>
    <row r="1794" spans="11:12" x14ac:dyDescent="0.2">
      <c r="K1794" s="18"/>
      <c r="L1794" s="18"/>
    </row>
    <row r="1795" spans="11:12" x14ac:dyDescent="0.2">
      <c r="K1795" s="18"/>
      <c r="L1795" s="18"/>
    </row>
    <row r="1796" spans="11:12" x14ac:dyDescent="0.2">
      <c r="K1796" s="18"/>
      <c r="L1796" s="18"/>
    </row>
    <row r="1797" spans="11:12" x14ac:dyDescent="0.2">
      <c r="K1797" s="18"/>
      <c r="L1797" s="18"/>
    </row>
    <row r="1798" spans="11:12" x14ac:dyDescent="0.2">
      <c r="K1798" s="18"/>
      <c r="L1798" s="18"/>
    </row>
    <row r="1799" spans="11:12" x14ac:dyDescent="0.2">
      <c r="K1799" s="18"/>
      <c r="L1799" s="18"/>
    </row>
    <row r="1800" spans="11:12" x14ac:dyDescent="0.2">
      <c r="K1800" s="18"/>
      <c r="L1800" s="18"/>
    </row>
    <row r="1801" spans="11:12" x14ac:dyDescent="0.2">
      <c r="K1801" s="18"/>
      <c r="L1801" s="18"/>
    </row>
    <row r="1802" spans="11:12" x14ac:dyDescent="0.2">
      <c r="K1802" s="18"/>
      <c r="L1802" s="18"/>
    </row>
    <row r="1803" spans="11:12" x14ac:dyDescent="0.2">
      <c r="K1803" s="18"/>
      <c r="L1803" s="18"/>
    </row>
    <row r="1804" spans="11:12" x14ac:dyDescent="0.2">
      <c r="K1804" s="18"/>
      <c r="L1804" s="18"/>
    </row>
    <row r="1805" spans="11:12" x14ac:dyDescent="0.2">
      <c r="K1805" s="18"/>
      <c r="L1805" s="18"/>
    </row>
    <row r="1806" spans="11:12" x14ac:dyDescent="0.2">
      <c r="K1806" s="18"/>
      <c r="L1806" s="18"/>
    </row>
    <row r="1807" spans="11:12" x14ac:dyDescent="0.2">
      <c r="K1807" s="18"/>
      <c r="L1807" s="18"/>
    </row>
    <row r="1808" spans="11:12" x14ac:dyDescent="0.2">
      <c r="K1808" s="18"/>
      <c r="L1808" s="18"/>
    </row>
    <row r="1809" spans="11:12" x14ac:dyDescent="0.2">
      <c r="K1809" s="18"/>
      <c r="L1809" s="18"/>
    </row>
    <row r="1810" spans="11:12" x14ac:dyDescent="0.2">
      <c r="K1810" s="18"/>
      <c r="L1810" s="18"/>
    </row>
    <row r="1811" spans="11:12" x14ac:dyDescent="0.2">
      <c r="K1811" s="18"/>
      <c r="L1811" s="18"/>
    </row>
    <row r="1812" spans="11:12" x14ac:dyDescent="0.2">
      <c r="K1812" s="18"/>
      <c r="L1812" s="18"/>
    </row>
    <row r="1813" spans="11:12" x14ac:dyDescent="0.2">
      <c r="K1813" s="18"/>
      <c r="L1813" s="18"/>
    </row>
    <row r="1814" spans="11:12" x14ac:dyDescent="0.2">
      <c r="K1814" s="18"/>
      <c r="L1814" s="18"/>
    </row>
    <row r="1815" spans="11:12" x14ac:dyDescent="0.2">
      <c r="K1815" s="18"/>
      <c r="L1815" s="18"/>
    </row>
    <row r="1816" spans="11:12" x14ac:dyDescent="0.2">
      <c r="K1816" s="18"/>
      <c r="L1816" s="18"/>
    </row>
    <row r="1817" spans="11:12" x14ac:dyDescent="0.2">
      <c r="K1817" s="18"/>
      <c r="L1817" s="18"/>
    </row>
    <row r="1818" spans="11:12" x14ac:dyDescent="0.2">
      <c r="K1818" s="18"/>
      <c r="L1818" s="18"/>
    </row>
    <row r="1819" spans="11:12" x14ac:dyDescent="0.2">
      <c r="K1819" s="18"/>
      <c r="L1819" s="18"/>
    </row>
    <row r="1820" spans="11:12" x14ac:dyDescent="0.2">
      <c r="K1820" s="18"/>
      <c r="L1820" s="18"/>
    </row>
    <row r="1821" spans="11:12" x14ac:dyDescent="0.2">
      <c r="K1821" s="18"/>
      <c r="L1821" s="18"/>
    </row>
    <row r="1822" spans="11:12" x14ac:dyDescent="0.2">
      <c r="K1822" s="18"/>
      <c r="L1822" s="18"/>
    </row>
    <row r="1823" spans="11:12" x14ac:dyDescent="0.2">
      <c r="K1823" s="18"/>
      <c r="L1823" s="18"/>
    </row>
    <row r="1824" spans="11:12" x14ac:dyDescent="0.2">
      <c r="K1824" s="18"/>
      <c r="L1824" s="18"/>
    </row>
    <row r="1825" spans="11:12" x14ac:dyDescent="0.2">
      <c r="K1825" s="18"/>
      <c r="L1825" s="18"/>
    </row>
    <row r="1826" spans="11:12" x14ac:dyDescent="0.2">
      <c r="K1826" s="18"/>
      <c r="L1826" s="18"/>
    </row>
    <row r="1827" spans="11:12" x14ac:dyDescent="0.2">
      <c r="K1827" s="18"/>
      <c r="L1827" s="18"/>
    </row>
    <row r="1828" spans="11:12" x14ac:dyDescent="0.2">
      <c r="K1828" s="18"/>
      <c r="L1828" s="18"/>
    </row>
    <row r="1829" spans="11:12" x14ac:dyDescent="0.2">
      <c r="K1829" s="18"/>
      <c r="L1829" s="18"/>
    </row>
    <row r="1830" spans="11:12" x14ac:dyDescent="0.2">
      <c r="K1830" s="18"/>
      <c r="L1830" s="18"/>
    </row>
    <row r="1831" spans="11:12" x14ac:dyDescent="0.2">
      <c r="K1831" s="18"/>
      <c r="L1831" s="18"/>
    </row>
    <row r="1832" spans="11:12" x14ac:dyDescent="0.2">
      <c r="K1832" s="18"/>
      <c r="L1832" s="18"/>
    </row>
    <row r="1833" spans="11:12" x14ac:dyDescent="0.2">
      <c r="K1833" s="18"/>
      <c r="L1833" s="18"/>
    </row>
    <row r="1834" spans="11:12" x14ac:dyDescent="0.2">
      <c r="K1834" s="18"/>
      <c r="L1834" s="18"/>
    </row>
    <row r="1835" spans="11:12" x14ac:dyDescent="0.2">
      <c r="K1835" s="18"/>
      <c r="L1835" s="18"/>
    </row>
    <row r="1836" spans="11:12" x14ac:dyDescent="0.2">
      <c r="K1836" s="18"/>
      <c r="L1836" s="18"/>
    </row>
    <row r="1837" spans="11:12" x14ac:dyDescent="0.2">
      <c r="K1837" s="18"/>
      <c r="L1837" s="18"/>
    </row>
    <row r="1838" spans="11:12" x14ac:dyDescent="0.2">
      <c r="K1838" s="18"/>
      <c r="L1838" s="18"/>
    </row>
    <row r="1839" spans="11:12" x14ac:dyDescent="0.2">
      <c r="K1839" s="18"/>
      <c r="L1839" s="18"/>
    </row>
    <row r="1840" spans="11:12" x14ac:dyDescent="0.2">
      <c r="K1840" s="18"/>
      <c r="L1840" s="18"/>
    </row>
    <row r="1841" spans="11:12" x14ac:dyDescent="0.2">
      <c r="K1841" s="18"/>
      <c r="L1841" s="18"/>
    </row>
    <row r="1842" spans="11:12" x14ac:dyDescent="0.2">
      <c r="K1842" s="18"/>
      <c r="L1842" s="18"/>
    </row>
    <row r="1843" spans="11:12" x14ac:dyDescent="0.2">
      <c r="K1843" s="18"/>
      <c r="L1843" s="18"/>
    </row>
    <row r="1844" spans="11:12" x14ac:dyDescent="0.2">
      <c r="K1844" s="18"/>
      <c r="L1844" s="18"/>
    </row>
    <row r="1845" spans="11:12" x14ac:dyDescent="0.2">
      <c r="K1845" s="18"/>
      <c r="L1845" s="18"/>
    </row>
    <row r="1846" spans="11:12" x14ac:dyDescent="0.2">
      <c r="K1846" s="18"/>
      <c r="L1846" s="18"/>
    </row>
    <row r="1847" spans="11:12" x14ac:dyDescent="0.2">
      <c r="K1847" s="18"/>
      <c r="L1847" s="18"/>
    </row>
    <row r="1848" spans="11:12" x14ac:dyDescent="0.2">
      <c r="K1848" s="18"/>
      <c r="L1848" s="18"/>
    </row>
    <row r="1849" spans="11:12" x14ac:dyDescent="0.2">
      <c r="K1849" s="18"/>
      <c r="L1849" s="18"/>
    </row>
    <row r="1850" spans="11:12" x14ac:dyDescent="0.2">
      <c r="K1850" s="18"/>
      <c r="L1850" s="18"/>
    </row>
    <row r="1851" spans="11:12" x14ac:dyDescent="0.2">
      <c r="K1851" s="18"/>
      <c r="L1851" s="18"/>
    </row>
    <row r="1852" spans="11:12" x14ac:dyDescent="0.2">
      <c r="K1852" s="18"/>
      <c r="L1852" s="18"/>
    </row>
    <row r="1853" spans="11:12" x14ac:dyDescent="0.2">
      <c r="K1853" s="18"/>
      <c r="L1853" s="18"/>
    </row>
    <row r="1854" spans="11:12" x14ac:dyDescent="0.2">
      <c r="K1854" s="18"/>
      <c r="L1854" s="18"/>
    </row>
    <row r="1855" spans="11:12" x14ac:dyDescent="0.2">
      <c r="K1855" s="18"/>
      <c r="L1855" s="18"/>
    </row>
    <row r="1856" spans="11:12" x14ac:dyDescent="0.2">
      <c r="K1856" s="18"/>
      <c r="L1856" s="18"/>
    </row>
    <row r="1857" spans="11:12" x14ac:dyDescent="0.2">
      <c r="K1857" s="18"/>
      <c r="L1857" s="18"/>
    </row>
    <row r="1858" spans="11:12" x14ac:dyDescent="0.2">
      <c r="K1858" s="18"/>
      <c r="L1858" s="18"/>
    </row>
    <row r="1859" spans="11:12" x14ac:dyDescent="0.2">
      <c r="K1859" s="18"/>
      <c r="L1859" s="18"/>
    </row>
    <row r="1860" spans="11:12" x14ac:dyDescent="0.2">
      <c r="K1860" s="18"/>
      <c r="L1860" s="18"/>
    </row>
    <row r="1861" spans="11:12" x14ac:dyDescent="0.2">
      <c r="K1861" s="18"/>
      <c r="L1861" s="18"/>
    </row>
    <row r="1862" spans="11:12" x14ac:dyDescent="0.2">
      <c r="K1862" s="18"/>
      <c r="L1862" s="18"/>
    </row>
    <row r="1863" spans="11:12" x14ac:dyDescent="0.2">
      <c r="K1863" s="18"/>
      <c r="L1863" s="18"/>
    </row>
    <row r="1864" spans="11:12" x14ac:dyDescent="0.2">
      <c r="K1864" s="18"/>
      <c r="L1864" s="18"/>
    </row>
    <row r="1865" spans="11:12" x14ac:dyDescent="0.2">
      <c r="K1865" s="18"/>
      <c r="L1865" s="18"/>
    </row>
    <row r="1866" spans="11:12" x14ac:dyDescent="0.2">
      <c r="K1866" s="18"/>
      <c r="L1866" s="18"/>
    </row>
    <row r="1867" spans="11:12" x14ac:dyDescent="0.2">
      <c r="K1867" s="18"/>
      <c r="L1867" s="18"/>
    </row>
    <row r="1868" spans="11:12" x14ac:dyDescent="0.2">
      <c r="K1868" s="18"/>
      <c r="L1868" s="18"/>
    </row>
    <row r="1869" spans="11:12" x14ac:dyDescent="0.2">
      <c r="K1869" s="18"/>
      <c r="L1869" s="18"/>
    </row>
    <row r="1870" spans="11:12" x14ac:dyDescent="0.2">
      <c r="K1870" s="18"/>
      <c r="L1870" s="18"/>
    </row>
    <row r="1871" spans="11:12" x14ac:dyDescent="0.2">
      <c r="K1871" s="18"/>
      <c r="L1871" s="18"/>
    </row>
    <row r="1872" spans="11:12" x14ac:dyDescent="0.2">
      <c r="K1872" s="18"/>
      <c r="L1872" s="18"/>
    </row>
    <row r="1873" spans="11:12" x14ac:dyDescent="0.2">
      <c r="K1873" s="18"/>
      <c r="L1873" s="18"/>
    </row>
    <row r="1874" spans="11:12" x14ac:dyDescent="0.2">
      <c r="K1874" s="18"/>
      <c r="L1874" s="18"/>
    </row>
    <row r="1875" spans="11:12" x14ac:dyDescent="0.2">
      <c r="K1875" s="18"/>
      <c r="L1875" s="18"/>
    </row>
    <row r="1876" spans="11:12" x14ac:dyDescent="0.2">
      <c r="K1876" s="18"/>
      <c r="L1876" s="18"/>
    </row>
    <row r="1877" spans="11:12" x14ac:dyDescent="0.2">
      <c r="K1877" s="18"/>
      <c r="L1877" s="18"/>
    </row>
    <row r="1878" spans="11:12" x14ac:dyDescent="0.2">
      <c r="K1878" s="18"/>
      <c r="L1878" s="18"/>
    </row>
    <row r="1879" spans="11:12" x14ac:dyDescent="0.2">
      <c r="K1879" s="18"/>
      <c r="L1879" s="18"/>
    </row>
    <row r="1880" spans="11:12" x14ac:dyDescent="0.2">
      <c r="K1880" s="18"/>
      <c r="L1880" s="18"/>
    </row>
    <row r="1881" spans="11:12" x14ac:dyDescent="0.2">
      <c r="K1881" s="18"/>
      <c r="L1881" s="18"/>
    </row>
    <row r="1882" spans="11:12" x14ac:dyDescent="0.2">
      <c r="K1882" s="18"/>
      <c r="L1882" s="18"/>
    </row>
    <row r="1883" spans="11:12" x14ac:dyDescent="0.2">
      <c r="K1883" s="18"/>
      <c r="L1883" s="18"/>
    </row>
    <row r="1884" spans="11:12" x14ac:dyDescent="0.2">
      <c r="K1884" s="18"/>
      <c r="L1884" s="18"/>
    </row>
    <row r="1885" spans="11:12" x14ac:dyDescent="0.2">
      <c r="K1885" s="18"/>
      <c r="L1885" s="18"/>
    </row>
    <row r="1886" spans="11:12" x14ac:dyDescent="0.2">
      <c r="K1886" s="18"/>
      <c r="L1886" s="18"/>
    </row>
    <row r="1887" spans="11:12" x14ac:dyDescent="0.2">
      <c r="K1887" s="18"/>
      <c r="L1887" s="18"/>
    </row>
    <row r="1888" spans="11:12" x14ac:dyDescent="0.2">
      <c r="K1888" s="18"/>
      <c r="L1888" s="18"/>
    </row>
    <row r="1889" spans="11:12" x14ac:dyDescent="0.2">
      <c r="K1889" s="18"/>
      <c r="L1889" s="18"/>
    </row>
    <row r="1890" spans="11:12" x14ac:dyDescent="0.2">
      <c r="K1890" s="18"/>
      <c r="L1890" s="18"/>
    </row>
    <row r="1891" spans="11:12" x14ac:dyDescent="0.2">
      <c r="K1891" s="18"/>
      <c r="L1891" s="18"/>
    </row>
    <row r="1892" spans="11:12" x14ac:dyDescent="0.2">
      <c r="K1892" s="18"/>
      <c r="L1892" s="18"/>
    </row>
    <row r="1893" spans="11:12" x14ac:dyDescent="0.2">
      <c r="K1893" s="18"/>
      <c r="L1893" s="18"/>
    </row>
    <row r="1894" spans="11:12" x14ac:dyDescent="0.2">
      <c r="K1894" s="18"/>
      <c r="L1894" s="18"/>
    </row>
    <row r="1895" spans="11:12" x14ac:dyDescent="0.2">
      <c r="K1895" s="18"/>
      <c r="L1895" s="18"/>
    </row>
    <row r="1896" spans="11:12" x14ac:dyDescent="0.2">
      <c r="K1896" s="18"/>
      <c r="L1896" s="18"/>
    </row>
    <row r="1897" spans="11:12" x14ac:dyDescent="0.2">
      <c r="K1897" s="18"/>
      <c r="L1897" s="18"/>
    </row>
    <row r="1898" spans="11:12" x14ac:dyDescent="0.2">
      <c r="K1898" s="18"/>
      <c r="L1898" s="18"/>
    </row>
    <row r="1899" spans="11:12" x14ac:dyDescent="0.2">
      <c r="K1899" s="18"/>
      <c r="L1899" s="18"/>
    </row>
    <row r="1900" spans="11:12" x14ac:dyDescent="0.2">
      <c r="K1900" s="18"/>
      <c r="L1900" s="18"/>
    </row>
    <row r="1901" spans="11:12" x14ac:dyDescent="0.2">
      <c r="K1901" s="18"/>
      <c r="L1901" s="18"/>
    </row>
    <row r="1902" spans="11:12" x14ac:dyDescent="0.2">
      <c r="K1902" s="18"/>
      <c r="L1902" s="18"/>
    </row>
    <row r="1903" spans="11:12" x14ac:dyDescent="0.2">
      <c r="K1903" s="18"/>
      <c r="L1903" s="18"/>
    </row>
    <row r="1904" spans="11:12" x14ac:dyDescent="0.2">
      <c r="K1904" s="18"/>
      <c r="L1904" s="18"/>
    </row>
    <row r="1905" spans="11:12" x14ac:dyDescent="0.2">
      <c r="K1905" s="18"/>
      <c r="L1905" s="18"/>
    </row>
    <row r="1906" spans="11:12" x14ac:dyDescent="0.2">
      <c r="K1906" s="18"/>
      <c r="L1906" s="18"/>
    </row>
    <row r="1907" spans="11:12" x14ac:dyDescent="0.2">
      <c r="K1907" s="18"/>
      <c r="L1907" s="18"/>
    </row>
    <row r="1908" spans="11:12" x14ac:dyDescent="0.2">
      <c r="K1908" s="18"/>
      <c r="L1908" s="18"/>
    </row>
    <row r="1909" spans="11:12" x14ac:dyDescent="0.2">
      <c r="K1909" s="18"/>
      <c r="L1909" s="18"/>
    </row>
    <row r="1910" spans="11:12" x14ac:dyDescent="0.2">
      <c r="K1910" s="18"/>
      <c r="L1910" s="18"/>
    </row>
    <row r="1911" spans="11:12" x14ac:dyDescent="0.2">
      <c r="K1911" s="18"/>
      <c r="L1911" s="18"/>
    </row>
    <row r="1912" spans="11:12" x14ac:dyDescent="0.2">
      <c r="K1912" s="18"/>
      <c r="L1912" s="18"/>
    </row>
    <row r="1913" spans="11:12" x14ac:dyDescent="0.2">
      <c r="K1913" s="18"/>
      <c r="L1913" s="18"/>
    </row>
    <row r="1914" spans="11:12" x14ac:dyDescent="0.2">
      <c r="K1914" s="18"/>
      <c r="L1914" s="18"/>
    </row>
    <row r="1915" spans="11:12" x14ac:dyDescent="0.2">
      <c r="K1915" s="18"/>
      <c r="L1915" s="18"/>
    </row>
    <row r="1916" spans="11:12" x14ac:dyDescent="0.2">
      <c r="K1916" s="18"/>
      <c r="L1916" s="18"/>
    </row>
    <row r="1917" spans="11:12" x14ac:dyDescent="0.2">
      <c r="K1917" s="18"/>
      <c r="L1917" s="18"/>
    </row>
    <row r="1918" spans="11:12" x14ac:dyDescent="0.2">
      <c r="K1918" s="18"/>
      <c r="L1918" s="18"/>
    </row>
    <row r="1919" spans="11:12" x14ac:dyDescent="0.2">
      <c r="K1919" s="18"/>
      <c r="L1919" s="18"/>
    </row>
    <row r="1920" spans="11:12" x14ac:dyDescent="0.2">
      <c r="K1920" s="18"/>
      <c r="L1920" s="18"/>
    </row>
    <row r="1921" spans="11:12" x14ac:dyDescent="0.2">
      <c r="K1921" s="18"/>
      <c r="L1921" s="18"/>
    </row>
    <row r="1922" spans="11:12" x14ac:dyDescent="0.2">
      <c r="K1922" s="18"/>
      <c r="L1922" s="18"/>
    </row>
    <row r="1923" spans="11:12" x14ac:dyDescent="0.2">
      <c r="K1923" s="18"/>
      <c r="L1923" s="18"/>
    </row>
    <row r="1924" spans="11:12" x14ac:dyDescent="0.2">
      <c r="K1924" s="18"/>
      <c r="L1924" s="18"/>
    </row>
    <row r="1925" spans="11:12" x14ac:dyDescent="0.2">
      <c r="K1925" s="18"/>
      <c r="L1925" s="18"/>
    </row>
    <row r="1926" spans="11:12" x14ac:dyDescent="0.2">
      <c r="K1926" s="18"/>
      <c r="L1926" s="18"/>
    </row>
    <row r="1927" spans="11:12" x14ac:dyDescent="0.2">
      <c r="K1927" s="18"/>
      <c r="L1927" s="18"/>
    </row>
    <row r="1928" spans="11:12" x14ac:dyDescent="0.2">
      <c r="K1928" s="18"/>
      <c r="L1928" s="18"/>
    </row>
    <row r="1929" spans="11:12" x14ac:dyDescent="0.2">
      <c r="K1929" s="18"/>
      <c r="L1929" s="18"/>
    </row>
    <row r="1930" spans="11:12" x14ac:dyDescent="0.2">
      <c r="K1930" s="18"/>
      <c r="L1930" s="18"/>
    </row>
    <row r="1931" spans="11:12" x14ac:dyDescent="0.2">
      <c r="K1931" s="18"/>
      <c r="L1931" s="18"/>
    </row>
    <row r="1932" spans="11:12" x14ac:dyDescent="0.2">
      <c r="K1932" s="18"/>
      <c r="L1932" s="18"/>
    </row>
    <row r="1933" spans="11:12" x14ac:dyDescent="0.2">
      <c r="K1933" s="18"/>
      <c r="L1933" s="18"/>
    </row>
    <row r="1934" spans="11:12" x14ac:dyDescent="0.2">
      <c r="K1934" s="18"/>
      <c r="L1934" s="18"/>
    </row>
    <row r="1935" spans="11:12" x14ac:dyDescent="0.2">
      <c r="K1935" s="18"/>
      <c r="L1935" s="18"/>
    </row>
    <row r="1936" spans="11:12" x14ac:dyDescent="0.2">
      <c r="K1936" s="18"/>
      <c r="L1936" s="18"/>
    </row>
    <row r="1937" spans="11:12" x14ac:dyDescent="0.2">
      <c r="K1937" s="18"/>
      <c r="L1937" s="18"/>
    </row>
    <row r="1938" spans="11:12" x14ac:dyDescent="0.2">
      <c r="K1938" s="18"/>
      <c r="L1938" s="18"/>
    </row>
    <row r="1939" spans="11:12" x14ac:dyDescent="0.2">
      <c r="K1939" s="18"/>
      <c r="L1939" s="18"/>
    </row>
    <row r="1940" spans="11:12" x14ac:dyDescent="0.2">
      <c r="K1940" s="18"/>
      <c r="L1940" s="18"/>
    </row>
    <row r="1941" spans="11:12" x14ac:dyDescent="0.2">
      <c r="K1941" s="18"/>
      <c r="L1941" s="18"/>
    </row>
    <row r="1942" spans="11:12" x14ac:dyDescent="0.2">
      <c r="K1942" s="18"/>
      <c r="L1942" s="18"/>
    </row>
    <row r="1943" spans="11:12" x14ac:dyDescent="0.2">
      <c r="K1943" s="18"/>
      <c r="L1943" s="18"/>
    </row>
    <row r="1944" spans="11:12" x14ac:dyDescent="0.2">
      <c r="K1944" s="18"/>
      <c r="L1944" s="18"/>
    </row>
    <row r="1945" spans="11:12" x14ac:dyDescent="0.2">
      <c r="K1945" s="18"/>
      <c r="L1945" s="18"/>
    </row>
    <row r="1946" spans="11:12" x14ac:dyDescent="0.2">
      <c r="K1946" s="18"/>
      <c r="L1946" s="18"/>
    </row>
    <row r="1947" spans="11:12" x14ac:dyDescent="0.2">
      <c r="K1947" s="18"/>
      <c r="L1947" s="18"/>
    </row>
    <row r="1948" spans="11:12" x14ac:dyDescent="0.2">
      <c r="K1948" s="18"/>
      <c r="L1948" s="18"/>
    </row>
    <row r="1949" spans="11:12" x14ac:dyDescent="0.2">
      <c r="K1949" s="18"/>
      <c r="L1949" s="18"/>
    </row>
    <row r="1950" spans="11:12" x14ac:dyDescent="0.2">
      <c r="K1950" s="18"/>
      <c r="L1950" s="18"/>
    </row>
    <row r="1951" spans="11:12" x14ac:dyDescent="0.2">
      <c r="K1951" s="18"/>
      <c r="L1951" s="18"/>
    </row>
    <row r="1952" spans="11:12" x14ac:dyDescent="0.2">
      <c r="K1952" s="18"/>
      <c r="L1952" s="18"/>
    </row>
    <row r="1953" spans="11:12" x14ac:dyDescent="0.2">
      <c r="K1953" s="18"/>
      <c r="L1953" s="18"/>
    </row>
    <row r="1954" spans="11:12" x14ac:dyDescent="0.2">
      <c r="K1954" s="18"/>
      <c r="L1954" s="18"/>
    </row>
    <row r="1955" spans="11:12" x14ac:dyDescent="0.2">
      <c r="K1955" s="18"/>
      <c r="L1955" s="18"/>
    </row>
    <row r="1956" spans="11:12" x14ac:dyDescent="0.2">
      <c r="K1956" s="18"/>
      <c r="L1956" s="18"/>
    </row>
    <row r="1957" spans="11:12" x14ac:dyDescent="0.2">
      <c r="K1957" s="18"/>
      <c r="L1957" s="18"/>
    </row>
    <row r="1958" spans="11:12" x14ac:dyDescent="0.2">
      <c r="K1958" s="18"/>
      <c r="L1958" s="18"/>
    </row>
    <row r="1959" spans="11:12" x14ac:dyDescent="0.2">
      <c r="K1959" s="18"/>
      <c r="L1959" s="18"/>
    </row>
    <row r="1960" spans="11:12" x14ac:dyDescent="0.2">
      <c r="K1960" s="18"/>
      <c r="L1960" s="18"/>
    </row>
    <row r="1961" spans="11:12" x14ac:dyDescent="0.2">
      <c r="K1961" s="18"/>
      <c r="L1961" s="18"/>
    </row>
    <row r="1962" spans="11:12" x14ac:dyDescent="0.2">
      <c r="K1962" s="18"/>
      <c r="L1962" s="18"/>
    </row>
    <row r="1963" spans="11:12" x14ac:dyDescent="0.2">
      <c r="K1963" s="18"/>
      <c r="L1963" s="18"/>
    </row>
    <row r="1964" spans="11:12" x14ac:dyDescent="0.2">
      <c r="K1964" s="18"/>
      <c r="L1964" s="18"/>
    </row>
    <row r="1965" spans="11:12" x14ac:dyDescent="0.2">
      <c r="K1965" s="18"/>
      <c r="L1965" s="18"/>
    </row>
    <row r="1966" spans="11:12" x14ac:dyDescent="0.2">
      <c r="K1966" s="18"/>
      <c r="L1966" s="18"/>
    </row>
    <row r="1967" spans="11:12" x14ac:dyDescent="0.2">
      <c r="K1967" s="18"/>
      <c r="L1967" s="18"/>
    </row>
    <row r="1968" spans="11:12" x14ac:dyDescent="0.2">
      <c r="K1968" s="18"/>
      <c r="L1968" s="18"/>
    </row>
    <row r="1969" spans="11:12" x14ac:dyDescent="0.2">
      <c r="K1969" s="18"/>
      <c r="L1969" s="18"/>
    </row>
    <row r="1970" spans="11:12" x14ac:dyDescent="0.2">
      <c r="K1970" s="18"/>
      <c r="L1970" s="18"/>
    </row>
    <row r="1971" spans="11:12" x14ac:dyDescent="0.2">
      <c r="K1971" s="18"/>
      <c r="L1971" s="18"/>
    </row>
    <row r="1972" spans="11:12" x14ac:dyDescent="0.2">
      <c r="K1972" s="18"/>
      <c r="L1972" s="18"/>
    </row>
    <row r="1973" spans="11:12" x14ac:dyDescent="0.2">
      <c r="K1973" s="18"/>
      <c r="L1973" s="18"/>
    </row>
    <row r="1974" spans="11:12" x14ac:dyDescent="0.2">
      <c r="K1974" s="18"/>
      <c r="L1974" s="18"/>
    </row>
    <row r="1975" spans="11:12" x14ac:dyDescent="0.2">
      <c r="K1975" s="18"/>
      <c r="L1975" s="18"/>
    </row>
    <row r="1976" spans="11:12" x14ac:dyDescent="0.2">
      <c r="K1976" s="18"/>
      <c r="L1976" s="18"/>
    </row>
    <row r="1977" spans="11:12" x14ac:dyDescent="0.2">
      <c r="K1977" s="18"/>
      <c r="L1977" s="18"/>
    </row>
    <row r="1978" spans="11:12" x14ac:dyDescent="0.2">
      <c r="K1978" s="18"/>
      <c r="L1978" s="18"/>
    </row>
    <row r="1979" spans="11:12" x14ac:dyDescent="0.2">
      <c r="K1979" s="18"/>
      <c r="L1979" s="18"/>
    </row>
    <row r="1980" spans="11:12" x14ac:dyDescent="0.2">
      <c r="K1980" s="18"/>
      <c r="L1980" s="18"/>
    </row>
    <row r="1981" spans="11:12" x14ac:dyDescent="0.2">
      <c r="K1981" s="18"/>
      <c r="L1981" s="18"/>
    </row>
    <row r="1982" spans="11:12" x14ac:dyDescent="0.2">
      <c r="K1982" s="18"/>
      <c r="L1982" s="18"/>
    </row>
    <row r="1983" spans="11:12" x14ac:dyDescent="0.2">
      <c r="K1983" s="18"/>
      <c r="L1983" s="18"/>
    </row>
    <row r="1984" spans="11:12" x14ac:dyDescent="0.2">
      <c r="K1984" s="18"/>
      <c r="L1984" s="18"/>
    </row>
    <row r="1985" spans="11:12" x14ac:dyDescent="0.2">
      <c r="K1985" s="18"/>
      <c r="L1985" s="18"/>
    </row>
    <row r="1986" spans="11:12" x14ac:dyDescent="0.2">
      <c r="K1986" s="18"/>
      <c r="L1986" s="18"/>
    </row>
    <row r="1987" spans="11:12" x14ac:dyDescent="0.2">
      <c r="K1987" s="18"/>
      <c r="L1987" s="18"/>
    </row>
    <row r="1988" spans="11:12" x14ac:dyDescent="0.2">
      <c r="K1988" s="18"/>
      <c r="L1988" s="18"/>
    </row>
    <row r="1989" spans="11:12" x14ac:dyDescent="0.2">
      <c r="K1989" s="18"/>
      <c r="L1989" s="18"/>
    </row>
    <row r="1990" spans="11:12" x14ac:dyDescent="0.2">
      <c r="K1990" s="18"/>
      <c r="L1990" s="18"/>
    </row>
    <row r="1991" spans="11:12" x14ac:dyDescent="0.2">
      <c r="K1991" s="18"/>
      <c r="L1991" s="18"/>
    </row>
    <row r="1992" spans="11:12" x14ac:dyDescent="0.2">
      <c r="K1992" s="18"/>
      <c r="L1992" s="18"/>
    </row>
    <row r="1993" spans="11:12" x14ac:dyDescent="0.2">
      <c r="K1993" s="18"/>
      <c r="L1993" s="18"/>
    </row>
    <row r="1994" spans="11:12" x14ac:dyDescent="0.2">
      <c r="K1994" s="18"/>
      <c r="L1994" s="18"/>
    </row>
    <row r="1995" spans="11:12" x14ac:dyDescent="0.2">
      <c r="K1995" s="18"/>
      <c r="L1995" s="18"/>
    </row>
    <row r="1996" spans="11:12" x14ac:dyDescent="0.2">
      <c r="K1996" s="18"/>
      <c r="L1996" s="18"/>
    </row>
    <row r="1997" spans="11:12" x14ac:dyDescent="0.2">
      <c r="K1997" s="18"/>
      <c r="L1997" s="18"/>
    </row>
    <row r="1998" spans="11:12" x14ac:dyDescent="0.2">
      <c r="K1998" s="18"/>
      <c r="L1998" s="18"/>
    </row>
    <row r="1999" spans="11:12" x14ac:dyDescent="0.2">
      <c r="K1999" s="18"/>
      <c r="L1999" s="18"/>
    </row>
    <row r="2000" spans="11:12" x14ac:dyDescent="0.2">
      <c r="K2000" s="18"/>
      <c r="L2000" s="18"/>
    </row>
    <row r="2001" spans="11:12" x14ac:dyDescent="0.2">
      <c r="K2001" s="18"/>
      <c r="L2001" s="18"/>
    </row>
    <row r="2002" spans="11:12" x14ac:dyDescent="0.2">
      <c r="K2002" s="18"/>
      <c r="L2002" s="18"/>
    </row>
    <row r="2003" spans="11:12" x14ac:dyDescent="0.2">
      <c r="K2003" s="18"/>
      <c r="L2003" s="18"/>
    </row>
    <row r="2004" spans="11:12" x14ac:dyDescent="0.2">
      <c r="K2004" s="18"/>
      <c r="L2004" s="18"/>
    </row>
    <row r="2005" spans="11:12" x14ac:dyDescent="0.2">
      <c r="K2005" s="18"/>
      <c r="L2005" s="18"/>
    </row>
    <row r="2006" spans="11:12" x14ac:dyDescent="0.2">
      <c r="K2006" s="18"/>
      <c r="L2006" s="18"/>
    </row>
    <row r="2007" spans="11:12" x14ac:dyDescent="0.2">
      <c r="K2007" s="18"/>
      <c r="L2007" s="18"/>
    </row>
    <row r="2008" spans="11:12" x14ac:dyDescent="0.2">
      <c r="K2008" s="18"/>
      <c r="L2008" s="18"/>
    </row>
    <row r="2009" spans="11:12" x14ac:dyDescent="0.2">
      <c r="K2009" s="18"/>
      <c r="L2009" s="18"/>
    </row>
    <row r="2010" spans="11:12" x14ac:dyDescent="0.2">
      <c r="K2010" s="18"/>
      <c r="L2010" s="18"/>
    </row>
    <row r="2011" spans="11:12" x14ac:dyDescent="0.2">
      <c r="K2011" s="18"/>
      <c r="L2011" s="18"/>
    </row>
    <row r="2012" spans="11:12" x14ac:dyDescent="0.2">
      <c r="K2012" s="18"/>
      <c r="L2012" s="18"/>
    </row>
    <row r="2013" spans="11:12" x14ac:dyDescent="0.2">
      <c r="K2013" s="18"/>
      <c r="L2013" s="18"/>
    </row>
    <row r="2014" spans="11:12" x14ac:dyDescent="0.2">
      <c r="K2014" s="18"/>
      <c r="L2014" s="18"/>
    </row>
    <row r="2015" spans="11:12" x14ac:dyDescent="0.2">
      <c r="K2015" s="18"/>
      <c r="L2015" s="18"/>
    </row>
    <row r="2016" spans="11:12" x14ac:dyDescent="0.2">
      <c r="K2016" s="18"/>
      <c r="L2016" s="18"/>
    </row>
    <row r="2017" spans="11:12" x14ac:dyDescent="0.2">
      <c r="K2017" s="18"/>
      <c r="L2017" s="18"/>
    </row>
    <row r="2018" spans="11:12" x14ac:dyDescent="0.2">
      <c r="K2018" s="18"/>
      <c r="L2018" s="18"/>
    </row>
    <row r="2019" spans="11:12" x14ac:dyDescent="0.2">
      <c r="K2019" s="18"/>
      <c r="L2019" s="18"/>
    </row>
    <row r="2020" spans="11:12" x14ac:dyDescent="0.2">
      <c r="K2020" s="18"/>
      <c r="L2020" s="18"/>
    </row>
    <row r="2021" spans="11:12" x14ac:dyDescent="0.2">
      <c r="K2021" s="18"/>
      <c r="L2021" s="18"/>
    </row>
    <row r="2022" spans="11:12" x14ac:dyDescent="0.2">
      <c r="K2022" s="18"/>
      <c r="L2022" s="18"/>
    </row>
    <row r="2023" spans="11:12" x14ac:dyDescent="0.2">
      <c r="K2023" s="18"/>
      <c r="L2023" s="18"/>
    </row>
    <row r="2024" spans="11:12" x14ac:dyDescent="0.2">
      <c r="K2024" s="18"/>
      <c r="L2024" s="18"/>
    </row>
    <row r="2025" spans="11:12" x14ac:dyDescent="0.2">
      <c r="K2025" s="18"/>
      <c r="L2025" s="18"/>
    </row>
    <row r="2026" spans="11:12" x14ac:dyDescent="0.2">
      <c r="K2026" s="18"/>
      <c r="L2026" s="18"/>
    </row>
    <row r="2027" spans="11:12" x14ac:dyDescent="0.2">
      <c r="K2027" s="18"/>
      <c r="L2027" s="18"/>
    </row>
    <row r="2028" spans="11:12" x14ac:dyDescent="0.2">
      <c r="K2028" s="18"/>
      <c r="L2028" s="18"/>
    </row>
    <row r="2029" spans="11:12" x14ac:dyDescent="0.2">
      <c r="K2029" s="18"/>
      <c r="L2029" s="18"/>
    </row>
    <row r="2030" spans="11:12" x14ac:dyDescent="0.2">
      <c r="K2030" s="18"/>
      <c r="L2030" s="18"/>
    </row>
    <row r="2031" spans="11:12" x14ac:dyDescent="0.2">
      <c r="K2031" s="18"/>
      <c r="L2031" s="18"/>
    </row>
    <row r="2032" spans="11:12" x14ac:dyDescent="0.2">
      <c r="K2032" s="18"/>
      <c r="L2032" s="18"/>
    </row>
    <row r="2033" spans="11:12" x14ac:dyDescent="0.2">
      <c r="K2033" s="18"/>
      <c r="L2033" s="18"/>
    </row>
    <row r="2034" spans="11:12" x14ac:dyDescent="0.2">
      <c r="K2034" s="18"/>
      <c r="L2034" s="18"/>
    </row>
    <row r="2035" spans="11:12" x14ac:dyDescent="0.2">
      <c r="K2035" s="18"/>
      <c r="L2035" s="18"/>
    </row>
    <row r="2036" spans="11:12" x14ac:dyDescent="0.2">
      <c r="K2036" s="18"/>
      <c r="L2036" s="18"/>
    </row>
    <row r="2037" spans="11:12" x14ac:dyDescent="0.2">
      <c r="K2037" s="18"/>
      <c r="L2037" s="18"/>
    </row>
    <row r="2038" spans="11:12" x14ac:dyDescent="0.2">
      <c r="K2038" s="18"/>
      <c r="L2038" s="18"/>
    </row>
    <row r="2039" spans="11:12" x14ac:dyDescent="0.2">
      <c r="K2039" s="18"/>
      <c r="L2039" s="18"/>
    </row>
    <row r="2040" spans="11:12" x14ac:dyDescent="0.2">
      <c r="K2040" s="18"/>
      <c r="L2040" s="18"/>
    </row>
    <row r="2041" spans="11:12" x14ac:dyDescent="0.2">
      <c r="K2041" s="18"/>
      <c r="L2041" s="18"/>
    </row>
    <row r="2042" spans="11:12" x14ac:dyDescent="0.2">
      <c r="K2042" s="18"/>
      <c r="L2042" s="18"/>
    </row>
    <row r="2043" spans="11:12" x14ac:dyDescent="0.2">
      <c r="K2043" s="18"/>
      <c r="L2043" s="18"/>
    </row>
    <row r="2044" spans="11:12" x14ac:dyDescent="0.2">
      <c r="K2044" s="18"/>
      <c r="L2044" s="18"/>
    </row>
    <row r="2045" spans="11:12" x14ac:dyDescent="0.2">
      <c r="K2045" s="18"/>
      <c r="L2045" s="18"/>
    </row>
    <row r="2046" spans="11:12" x14ac:dyDescent="0.2">
      <c r="K2046" s="18"/>
      <c r="L2046" s="18"/>
    </row>
    <row r="2047" spans="11:12" x14ac:dyDescent="0.2">
      <c r="K2047" s="18"/>
      <c r="L2047" s="18"/>
    </row>
    <row r="2048" spans="11:12" x14ac:dyDescent="0.2">
      <c r="K2048" s="18"/>
      <c r="L2048" s="18"/>
    </row>
    <row r="2049" spans="11:12" x14ac:dyDescent="0.2">
      <c r="K2049" s="18"/>
      <c r="L2049" s="18"/>
    </row>
    <row r="2050" spans="11:12" x14ac:dyDescent="0.2">
      <c r="K2050" s="18"/>
      <c r="L2050" s="18"/>
    </row>
    <row r="2051" spans="11:12" x14ac:dyDescent="0.2">
      <c r="K2051" s="18"/>
      <c r="L2051" s="18"/>
    </row>
    <row r="2052" spans="11:12" x14ac:dyDescent="0.2">
      <c r="K2052" s="18"/>
      <c r="L2052" s="18"/>
    </row>
    <row r="2053" spans="11:12" x14ac:dyDescent="0.2">
      <c r="K2053" s="18"/>
      <c r="L2053" s="18"/>
    </row>
    <row r="2054" spans="11:12" x14ac:dyDescent="0.2">
      <c r="K2054" s="18"/>
      <c r="L2054" s="18"/>
    </row>
    <row r="2055" spans="11:12" x14ac:dyDescent="0.2">
      <c r="K2055" s="18"/>
      <c r="L2055" s="18"/>
    </row>
    <row r="2056" spans="11:12" x14ac:dyDescent="0.2">
      <c r="K2056" s="18"/>
      <c r="L2056" s="18"/>
    </row>
    <row r="2057" spans="11:12" x14ac:dyDescent="0.2">
      <c r="K2057" s="18"/>
      <c r="L2057" s="18"/>
    </row>
    <row r="2058" spans="11:12" x14ac:dyDescent="0.2">
      <c r="K2058" s="18"/>
      <c r="L2058" s="18"/>
    </row>
    <row r="2059" spans="11:12" x14ac:dyDescent="0.2">
      <c r="K2059" s="18"/>
      <c r="L2059" s="18"/>
    </row>
    <row r="2060" spans="11:12" x14ac:dyDescent="0.2">
      <c r="K2060" s="18"/>
      <c r="L2060" s="18"/>
    </row>
    <row r="2061" spans="11:12" x14ac:dyDescent="0.2">
      <c r="K2061" s="18"/>
      <c r="L2061" s="18"/>
    </row>
    <row r="2062" spans="11:12" x14ac:dyDescent="0.2">
      <c r="K2062" s="18"/>
      <c r="L2062" s="18"/>
    </row>
    <row r="2063" spans="11:12" x14ac:dyDescent="0.2">
      <c r="K2063" s="18"/>
      <c r="L2063" s="18"/>
    </row>
    <row r="2064" spans="11:12" x14ac:dyDescent="0.2">
      <c r="K2064" s="18"/>
      <c r="L2064" s="18"/>
    </row>
    <row r="2065" spans="11:12" x14ac:dyDescent="0.2">
      <c r="K2065" s="18"/>
      <c r="L2065" s="18"/>
    </row>
    <row r="2066" spans="11:12" x14ac:dyDescent="0.2">
      <c r="K2066" s="18"/>
      <c r="L2066" s="18"/>
    </row>
    <row r="2067" spans="11:12" x14ac:dyDescent="0.2">
      <c r="K2067" s="18"/>
      <c r="L2067" s="18"/>
    </row>
    <row r="2068" spans="11:12" x14ac:dyDescent="0.2">
      <c r="K2068" s="18"/>
      <c r="L2068" s="18"/>
    </row>
    <row r="2069" spans="11:12" x14ac:dyDescent="0.2">
      <c r="K2069" s="18"/>
      <c r="L2069" s="18"/>
    </row>
    <row r="2070" spans="11:12" x14ac:dyDescent="0.2">
      <c r="K2070" s="18"/>
      <c r="L2070" s="18"/>
    </row>
    <row r="2071" spans="11:12" x14ac:dyDescent="0.2">
      <c r="K2071" s="18"/>
      <c r="L2071" s="18"/>
    </row>
    <row r="2072" spans="11:12" x14ac:dyDescent="0.2">
      <c r="K2072" s="18"/>
      <c r="L2072" s="18"/>
    </row>
    <row r="2073" spans="11:12" x14ac:dyDescent="0.2">
      <c r="K2073" s="18"/>
      <c r="L2073" s="18"/>
    </row>
    <row r="2074" spans="11:12" x14ac:dyDescent="0.2">
      <c r="K2074" s="18"/>
      <c r="L2074" s="18"/>
    </row>
    <row r="2075" spans="11:12" x14ac:dyDescent="0.2">
      <c r="K2075" s="18"/>
      <c r="L2075" s="18"/>
    </row>
    <row r="2076" spans="11:12" x14ac:dyDescent="0.2">
      <c r="K2076" s="18"/>
      <c r="L2076" s="18"/>
    </row>
    <row r="2077" spans="11:12" x14ac:dyDescent="0.2">
      <c r="K2077" s="18"/>
      <c r="L2077" s="18"/>
    </row>
    <row r="2078" spans="11:12" x14ac:dyDescent="0.2">
      <c r="K2078" s="18"/>
      <c r="L2078" s="18"/>
    </row>
    <row r="2079" spans="11:12" x14ac:dyDescent="0.2">
      <c r="K2079" s="18"/>
      <c r="L2079" s="18"/>
    </row>
    <row r="2080" spans="11:12" x14ac:dyDescent="0.2">
      <c r="K2080" s="18"/>
      <c r="L2080" s="18"/>
    </row>
    <row r="2081" spans="11:12" x14ac:dyDescent="0.2">
      <c r="K2081" s="18"/>
      <c r="L2081" s="18"/>
    </row>
    <row r="2082" spans="11:12" x14ac:dyDescent="0.2">
      <c r="K2082" s="18"/>
      <c r="L2082" s="18"/>
    </row>
    <row r="2083" spans="11:12" x14ac:dyDescent="0.2">
      <c r="K2083" s="18"/>
      <c r="L2083" s="18"/>
    </row>
    <row r="2084" spans="11:12" x14ac:dyDescent="0.2">
      <c r="K2084" s="18"/>
      <c r="L2084" s="18"/>
    </row>
    <row r="2085" spans="11:12" x14ac:dyDescent="0.2">
      <c r="K2085" s="18"/>
      <c r="L2085" s="18"/>
    </row>
    <row r="2086" spans="11:12" x14ac:dyDescent="0.2">
      <c r="K2086" s="18"/>
      <c r="L2086" s="18"/>
    </row>
    <row r="2087" spans="11:12" x14ac:dyDescent="0.2">
      <c r="K2087" s="18"/>
      <c r="L2087" s="18"/>
    </row>
    <row r="2088" spans="11:12" x14ac:dyDescent="0.2">
      <c r="K2088" s="18"/>
      <c r="L2088" s="18"/>
    </row>
    <row r="2089" spans="11:12" x14ac:dyDescent="0.2">
      <c r="K2089" s="18"/>
      <c r="L2089" s="18"/>
    </row>
    <row r="2090" spans="11:12" x14ac:dyDescent="0.2">
      <c r="K2090" s="18"/>
      <c r="L2090" s="18"/>
    </row>
    <row r="2091" spans="11:12" x14ac:dyDescent="0.2">
      <c r="K2091" s="18"/>
      <c r="L2091" s="18"/>
    </row>
    <row r="2092" spans="11:12" x14ac:dyDescent="0.2">
      <c r="K2092" s="18"/>
      <c r="L2092" s="18"/>
    </row>
    <row r="2093" spans="11:12" x14ac:dyDescent="0.2">
      <c r="K2093" s="18"/>
      <c r="L2093" s="18"/>
    </row>
    <row r="2094" spans="11:12" x14ac:dyDescent="0.2">
      <c r="K2094" s="18"/>
      <c r="L2094" s="18"/>
    </row>
    <row r="2095" spans="11:12" x14ac:dyDescent="0.2">
      <c r="K2095" s="18"/>
      <c r="L2095" s="18"/>
    </row>
    <row r="2096" spans="11:12" x14ac:dyDescent="0.2">
      <c r="K2096" s="18"/>
      <c r="L2096" s="18"/>
    </row>
    <row r="2097" spans="11:12" x14ac:dyDescent="0.2">
      <c r="K2097" s="18"/>
      <c r="L2097" s="18"/>
    </row>
    <row r="2098" spans="11:12" x14ac:dyDescent="0.2">
      <c r="K2098" s="18"/>
      <c r="L2098" s="18"/>
    </row>
    <row r="2099" spans="11:12" x14ac:dyDescent="0.2">
      <c r="K2099" s="18"/>
      <c r="L2099" s="18"/>
    </row>
    <row r="2100" spans="11:12" x14ac:dyDescent="0.2">
      <c r="K2100" s="18"/>
      <c r="L2100" s="18"/>
    </row>
    <row r="2101" spans="11:12" x14ac:dyDescent="0.2">
      <c r="K2101" s="18"/>
      <c r="L2101" s="18"/>
    </row>
    <row r="2102" spans="11:12" x14ac:dyDescent="0.2">
      <c r="K2102" s="18"/>
      <c r="L2102" s="18"/>
    </row>
    <row r="2103" spans="11:12" x14ac:dyDescent="0.2">
      <c r="K2103" s="18"/>
      <c r="L2103" s="18"/>
    </row>
    <row r="2104" spans="11:12" x14ac:dyDescent="0.2">
      <c r="K2104" s="18"/>
      <c r="L2104" s="18"/>
    </row>
    <row r="2105" spans="11:12" x14ac:dyDescent="0.2">
      <c r="K2105" s="18"/>
      <c r="L2105" s="18"/>
    </row>
    <row r="2106" spans="11:12" x14ac:dyDescent="0.2">
      <c r="K2106" s="18"/>
      <c r="L2106" s="18"/>
    </row>
    <row r="2107" spans="11:12" x14ac:dyDescent="0.2">
      <c r="K2107" s="18"/>
      <c r="L2107" s="18"/>
    </row>
    <row r="2108" spans="11:12" x14ac:dyDescent="0.2">
      <c r="K2108" s="18"/>
      <c r="L2108" s="18"/>
    </row>
    <row r="2109" spans="11:12" x14ac:dyDescent="0.2">
      <c r="K2109" s="18"/>
      <c r="L2109" s="18"/>
    </row>
    <row r="2110" spans="11:12" x14ac:dyDescent="0.2">
      <c r="K2110" s="18"/>
      <c r="L2110" s="18"/>
    </row>
    <row r="2111" spans="11:12" x14ac:dyDescent="0.2">
      <c r="K2111" s="18"/>
      <c r="L2111" s="18"/>
    </row>
    <row r="2112" spans="11:12" x14ac:dyDescent="0.2">
      <c r="K2112" s="18"/>
      <c r="L2112" s="18"/>
    </row>
    <row r="2113" spans="11:12" x14ac:dyDescent="0.2">
      <c r="K2113" s="18"/>
      <c r="L2113" s="18"/>
    </row>
    <row r="2114" spans="11:12" x14ac:dyDescent="0.2">
      <c r="K2114" s="18"/>
      <c r="L2114" s="18"/>
    </row>
    <row r="2115" spans="11:12" x14ac:dyDescent="0.2">
      <c r="K2115" s="18"/>
      <c r="L2115" s="18"/>
    </row>
    <row r="2116" spans="11:12" x14ac:dyDescent="0.2">
      <c r="K2116" s="18"/>
      <c r="L2116" s="18"/>
    </row>
    <row r="2117" spans="11:12" x14ac:dyDescent="0.2">
      <c r="K2117" s="18"/>
      <c r="L2117" s="18"/>
    </row>
    <row r="2118" spans="11:12" x14ac:dyDescent="0.2">
      <c r="K2118" s="18"/>
      <c r="L2118" s="18"/>
    </row>
    <row r="2119" spans="11:12" x14ac:dyDescent="0.2">
      <c r="K2119" s="18"/>
      <c r="L2119" s="18"/>
    </row>
    <row r="2120" spans="11:12" x14ac:dyDescent="0.2">
      <c r="K2120" s="18"/>
      <c r="L2120" s="18"/>
    </row>
    <row r="2121" spans="11:12" x14ac:dyDescent="0.2">
      <c r="K2121" s="18"/>
      <c r="L2121" s="18"/>
    </row>
    <row r="2122" spans="11:12" x14ac:dyDescent="0.2">
      <c r="K2122" s="18"/>
      <c r="L2122" s="18"/>
    </row>
    <row r="2123" spans="11:12" x14ac:dyDescent="0.2">
      <c r="K2123" s="18"/>
      <c r="L2123" s="18"/>
    </row>
    <row r="2124" spans="11:12" x14ac:dyDescent="0.2">
      <c r="K2124" s="18"/>
      <c r="L2124" s="18"/>
    </row>
    <row r="2125" spans="11:12" x14ac:dyDescent="0.2">
      <c r="K2125" s="18"/>
      <c r="L2125" s="18"/>
    </row>
    <row r="2126" spans="11:12" x14ac:dyDescent="0.2">
      <c r="K2126" s="18"/>
      <c r="L2126" s="18"/>
    </row>
    <row r="2127" spans="11:12" x14ac:dyDescent="0.2">
      <c r="K2127" s="18"/>
      <c r="L2127" s="18"/>
    </row>
    <row r="2128" spans="11:12" x14ac:dyDescent="0.2">
      <c r="K2128" s="18"/>
      <c r="L2128" s="18"/>
    </row>
    <row r="2129" spans="11:12" x14ac:dyDescent="0.2">
      <c r="K2129" s="18"/>
      <c r="L2129" s="18"/>
    </row>
    <row r="2130" spans="11:12" x14ac:dyDescent="0.2">
      <c r="K2130" s="18"/>
      <c r="L2130" s="18"/>
    </row>
    <row r="2131" spans="11:12" x14ac:dyDescent="0.2">
      <c r="K2131" s="18"/>
      <c r="L2131" s="18"/>
    </row>
    <row r="2132" spans="11:12" x14ac:dyDescent="0.2">
      <c r="K2132" s="18"/>
      <c r="L2132" s="18"/>
    </row>
    <row r="2133" spans="11:12" x14ac:dyDescent="0.2">
      <c r="K2133" s="18"/>
      <c r="L2133" s="18"/>
    </row>
    <row r="2134" spans="11:12" x14ac:dyDescent="0.2">
      <c r="K2134" s="18"/>
      <c r="L2134" s="18"/>
    </row>
    <row r="2135" spans="11:12" x14ac:dyDescent="0.2">
      <c r="K2135" s="18"/>
      <c r="L2135" s="18"/>
    </row>
    <row r="2136" spans="11:12" x14ac:dyDescent="0.2">
      <c r="K2136" s="18"/>
      <c r="L2136" s="18"/>
    </row>
    <row r="2137" spans="11:12" x14ac:dyDescent="0.2">
      <c r="K2137" s="18"/>
      <c r="L2137" s="18"/>
    </row>
    <row r="2138" spans="11:12" x14ac:dyDescent="0.2">
      <c r="K2138" s="18"/>
      <c r="L2138" s="18"/>
    </row>
    <row r="2139" spans="11:12" x14ac:dyDescent="0.2">
      <c r="K2139" s="18"/>
      <c r="L2139" s="18"/>
    </row>
    <row r="2140" spans="11:12" x14ac:dyDescent="0.2">
      <c r="K2140" s="18"/>
      <c r="L2140" s="18"/>
    </row>
    <row r="2141" spans="11:12" x14ac:dyDescent="0.2">
      <c r="K2141" s="18"/>
      <c r="L2141" s="18"/>
    </row>
    <row r="2142" spans="11:12" x14ac:dyDescent="0.2">
      <c r="K2142" s="18"/>
      <c r="L2142" s="18"/>
    </row>
    <row r="2143" spans="11:12" x14ac:dyDescent="0.2">
      <c r="K2143" s="18"/>
      <c r="L2143" s="18"/>
    </row>
    <row r="2144" spans="11:12" x14ac:dyDescent="0.2">
      <c r="K2144" s="18"/>
      <c r="L2144" s="18"/>
    </row>
    <row r="2145" spans="11:12" x14ac:dyDescent="0.2">
      <c r="K2145" s="18"/>
      <c r="L2145" s="18"/>
    </row>
    <row r="2146" spans="11:12" x14ac:dyDescent="0.2">
      <c r="K2146" s="18"/>
      <c r="L2146" s="18"/>
    </row>
    <row r="2147" spans="11:12" x14ac:dyDescent="0.2">
      <c r="K2147" s="18"/>
      <c r="L2147" s="18"/>
    </row>
    <row r="2148" spans="11:12" x14ac:dyDescent="0.2">
      <c r="K2148" s="18"/>
      <c r="L2148" s="18"/>
    </row>
    <row r="2149" spans="11:12" x14ac:dyDescent="0.2">
      <c r="K2149" s="18"/>
      <c r="L2149" s="18"/>
    </row>
    <row r="2150" spans="11:12" x14ac:dyDescent="0.2">
      <c r="K2150" s="18"/>
      <c r="L2150" s="18"/>
    </row>
    <row r="2151" spans="11:12" x14ac:dyDescent="0.2">
      <c r="K2151" s="18"/>
      <c r="L2151" s="18"/>
    </row>
    <row r="2152" spans="11:12" x14ac:dyDescent="0.2">
      <c r="K2152" s="18"/>
      <c r="L2152" s="18"/>
    </row>
    <row r="2153" spans="11:12" x14ac:dyDescent="0.2">
      <c r="K2153" s="18"/>
      <c r="L2153" s="18"/>
    </row>
    <row r="2154" spans="11:12" x14ac:dyDescent="0.2">
      <c r="K2154" s="18"/>
      <c r="L2154" s="18"/>
    </row>
    <row r="2155" spans="11:12" x14ac:dyDescent="0.2">
      <c r="K2155" s="18"/>
      <c r="L2155" s="18"/>
    </row>
    <row r="2156" spans="11:12" x14ac:dyDescent="0.2">
      <c r="K2156" s="18"/>
      <c r="L2156" s="18"/>
    </row>
    <row r="2157" spans="11:12" x14ac:dyDescent="0.2">
      <c r="K2157" s="18"/>
      <c r="L2157" s="18"/>
    </row>
    <row r="2158" spans="11:12" x14ac:dyDescent="0.2">
      <c r="K2158" s="18"/>
      <c r="L2158" s="18"/>
    </row>
    <row r="2159" spans="11:12" x14ac:dyDescent="0.2">
      <c r="K2159" s="18"/>
      <c r="L2159" s="18"/>
    </row>
    <row r="2160" spans="11:12" x14ac:dyDescent="0.2">
      <c r="K2160" s="18"/>
      <c r="L2160" s="18"/>
    </row>
    <row r="2161" spans="11:12" x14ac:dyDescent="0.2">
      <c r="K2161" s="18"/>
      <c r="L2161" s="18"/>
    </row>
    <row r="2162" spans="11:12" x14ac:dyDescent="0.2">
      <c r="K2162" s="18"/>
      <c r="L2162" s="18"/>
    </row>
    <row r="2163" spans="11:12" x14ac:dyDescent="0.2">
      <c r="K2163" s="18"/>
      <c r="L2163" s="18"/>
    </row>
    <row r="2164" spans="11:12" x14ac:dyDescent="0.2">
      <c r="K2164" s="18"/>
      <c r="L2164" s="18"/>
    </row>
    <row r="2165" spans="11:12" x14ac:dyDescent="0.2">
      <c r="K2165" s="18"/>
      <c r="L2165" s="18"/>
    </row>
    <row r="2166" spans="11:12" x14ac:dyDescent="0.2">
      <c r="K2166" s="18"/>
      <c r="L2166" s="18"/>
    </row>
    <row r="2167" spans="11:12" x14ac:dyDescent="0.2">
      <c r="K2167" s="18"/>
      <c r="L2167" s="18"/>
    </row>
    <row r="2168" spans="11:12" x14ac:dyDescent="0.2">
      <c r="K2168" s="18"/>
      <c r="L2168" s="18"/>
    </row>
    <row r="2169" spans="11:12" x14ac:dyDescent="0.2">
      <c r="K2169" s="18"/>
      <c r="L2169" s="18"/>
    </row>
    <row r="2170" spans="11:12" x14ac:dyDescent="0.2">
      <c r="K2170" s="18"/>
      <c r="L2170" s="18"/>
    </row>
    <row r="2171" spans="11:12" x14ac:dyDescent="0.2">
      <c r="K2171" s="18"/>
      <c r="L2171" s="18"/>
    </row>
    <row r="2172" spans="11:12" x14ac:dyDescent="0.2">
      <c r="K2172" s="18"/>
      <c r="L2172" s="18"/>
    </row>
    <row r="2173" spans="11:12" x14ac:dyDescent="0.2">
      <c r="K2173" s="18"/>
      <c r="L2173" s="18"/>
    </row>
    <row r="2174" spans="11:12" x14ac:dyDescent="0.2">
      <c r="K2174" s="18"/>
      <c r="L2174" s="18"/>
    </row>
    <row r="2175" spans="11:12" x14ac:dyDescent="0.2">
      <c r="K2175" s="18"/>
      <c r="L2175" s="18"/>
    </row>
    <row r="2176" spans="11:12" x14ac:dyDescent="0.2">
      <c r="K2176" s="18"/>
      <c r="L2176" s="18"/>
    </row>
    <row r="2177" spans="11:12" x14ac:dyDescent="0.2">
      <c r="K2177" s="18"/>
      <c r="L2177" s="18"/>
    </row>
    <row r="2178" spans="11:12" x14ac:dyDescent="0.2">
      <c r="K2178" s="18"/>
      <c r="L2178" s="18"/>
    </row>
    <row r="2179" spans="11:12" x14ac:dyDescent="0.2">
      <c r="K2179" s="18"/>
      <c r="L2179" s="18"/>
    </row>
    <row r="2180" spans="11:12" x14ac:dyDescent="0.2">
      <c r="K2180" s="18"/>
      <c r="L2180" s="18"/>
    </row>
    <row r="2181" spans="11:12" x14ac:dyDescent="0.2">
      <c r="K2181" s="18"/>
      <c r="L2181" s="18"/>
    </row>
    <row r="2182" spans="11:12" x14ac:dyDescent="0.2">
      <c r="K2182" s="18"/>
      <c r="L2182" s="18"/>
    </row>
    <row r="2183" spans="11:12" x14ac:dyDescent="0.2">
      <c r="K2183" s="18"/>
      <c r="L2183" s="18"/>
    </row>
    <row r="2184" spans="11:12" x14ac:dyDescent="0.2">
      <c r="K2184" s="18"/>
      <c r="L2184" s="18"/>
    </row>
    <row r="2185" spans="11:12" x14ac:dyDescent="0.2">
      <c r="K2185" s="18"/>
      <c r="L2185" s="18"/>
    </row>
    <row r="2186" spans="11:12" x14ac:dyDescent="0.2">
      <c r="K2186" s="18"/>
      <c r="L2186" s="18"/>
    </row>
    <row r="2187" spans="11:12" x14ac:dyDescent="0.2">
      <c r="K2187" s="18"/>
      <c r="L2187" s="18"/>
    </row>
    <row r="2188" spans="11:12" x14ac:dyDescent="0.2">
      <c r="K2188" s="18"/>
      <c r="L2188" s="18"/>
    </row>
    <row r="2189" spans="11:12" x14ac:dyDescent="0.2">
      <c r="K2189" s="18"/>
      <c r="L2189" s="18"/>
    </row>
    <row r="2190" spans="11:12" x14ac:dyDescent="0.2">
      <c r="K2190" s="18"/>
      <c r="L2190" s="18"/>
    </row>
    <row r="2191" spans="11:12" x14ac:dyDescent="0.2">
      <c r="K2191" s="18"/>
      <c r="L2191" s="18"/>
    </row>
    <row r="2192" spans="11:12" x14ac:dyDescent="0.2">
      <c r="K2192" s="18"/>
      <c r="L2192" s="18"/>
    </row>
    <row r="2193" spans="11:12" x14ac:dyDescent="0.2">
      <c r="K2193" s="18"/>
      <c r="L2193" s="18"/>
    </row>
    <row r="2194" spans="11:12" x14ac:dyDescent="0.2">
      <c r="K2194" s="18"/>
      <c r="L2194" s="18"/>
    </row>
    <row r="2195" spans="11:12" x14ac:dyDescent="0.2">
      <c r="K2195" s="18"/>
      <c r="L2195" s="18"/>
    </row>
    <row r="2196" spans="11:12" x14ac:dyDescent="0.2">
      <c r="K2196" s="18"/>
      <c r="L2196" s="18"/>
    </row>
    <row r="2197" spans="11:12" x14ac:dyDescent="0.2">
      <c r="K2197" s="18"/>
      <c r="L2197" s="18"/>
    </row>
    <row r="2198" spans="11:12" x14ac:dyDescent="0.2">
      <c r="K2198" s="18"/>
      <c r="L2198" s="18"/>
    </row>
    <row r="2199" spans="11:12" x14ac:dyDescent="0.2">
      <c r="K2199" s="18"/>
      <c r="L2199" s="18"/>
    </row>
    <row r="2200" spans="11:12" x14ac:dyDescent="0.2">
      <c r="K2200" s="18"/>
      <c r="L2200" s="18"/>
    </row>
    <row r="2201" spans="11:12" x14ac:dyDescent="0.2">
      <c r="K2201" s="18"/>
      <c r="L2201" s="18"/>
    </row>
    <row r="2202" spans="11:12" x14ac:dyDescent="0.2">
      <c r="K2202" s="18"/>
      <c r="L2202" s="18"/>
    </row>
    <row r="2203" spans="11:12" x14ac:dyDescent="0.2">
      <c r="K2203" s="18"/>
      <c r="L2203" s="18"/>
    </row>
    <row r="2204" spans="11:12" x14ac:dyDescent="0.2">
      <c r="K2204" s="18"/>
      <c r="L2204" s="18"/>
    </row>
    <row r="2205" spans="11:12" x14ac:dyDescent="0.2">
      <c r="K2205" s="18"/>
      <c r="L2205" s="18"/>
    </row>
    <row r="2206" spans="11:12" x14ac:dyDescent="0.2">
      <c r="K2206" s="18"/>
      <c r="L2206" s="18"/>
    </row>
    <row r="2207" spans="11:12" x14ac:dyDescent="0.2">
      <c r="K2207" s="18"/>
      <c r="L2207" s="18"/>
    </row>
    <row r="2208" spans="11:12" x14ac:dyDescent="0.2">
      <c r="K2208" s="18"/>
      <c r="L2208" s="18"/>
    </row>
    <row r="2209" spans="11:12" x14ac:dyDescent="0.2">
      <c r="K2209" s="18"/>
      <c r="L2209" s="18"/>
    </row>
    <row r="2210" spans="11:12" x14ac:dyDescent="0.2">
      <c r="K2210" s="18"/>
      <c r="L2210" s="18"/>
    </row>
    <row r="2211" spans="11:12" x14ac:dyDescent="0.2">
      <c r="K2211" s="18"/>
      <c r="L2211" s="18"/>
    </row>
    <row r="2212" spans="11:12" x14ac:dyDescent="0.2">
      <c r="K2212" s="18"/>
      <c r="L2212" s="18"/>
    </row>
    <row r="2213" spans="11:12" x14ac:dyDescent="0.2">
      <c r="K2213" s="18"/>
      <c r="L2213" s="18"/>
    </row>
    <row r="2214" spans="11:12" x14ac:dyDescent="0.2">
      <c r="K2214" s="18"/>
      <c r="L2214" s="18"/>
    </row>
    <row r="2215" spans="11:12" x14ac:dyDescent="0.2">
      <c r="K2215" s="18"/>
      <c r="L2215" s="18"/>
    </row>
    <row r="2216" spans="11:12" x14ac:dyDescent="0.2">
      <c r="K2216" s="18"/>
      <c r="L2216" s="18"/>
    </row>
    <row r="2217" spans="11:12" x14ac:dyDescent="0.2">
      <c r="K2217" s="18"/>
      <c r="L2217" s="18"/>
    </row>
    <row r="2218" spans="11:12" x14ac:dyDescent="0.2">
      <c r="K2218" s="18"/>
      <c r="L2218" s="18"/>
    </row>
    <row r="2219" spans="11:12" x14ac:dyDescent="0.2">
      <c r="K2219" s="18"/>
      <c r="L2219" s="18"/>
    </row>
    <row r="2220" spans="11:12" x14ac:dyDescent="0.2">
      <c r="K2220" s="18"/>
      <c r="L2220" s="18"/>
    </row>
    <row r="2221" spans="11:12" x14ac:dyDescent="0.2">
      <c r="K2221" s="18"/>
      <c r="L2221" s="18"/>
    </row>
    <row r="2222" spans="11:12" x14ac:dyDescent="0.2">
      <c r="K2222" s="18"/>
      <c r="L2222" s="18"/>
    </row>
    <row r="2223" spans="11:12" x14ac:dyDescent="0.2">
      <c r="K2223" s="18"/>
      <c r="L2223" s="18"/>
    </row>
    <row r="2224" spans="11:12" x14ac:dyDescent="0.2">
      <c r="K2224" s="18"/>
      <c r="L2224" s="18"/>
    </row>
    <row r="2225" spans="11:12" x14ac:dyDescent="0.2">
      <c r="K2225" s="18"/>
      <c r="L2225" s="18"/>
    </row>
    <row r="2226" spans="11:12" x14ac:dyDescent="0.2">
      <c r="K2226" s="18"/>
      <c r="L2226" s="18"/>
    </row>
    <row r="2227" spans="11:12" x14ac:dyDescent="0.2">
      <c r="K2227" s="18"/>
      <c r="L2227" s="18"/>
    </row>
    <row r="2228" spans="11:12" x14ac:dyDescent="0.2">
      <c r="K2228" s="18"/>
      <c r="L2228" s="18"/>
    </row>
    <row r="2229" spans="11:12" x14ac:dyDescent="0.2">
      <c r="K2229" s="18"/>
      <c r="L2229" s="18"/>
    </row>
    <row r="2230" spans="11:12" x14ac:dyDescent="0.2">
      <c r="K2230" s="18"/>
      <c r="L2230" s="18"/>
    </row>
    <row r="2231" spans="11:12" x14ac:dyDescent="0.2">
      <c r="K2231" s="18"/>
      <c r="L2231" s="18"/>
    </row>
    <row r="2232" spans="11:12" x14ac:dyDescent="0.2">
      <c r="K2232" s="18"/>
      <c r="L2232" s="18"/>
    </row>
    <row r="2233" spans="11:12" x14ac:dyDescent="0.2">
      <c r="K2233" s="18"/>
      <c r="L2233" s="18"/>
    </row>
    <row r="2234" spans="11:12" x14ac:dyDescent="0.2">
      <c r="K2234" s="18"/>
      <c r="L2234" s="18"/>
    </row>
    <row r="2235" spans="11:12" x14ac:dyDescent="0.2">
      <c r="K2235" s="18"/>
      <c r="L2235" s="18"/>
    </row>
    <row r="2236" spans="11:12" x14ac:dyDescent="0.2">
      <c r="K2236" s="18"/>
      <c r="L2236" s="18"/>
    </row>
    <row r="2237" spans="11:12" x14ac:dyDescent="0.2">
      <c r="K2237" s="18"/>
      <c r="L2237" s="18"/>
    </row>
    <row r="2238" spans="11:12" x14ac:dyDescent="0.2">
      <c r="K2238" s="18"/>
      <c r="L2238" s="18"/>
    </row>
    <row r="2239" spans="11:12" x14ac:dyDescent="0.2">
      <c r="K2239" s="18"/>
      <c r="L2239" s="18"/>
    </row>
    <row r="2240" spans="11:12" x14ac:dyDescent="0.2">
      <c r="K2240" s="18"/>
      <c r="L2240" s="18"/>
    </row>
    <row r="2241" spans="11:12" x14ac:dyDescent="0.2">
      <c r="K2241" s="18"/>
      <c r="L2241" s="18"/>
    </row>
    <row r="2242" spans="11:12" x14ac:dyDescent="0.2">
      <c r="K2242" s="18"/>
      <c r="L2242" s="18"/>
    </row>
    <row r="2243" spans="11:12" x14ac:dyDescent="0.2">
      <c r="K2243" s="18"/>
      <c r="L2243" s="18"/>
    </row>
    <row r="2244" spans="11:12" x14ac:dyDescent="0.2">
      <c r="K2244" s="18"/>
      <c r="L2244" s="18"/>
    </row>
    <row r="2245" spans="11:12" x14ac:dyDescent="0.2">
      <c r="K2245" s="18"/>
      <c r="L2245" s="18"/>
    </row>
    <row r="2246" spans="11:12" x14ac:dyDescent="0.2">
      <c r="K2246" s="18"/>
      <c r="L2246" s="18"/>
    </row>
    <row r="2247" spans="11:12" x14ac:dyDescent="0.2">
      <c r="K2247" s="18"/>
      <c r="L2247" s="18"/>
    </row>
    <row r="2248" spans="11:12" x14ac:dyDescent="0.2">
      <c r="K2248" s="18"/>
      <c r="L2248" s="18"/>
    </row>
    <row r="2249" spans="11:12" x14ac:dyDescent="0.2">
      <c r="K2249" s="18"/>
      <c r="L2249" s="18"/>
    </row>
    <row r="2250" spans="11:12" x14ac:dyDescent="0.2">
      <c r="K2250" s="18"/>
      <c r="L2250" s="18"/>
    </row>
    <row r="2251" spans="11:12" x14ac:dyDescent="0.2">
      <c r="K2251" s="18"/>
      <c r="L2251" s="18"/>
    </row>
    <row r="2252" spans="11:12" x14ac:dyDescent="0.2">
      <c r="K2252" s="18"/>
      <c r="L2252" s="18"/>
    </row>
    <row r="2253" spans="11:12" x14ac:dyDescent="0.2">
      <c r="K2253" s="18"/>
      <c r="L2253" s="18"/>
    </row>
    <row r="2254" spans="11:12" x14ac:dyDescent="0.2">
      <c r="K2254" s="18"/>
      <c r="L2254" s="18"/>
    </row>
    <row r="2255" spans="11:12" x14ac:dyDescent="0.2">
      <c r="K2255" s="18"/>
      <c r="L2255" s="18"/>
    </row>
    <row r="2256" spans="11:12" x14ac:dyDescent="0.2">
      <c r="K2256" s="18"/>
      <c r="L2256" s="18"/>
    </row>
    <row r="2257" spans="11:12" x14ac:dyDescent="0.2">
      <c r="K2257" s="18"/>
      <c r="L2257" s="18"/>
    </row>
    <row r="2258" spans="11:12" x14ac:dyDescent="0.2">
      <c r="K2258" s="18"/>
      <c r="L2258" s="18"/>
    </row>
    <row r="2259" spans="11:12" x14ac:dyDescent="0.2">
      <c r="K2259" s="18"/>
      <c r="L2259" s="18"/>
    </row>
    <row r="2260" spans="11:12" x14ac:dyDescent="0.2">
      <c r="K2260" s="18"/>
      <c r="L2260" s="18"/>
    </row>
    <row r="2261" spans="11:12" x14ac:dyDescent="0.2">
      <c r="K2261" s="18"/>
      <c r="L2261" s="18"/>
    </row>
    <row r="2262" spans="11:12" x14ac:dyDescent="0.2">
      <c r="K2262" s="18"/>
      <c r="L2262" s="18"/>
    </row>
    <row r="2263" spans="11:12" x14ac:dyDescent="0.2">
      <c r="K2263" s="18"/>
      <c r="L2263" s="18"/>
    </row>
    <row r="2264" spans="11:12" x14ac:dyDescent="0.2">
      <c r="K2264" s="18"/>
      <c r="L2264" s="18"/>
    </row>
    <row r="2265" spans="11:12" x14ac:dyDescent="0.2">
      <c r="K2265" s="18"/>
      <c r="L2265" s="18"/>
    </row>
    <row r="2266" spans="11:12" x14ac:dyDescent="0.2">
      <c r="K2266" s="18"/>
      <c r="L2266" s="18"/>
    </row>
    <row r="2267" spans="11:12" x14ac:dyDescent="0.2">
      <c r="K2267" s="18"/>
      <c r="L2267" s="18"/>
    </row>
    <row r="2268" spans="11:12" x14ac:dyDescent="0.2">
      <c r="K2268" s="18"/>
      <c r="L2268" s="18"/>
    </row>
    <row r="2269" spans="11:12" x14ac:dyDescent="0.2">
      <c r="K2269" s="18"/>
      <c r="L2269" s="18"/>
    </row>
    <row r="2270" spans="11:12" x14ac:dyDescent="0.2">
      <c r="K2270" s="18"/>
      <c r="L2270" s="18"/>
    </row>
    <row r="2271" spans="11:12" x14ac:dyDescent="0.2">
      <c r="K2271" s="18"/>
      <c r="L2271" s="18"/>
    </row>
    <row r="2272" spans="11:12" x14ac:dyDescent="0.2">
      <c r="K2272" s="18"/>
      <c r="L2272" s="18"/>
    </row>
    <row r="2273" spans="11:12" x14ac:dyDescent="0.2">
      <c r="K2273" s="18"/>
      <c r="L2273" s="18"/>
    </row>
    <row r="2274" spans="11:12" x14ac:dyDescent="0.2">
      <c r="K2274" s="18"/>
      <c r="L2274" s="18"/>
    </row>
    <row r="2275" spans="11:12" x14ac:dyDescent="0.2">
      <c r="K2275" s="18"/>
      <c r="L2275" s="18"/>
    </row>
    <row r="2276" spans="11:12" x14ac:dyDescent="0.2">
      <c r="K2276" s="18"/>
      <c r="L2276" s="18"/>
    </row>
    <row r="2277" spans="11:12" x14ac:dyDescent="0.2">
      <c r="K2277" s="18"/>
      <c r="L2277" s="18"/>
    </row>
    <row r="2278" spans="11:12" x14ac:dyDescent="0.2">
      <c r="K2278" s="18"/>
      <c r="L2278" s="18"/>
    </row>
    <row r="2279" spans="11:12" x14ac:dyDescent="0.2">
      <c r="K2279" s="18"/>
      <c r="L2279" s="18"/>
    </row>
    <row r="2280" spans="11:12" x14ac:dyDescent="0.2">
      <c r="K2280" s="18"/>
      <c r="L2280" s="18"/>
    </row>
    <row r="2281" spans="11:12" x14ac:dyDescent="0.2">
      <c r="K2281" s="18"/>
      <c r="L2281" s="18"/>
    </row>
    <row r="2282" spans="11:12" x14ac:dyDescent="0.2">
      <c r="K2282" s="18"/>
      <c r="L2282" s="18"/>
    </row>
    <row r="2283" spans="11:12" x14ac:dyDescent="0.2">
      <c r="K2283" s="18"/>
      <c r="L2283" s="18"/>
    </row>
    <row r="2284" spans="11:12" x14ac:dyDescent="0.2">
      <c r="K2284" s="18"/>
      <c r="L2284" s="18"/>
    </row>
    <row r="2285" spans="11:12" x14ac:dyDescent="0.2">
      <c r="K2285" s="18"/>
      <c r="L2285" s="18"/>
    </row>
    <row r="2286" spans="11:12" x14ac:dyDescent="0.2">
      <c r="K2286" s="18"/>
      <c r="L2286" s="18"/>
    </row>
    <row r="2287" spans="11:12" x14ac:dyDescent="0.2">
      <c r="K2287" s="18"/>
      <c r="L2287" s="18"/>
    </row>
    <row r="2288" spans="11:12" x14ac:dyDescent="0.2">
      <c r="K2288" s="18"/>
      <c r="L2288" s="18"/>
    </row>
    <row r="2289" spans="11:12" x14ac:dyDescent="0.2">
      <c r="K2289" s="18"/>
      <c r="L2289" s="18"/>
    </row>
    <row r="2290" spans="11:12" x14ac:dyDescent="0.2">
      <c r="K2290" s="18"/>
      <c r="L2290" s="18"/>
    </row>
    <row r="2291" spans="11:12" x14ac:dyDescent="0.2">
      <c r="K2291" s="18"/>
      <c r="L2291" s="18"/>
    </row>
    <row r="2292" spans="11:12" x14ac:dyDescent="0.2">
      <c r="K2292" s="18"/>
      <c r="L2292" s="18"/>
    </row>
    <row r="2293" spans="11:12" x14ac:dyDescent="0.2">
      <c r="K2293" s="18"/>
      <c r="L2293" s="18"/>
    </row>
    <row r="2294" spans="11:12" x14ac:dyDescent="0.2">
      <c r="K2294" s="18"/>
      <c r="L2294" s="18"/>
    </row>
    <row r="2295" spans="11:12" x14ac:dyDescent="0.2">
      <c r="K2295" s="18"/>
      <c r="L2295" s="18"/>
    </row>
    <row r="2296" spans="11:12" x14ac:dyDescent="0.2">
      <c r="K2296" s="18"/>
      <c r="L2296" s="18"/>
    </row>
    <row r="2297" spans="11:12" x14ac:dyDescent="0.2">
      <c r="K2297" s="18"/>
      <c r="L2297" s="18"/>
    </row>
    <row r="2298" spans="11:12" x14ac:dyDescent="0.2">
      <c r="K2298" s="18"/>
      <c r="L2298" s="18"/>
    </row>
    <row r="2299" spans="11:12" x14ac:dyDescent="0.2">
      <c r="K2299" s="18"/>
      <c r="L2299" s="18"/>
    </row>
    <row r="2300" spans="11:12" x14ac:dyDescent="0.2">
      <c r="K2300" s="18"/>
      <c r="L2300" s="18"/>
    </row>
    <row r="2301" spans="11:12" x14ac:dyDescent="0.2">
      <c r="K2301" s="18"/>
      <c r="L2301" s="18"/>
    </row>
    <row r="2302" spans="11:12" x14ac:dyDescent="0.2">
      <c r="K2302" s="18"/>
      <c r="L2302" s="18"/>
    </row>
    <row r="2303" spans="11:12" x14ac:dyDescent="0.2">
      <c r="K2303" s="18"/>
      <c r="L2303" s="18"/>
    </row>
    <row r="2304" spans="11:12" x14ac:dyDescent="0.2">
      <c r="K2304" s="18"/>
      <c r="L2304" s="18"/>
    </row>
    <row r="2305" spans="11:12" x14ac:dyDescent="0.2">
      <c r="K2305" s="18"/>
      <c r="L2305" s="18"/>
    </row>
    <row r="2306" spans="11:12" x14ac:dyDescent="0.2">
      <c r="K2306" s="18"/>
      <c r="L2306" s="18"/>
    </row>
    <row r="2307" spans="11:12" x14ac:dyDescent="0.2">
      <c r="K2307" s="18"/>
      <c r="L2307" s="18"/>
    </row>
    <row r="2308" spans="11:12" x14ac:dyDescent="0.2">
      <c r="K2308" s="18"/>
      <c r="L2308" s="18"/>
    </row>
    <row r="2309" spans="11:12" x14ac:dyDescent="0.2">
      <c r="K2309" s="18"/>
      <c r="L2309" s="18"/>
    </row>
    <row r="2310" spans="11:12" x14ac:dyDescent="0.2">
      <c r="K2310" s="18"/>
      <c r="L2310" s="18"/>
    </row>
    <row r="2311" spans="11:12" x14ac:dyDescent="0.2">
      <c r="K2311" s="18"/>
      <c r="L2311" s="18"/>
    </row>
    <row r="2312" spans="11:12" x14ac:dyDescent="0.2">
      <c r="K2312" s="18"/>
      <c r="L2312" s="18"/>
    </row>
    <row r="2313" spans="11:12" x14ac:dyDescent="0.2">
      <c r="K2313" s="18"/>
      <c r="L2313" s="18"/>
    </row>
    <row r="2314" spans="11:12" x14ac:dyDescent="0.2">
      <c r="K2314" s="18"/>
      <c r="L2314" s="18"/>
    </row>
    <row r="2315" spans="11:12" x14ac:dyDescent="0.2">
      <c r="K2315" s="18"/>
      <c r="L2315" s="18"/>
    </row>
    <row r="2316" spans="11:12" x14ac:dyDescent="0.2">
      <c r="K2316" s="18"/>
      <c r="L2316" s="18"/>
    </row>
    <row r="2317" spans="11:12" x14ac:dyDescent="0.2">
      <c r="K2317" s="18"/>
      <c r="L2317" s="18"/>
    </row>
    <row r="2318" spans="11:12" x14ac:dyDescent="0.2">
      <c r="K2318" s="18"/>
      <c r="L2318" s="18"/>
    </row>
    <row r="2319" spans="11:12" x14ac:dyDescent="0.2">
      <c r="K2319" s="18"/>
      <c r="L2319" s="18"/>
    </row>
    <row r="2320" spans="11:12" x14ac:dyDescent="0.2">
      <c r="K2320" s="18"/>
      <c r="L2320" s="18"/>
    </row>
    <row r="2321" spans="11:12" x14ac:dyDescent="0.2">
      <c r="K2321" s="18"/>
      <c r="L2321" s="18"/>
    </row>
    <row r="2322" spans="11:12" x14ac:dyDescent="0.2">
      <c r="K2322" s="18"/>
      <c r="L2322" s="18"/>
    </row>
    <row r="2323" spans="11:12" x14ac:dyDescent="0.2">
      <c r="K2323" s="18"/>
      <c r="L2323" s="18"/>
    </row>
    <row r="2324" spans="11:12" x14ac:dyDescent="0.2">
      <c r="K2324" s="18"/>
      <c r="L2324" s="18"/>
    </row>
    <row r="2325" spans="11:12" x14ac:dyDescent="0.2">
      <c r="K2325" s="18"/>
      <c r="L2325" s="18"/>
    </row>
    <row r="2326" spans="11:12" x14ac:dyDescent="0.2">
      <c r="K2326" s="18"/>
      <c r="L2326" s="18"/>
    </row>
    <row r="2327" spans="11:12" x14ac:dyDescent="0.2">
      <c r="K2327" s="18"/>
      <c r="L2327" s="18"/>
    </row>
    <row r="2328" spans="11:12" x14ac:dyDescent="0.2">
      <c r="K2328" s="18"/>
      <c r="L2328" s="18"/>
    </row>
    <row r="2329" spans="11:12" x14ac:dyDescent="0.2">
      <c r="K2329" s="18"/>
      <c r="L2329" s="18"/>
    </row>
    <row r="2330" spans="11:12" x14ac:dyDescent="0.2">
      <c r="K2330" s="18"/>
      <c r="L2330" s="18"/>
    </row>
    <row r="2331" spans="11:12" x14ac:dyDescent="0.2">
      <c r="K2331" s="18"/>
      <c r="L2331" s="18"/>
    </row>
    <row r="2332" spans="11:12" x14ac:dyDescent="0.2">
      <c r="K2332" s="18"/>
      <c r="L2332" s="18"/>
    </row>
    <row r="2333" spans="11:12" x14ac:dyDescent="0.2">
      <c r="K2333" s="18"/>
      <c r="L2333" s="18"/>
    </row>
    <row r="2334" spans="11:12" x14ac:dyDescent="0.2">
      <c r="K2334" s="18"/>
      <c r="L2334" s="18"/>
    </row>
    <row r="2335" spans="11:12" x14ac:dyDescent="0.2">
      <c r="K2335" s="18"/>
      <c r="L2335" s="18"/>
    </row>
    <row r="2336" spans="11:12" x14ac:dyDescent="0.2">
      <c r="K2336" s="18"/>
      <c r="L2336" s="18"/>
    </row>
    <row r="2337" spans="11:12" x14ac:dyDescent="0.2">
      <c r="K2337" s="18"/>
      <c r="L2337" s="18"/>
    </row>
    <row r="2338" spans="11:12" x14ac:dyDescent="0.2">
      <c r="K2338" s="18"/>
      <c r="L2338" s="18"/>
    </row>
    <row r="2339" spans="11:12" x14ac:dyDescent="0.2">
      <c r="K2339" s="18"/>
      <c r="L2339" s="18"/>
    </row>
    <row r="2340" spans="11:12" x14ac:dyDescent="0.2">
      <c r="K2340" s="18"/>
      <c r="L2340" s="18"/>
    </row>
    <row r="2341" spans="11:12" x14ac:dyDescent="0.2">
      <c r="K2341" s="18"/>
      <c r="L2341" s="18"/>
    </row>
    <row r="2342" spans="11:12" x14ac:dyDescent="0.2">
      <c r="K2342" s="18"/>
      <c r="L2342" s="18"/>
    </row>
    <row r="2343" spans="11:12" x14ac:dyDescent="0.2">
      <c r="K2343" s="18"/>
      <c r="L2343" s="18"/>
    </row>
    <row r="2344" spans="11:12" x14ac:dyDescent="0.2">
      <c r="K2344" s="18"/>
      <c r="L2344" s="18"/>
    </row>
    <row r="2345" spans="11:12" x14ac:dyDescent="0.2">
      <c r="K2345" s="18"/>
      <c r="L2345" s="18"/>
    </row>
    <row r="2346" spans="11:12" x14ac:dyDescent="0.2">
      <c r="K2346" s="18"/>
      <c r="L2346" s="18"/>
    </row>
    <row r="2347" spans="11:12" x14ac:dyDescent="0.2">
      <c r="K2347" s="18"/>
      <c r="L2347" s="18"/>
    </row>
    <row r="2348" spans="11:12" x14ac:dyDescent="0.2">
      <c r="K2348" s="18"/>
      <c r="L2348" s="18"/>
    </row>
    <row r="2349" spans="11:12" x14ac:dyDescent="0.2">
      <c r="K2349" s="18"/>
      <c r="L2349" s="18"/>
    </row>
    <row r="2350" spans="11:12" x14ac:dyDescent="0.2">
      <c r="K2350" s="18"/>
      <c r="L2350" s="18"/>
    </row>
    <row r="2351" spans="11:12" x14ac:dyDescent="0.2">
      <c r="K2351" s="18"/>
      <c r="L2351" s="18"/>
    </row>
    <row r="2352" spans="11:12" x14ac:dyDescent="0.2">
      <c r="K2352" s="18"/>
      <c r="L2352" s="18"/>
    </row>
    <row r="2353" spans="11:12" x14ac:dyDescent="0.2">
      <c r="K2353" s="18"/>
      <c r="L2353" s="18"/>
    </row>
    <row r="2354" spans="11:12" x14ac:dyDescent="0.2">
      <c r="K2354" s="18"/>
      <c r="L2354" s="18"/>
    </row>
    <row r="2355" spans="11:12" x14ac:dyDescent="0.2">
      <c r="K2355" s="18"/>
      <c r="L2355" s="18"/>
    </row>
    <row r="2356" spans="11:12" x14ac:dyDescent="0.2">
      <c r="K2356" s="18"/>
      <c r="L2356" s="18"/>
    </row>
    <row r="2357" spans="11:12" x14ac:dyDescent="0.2">
      <c r="K2357" s="18"/>
      <c r="L2357" s="18"/>
    </row>
    <row r="2358" spans="11:12" x14ac:dyDescent="0.2">
      <c r="K2358" s="18"/>
      <c r="L2358" s="18"/>
    </row>
    <row r="2359" spans="11:12" x14ac:dyDescent="0.2">
      <c r="K2359" s="18"/>
      <c r="L2359" s="18"/>
    </row>
    <row r="2360" spans="11:12" x14ac:dyDescent="0.2">
      <c r="K2360" s="18"/>
      <c r="L2360" s="18"/>
    </row>
    <row r="2361" spans="11:12" x14ac:dyDescent="0.2">
      <c r="K2361" s="18"/>
      <c r="L2361" s="18"/>
    </row>
    <row r="2362" spans="11:12" x14ac:dyDescent="0.2">
      <c r="K2362" s="18"/>
      <c r="L2362" s="18"/>
    </row>
    <row r="2363" spans="11:12" x14ac:dyDescent="0.2">
      <c r="K2363" s="18"/>
      <c r="L2363" s="18"/>
    </row>
    <row r="2364" spans="11:12" x14ac:dyDescent="0.2">
      <c r="K2364" s="18"/>
      <c r="L2364" s="18"/>
    </row>
    <row r="2365" spans="11:12" x14ac:dyDescent="0.2">
      <c r="K2365" s="18"/>
      <c r="L2365" s="18"/>
    </row>
    <row r="2366" spans="11:12" x14ac:dyDescent="0.2">
      <c r="K2366" s="18"/>
      <c r="L2366" s="18"/>
    </row>
    <row r="2367" spans="11:12" x14ac:dyDescent="0.2">
      <c r="K2367" s="18"/>
      <c r="L2367" s="18"/>
    </row>
    <row r="2368" spans="11:12" x14ac:dyDescent="0.2">
      <c r="K2368" s="18"/>
      <c r="L2368" s="18"/>
    </row>
    <row r="2369" spans="11:12" x14ac:dyDescent="0.2">
      <c r="K2369" s="18"/>
      <c r="L2369" s="18"/>
    </row>
    <row r="2370" spans="11:12" x14ac:dyDescent="0.2">
      <c r="K2370" s="18"/>
      <c r="L2370" s="18"/>
    </row>
    <row r="2371" spans="11:12" x14ac:dyDescent="0.2">
      <c r="K2371" s="18"/>
      <c r="L2371" s="18"/>
    </row>
    <row r="2372" spans="11:12" x14ac:dyDescent="0.2">
      <c r="K2372" s="18"/>
      <c r="L2372" s="18"/>
    </row>
    <row r="2373" spans="11:12" x14ac:dyDescent="0.2">
      <c r="K2373" s="18"/>
      <c r="L2373" s="18"/>
    </row>
    <row r="2374" spans="11:12" x14ac:dyDescent="0.2">
      <c r="K2374" s="18"/>
      <c r="L2374" s="18"/>
    </row>
    <row r="2375" spans="11:12" x14ac:dyDescent="0.2">
      <c r="K2375" s="18"/>
      <c r="L2375" s="18"/>
    </row>
    <row r="2376" spans="11:12" x14ac:dyDescent="0.2">
      <c r="K2376" s="18"/>
      <c r="L2376" s="18"/>
    </row>
    <row r="2377" spans="11:12" x14ac:dyDescent="0.2">
      <c r="K2377" s="18"/>
      <c r="L2377" s="18"/>
    </row>
    <row r="2378" spans="11:12" x14ac:dyDescent="0.2">
      <c r="K2378" s="18"/>
      <c r="L2378" s="18"/>
    </row>
    <row r="2379" spans="11:12" x14ac:dyDescent="0.2">
      <c r="K2379" s="18"/>
      <c r="L2379" s="18"/>
    </row>
    <row r="2380" spans="11:12" x14ac:dyDescent="0.2">
      <c r="K2380" s="18"/>
      <c r="L2380" s="18"/>
    </row>
    <row r="2381" spans="11:12" x14ac:dyDescent="0.2">
      <c r="K2381" s="18"/>
      <c r="L2381" s="18"/>
    </row>
    <row r="2382" spans="11:12" x14ac:dyDescent="0.2">
      <c r="K2382" s="18"/>
      <c r="L2382" s="18"/>
    </row>
    <row r="2383" spans="11:12" x14ac:dyDescent="0.2">
      <c r="K2383" s="18"/>
      <c r="L2383" s="18"/>
    </row>
    <row r="2384" spans="11:12" x14ac:dyDescent="0.2">
      <c r="K2384" s="18"/>
      <c r="L2384" s="18"/>
    </row>
    <row r="2385" spans="11:12" x14ac:dyDescent="0.2">
      <c r="K2385" s="18"/>
      <c r="L2385" s="18"/>
    </row>
    <row r="2386" spans="11:12" x14ac:dyDescent="0.2">
      <c r="K2386" s="18"/>
      <c r="L2386" s="18"/>
    </row>
    <row r="2387" spans="11:12" x14ac:dyDescent="0.2">
      <c r="K2387" s="18"/>
      <c r="L2387" s="18"/>
    </row>
    <row r="2388" spans="11:12" x14ac:dyDescent="0.2">
      <c r="K2388" s="18"/>
      <c r="L2388" s="18"/>
    </row>
    <row r="2389" spans="11:12" x14ac:dyDescent="0.2">
      <c r="K2389" s="18"/>
      <c r="L2389" s="18"/>
    </row>
    <row r="2390" spans="11:12" x14ac:dyDescent="0.2">
      <c r="K2390" s="18"/>
      <c r="L2390" s="18"/>
    </row>
    <row r="2391" spans="11:12" x14ac:dyDescent="0.2">
      <c r="K2391" s="18"/>
      <c r="L2391" s="18"/>
    </row>
    <row r="2392" spans="11:12" x14ac:dyDescent="0.2">
      <c r="K2392" s="18"/>
      <c r="L2392" s="18"/>
    </row>
    <row r="2393" spans="11:12" x14ac:dyDescent="0.2">
      <c r="K2393" s="18"/>
      <c r="L2393" s="18"/>
    </row>
    <row r="2394" spans="11:12" x14ac:dyDescent="0.2">
      <c r="K2394" s="18"/>
      <c r="L2394" s="18"/>
    </row>
    <row r="2395" spans="11:12" x14ac:dyDescent="0.2">
      <c r="K2395" s="18"/>
      <c r="L2395" s="18"/>
    </row>
    <row r="2396" spans="11:12" x14ac:dyDescent="0.2">
      <c r="K2396" s="18"/>
      <c r="L2396" s="18"/>
    </row>
    <row r="2397" spans="11:12" x14ac:dyDescent="0.2">
      <c r="K2397" s="18"/>
      <c r="L2397" s="18"/>
    </row>
    <row r="2398" spans="11:12" x14ac:dyDescent="0.2">
      <c r="K2398" s="18"/>
      <c r="L2398" s="18"/>
    </row>
    <row r="2399" spans="11:12" x14ac:dyDescent="0.2">
      <c r="K2399" s="18"/>
      <c r="L2399" s="18"/>
    </row>
    <row r="2400" spans="11:12" x14ac:dyDescent="0.2">
      <c r="K2400" s="18"/>
      <c r="L2400" s="18"/>
    </row>
    <row r="2401" spans="11:12" x14ac:dyDescent="0.2">
      <c r="K2401" s="18"/>
      <c r="L2401" s="18"/>
    </row>
    <row r="2402" spans="11:12" x14ac:dyDescent="0.2">
      <c r="K2402" s="18"/>
      <c r="L2402" s="18"/>
    </row>
    <row r="2403" spans="11:12" x14ac:dyDescent="0.2">
      <c r="K2403" s="18"/>
      <c r="L2403" s="18"/>
    </row>
    <row r="2404" spans="11:12" x14ac:dyDescent="0.2">
      <c r="K2404" s="18"/>
      <c r="L2404" s="18"/>
    </row>
    <row r="2405" spans="11:12" x14ac:dyDescent="0.2">
      <c r="K2405" s="18"/>
      <c r="L2405" s="18"/>
    </row>
    <row r="2406" spans="11:12" x14ac:dyDescent="0.2">
      <c r="K2406" s="18"/>
      <c r="L2406" s="18"/>
    </row>
    <row r="2407" spans="11:12" x14ac:dyDescent="0.2">
      <c r="K2407" s="18"/>
      <c r="L2407" s="18"/>
    </row>
    <row r="2408" spans="11:12" x14ac:dyDescent="0.2">
      <c r="K2408" s="18"/>
      <c r="L2408" s="18"/>
    </row>
    <row r="2409" spans="11:12" x14ac:dyDescent="0.2">
      <c r="K2409" s="18"/>
      <c r="L2409" s="18"/>
    </row>
    <row r="2410" spans="11:12" x14ac:dyDescent="0.2">
      <c r="K2410" s="18"/>
      <c r="L2410" s="18"/>
    </row>
    <row r="2411" spans="11:12" x14ac:dyDescent="0.2">
      <c r="K2411" s="18"/>
      <c r="L2411" s="18"/>
    </row>
    <row r="2412" spans="11:12" x14ac:dyDescent="0.2">
      <c r="K2412" s="18"/>
      <c r="L2412" s="18"/>
    </row>
    <row r="2413" spans="11:12" x14ac:dyDescent="0.2">
      <c r="K2413" s="18"/>
      <c r="L2413" s="18"/>
    </row>
    <row r="2414" spans="11:12" x14ac:dyDescent="0.2">
      <c r="K2414" s="18"/>
      <c r="L2414" s="18"/>
    </row>
    <row r="2415" spans="11:12" x14ac:dyDescent="0.2">
      <c r="K2415" s="18"/>
      <c r="L2415" s="18"/>
    </row>
    <row r="2416" spans="11:12" x14ac:dyDescent="0.2">
      <c r="K2416" s="18"/>
      <c r="L2416" s="18"/>
    </row>
    <row r="2417" spans="11:12" x14ac:dyDescent="0.2">
      <c r="K2417" s="18"/>
      <c r="L2417" s="18"/>
    </row>
    <row r="2418" spans="11:12" x14ac:dyDescent="0.2">
      <c r="K2418" s="18"/>
      <c r="L2418" s="18"/>
    </row>
    <row r="2419" spans="11:12" x14ac:dyDescent="0.2">
      <c r="K2419" s="18"/>
      <c r="L2419" s="18"/>
    </row>
    <row r="2420" spans="11:12" x14ac:dyDescent="0.2">
      <c r="K2420" s="18"/>
      <c r="L2420" s="18"/>
    </row>
    <row r="2421" spans="11:12" x14ac:dyDescent="0.2">
      <c r="K2421" s="18"/>
      <c r="L2421" s="18"/>
    </row>
    <row r="2422" spans="11:12" x14ac:dyDescent="0.2">
      <c r="K2422" s="18"/>
      <c r="L2422" s="18"/>
    </row>
    <row r="2423" spans="11:12" x14ac:dyDescent="0.2">
      <c r="K2423" s="18"/>
      <c r="L2423" s="18"/>
    </row>
    <row r="2424" spans="11:12" x14ac:dyDescent="0.2">
      <c r="K2424" s="18"/>
      <c r="L2424" s="18"/>
    </row>
    <row r="2425" spans="11:12" x14ac:dyDescent="0.2">
      <c r="K2425" s="18"/>
      <c r="L2425" s="18"/>
    </row>
    <row r="2426" spans="11:12" x14ac:dyDescent="0.2">
      <c r="K2426" s="18"/>
      <c r="L2426" s="18"/>
    </row>
    <row r="2427" spans="11:12" x14ac:dyDescent="0.2">
      <c r="K2427" s="18"/>
      <c r="L2427" s="18"/>
    </row>
    <row r="2428" spans="11:12" x14ac:dyDescent="0.2">
      <c r="K2428" s="18"/>
      <c r="L2428" s="18"/>
    </row>
    <row r="2429" spans="11:12" x14ac:dyDescent="0.2">
      <c r="K2429" s="18"/>
      <c r="L2429" s="18"/>
    </row>
    <row r="2430" spans="11:12" x14ac:dyDescent="0.2">
      <c r="K2430" s="18"/>
      <c r="L2430" s="18"/>
    </row>
    <row r="2431" spans="11:12" x14ac:dyDescent="0.2">
      <c r="K2431" s="18"/>
      <c r="L2431" s="18"/>
    </row>
    <row r="2432" spans="11:12" x14ac:dyDescent="0.2">
      <c r="K2432" s="18"/>
      <c r="L2432" s="18"/>
    </row>
    <row r="2433" spans="11:12" x14ac:dyDescent="0.2">
      <c r="K2433" s="18"/>
      <c r="L2433" s="18"/>
    </row>
    <row r="2434" spans="11:12" x14ac:dyDescent="0.2">
      <c r="K2434" s="18"/>
      <c r="L2434" s="18"/>
    </row>
    <row r="2435" spans="11:12" x14ac:dyDescent="0.2">
      <c r="K2435" s="18"/>
      <c r="L2435" s="18"/>
    </row>
    <row r="2436" spans="11:12" x14ac:dyDescent="0.2">
      <c r="K2436" s="18"/>
      <c r="L2436" s="18"/>
    </row>
    <row r="2437" spans="11:12" x14ac:dyDescent="0.2">
      <c r="K2437" s="18"/>
      <c r="L2437" s="18"/>
    </row>
    <row r="2438" spans="11:12" x14ac:dyDescent="0.2">
      <c r="K2438" s="18"/>
      <c r="L2438" s="18"/>
    </row>
    <row r="2439" spans="11:12" x14ac:dyDescent="0.2">
      <c r="K2439" s="18"/>
      <c r="L2439" s="18"/>
    </row>
    <row r="2440" spans="11:12" x14ac:dyDescent="0.2">
      <c r="K2440" s="18"/>
      <c r="L2440" s="18"/>
    </row>
    <row r="2441" spans="11:12" x14ac:dyDescent="0.2">
      <c r="K2441" s="18"/>
      <c r="L2441" s="18"/>
    </row>
    <row r="2442" spans="11:12" x14ac:dyDescent="0.2">
      <c r="K2442" s="18"/>
      <c r="L2442" s="18"/>
    </row>
    <row r="2443" spans="11:12" x14ac:dyDescent="0.2">
      <c r="K2443" s="18"/>
      <c r="L2443" s="18"/>
    </row>
    <row r="2444" spans="11:12" x14ac:dyDescent="0.2">
      <c r="K2444" s="18"/>
      <c r="L2444" s="18"/>
    </row>
    <row r="2445" spans="11:12" x14ac:dyDescent="0.2">
      <c r="K2445" s="18"/>
      <c r="L2445" s="18"/>
    </row>
    <row r="2446" spans="11:12" x14ac:dyDescent="0.2">
      <c r="K2446" s="18"/>
      <c r="L2446" s="18"/>
    </row>
    <row r="2447" spans="11:12" x14ac:dyDescent="0.2">
      <c r="K2447" s="18"/>
      <c r="L2447" s="18"/>
    </row>
    <row r="2448" spans="11:12" x14ac:dyDescent="0.2">
      <c r="K2448" s="18"/>
      <c r="L2448" s="18"/>
    </row>
    <row r="2449" spans="11:12" x14ac:dyDescent="0.2">
      <c r="K2449" s="18"/>
      <c r="L2449" s="18"/>
    </row>
    <row r="2450" spans="11:12" x14ac:dyDescent="0.2">
      <c r="K2450" s="18"/>
      <c r="L2450" s="18"/>
    </row>
    <row r="2451" spans="11:12" x14ac:dyDescent="0.2">
      <c r="K2451" s="18"/>
      <c r="L2451" s="18"/>
    </row>
    <row r="2452" spans="11:12" x14ac:dyDescent="0.2">
      <c r="K2452" s="18"/>
      <c r="L2452" s="18"/>
    </row>
    <row r="2453" spans="11:12" x14ac:dyDescent="0.2">
      <c r="K2453" s="18"/>
      <c r="L2453" s="18"/>
    </row>
    <row r="2454" spans="11:12" x14ac:dyDescent="0.2">
      <c r="K2454" s="18"/>
      <c r="L2454" s="18"/>
    </row>
    <row r="2455" spans="11:12" x14ac:dyDescent="0.2">
      <c r="K2455" s="18"/>
      <c r="L2455" s="18"/>
    </row>
    <row r="2456" spans="11:12" x14ac:dyDescent="0.2">
      <c r="K2456" s="18"/>
      <c r="L2456" s="18"/>
    </row>
    <row r="2457" spans="11:12" x14ac:dyDescent="0.2">
      <c r="K2457" s="18"/>
      <c r="L2457" s="18"/>
    </row>
    <row r="2458" spans="11:12" x14ac:dyDescent="0.2">
      <c r="K2458" s="18"/>
      <c r="L2458" s="18"/>
    </row>
    <row r="2459" spans="11:12" x14ac:dyDescent="0.2">
      <c r="K2459" s="18"/>
      <c r="L2459" s="18"/>
    </row>
    <row r="2460" spans="11:12" x14ac:dyDescent="0.2">
      <c r="K2460" s="18"/>
      <c r="L2460" s="18"/>
    </row>
    <row r="2461" spans="11:12" x14ac:dyDescent="0.2">
      <c r="K2461" s="18"/>
      <c r="L2461" s="18"/>
    </row>
    <row r="2462" spans="11:12" x14ac:dyDescent="0.2">
      <c r="K2462" s="18"/>
      <c r="L2462" s="18"/>
    </row>
    <row r="2463" spans="11:12" x14ac:dyDescent="0.2">
      <c r="K2463" s="18"/>
      <c r="L2463" s="18"/>
    </row>
    <row r="2464" spans="11:12" x14ac:dyDescent="0.2">
      <c r="K2464" s="18"/>
      <c r="L2464" s="18"/>
    </row>
    <row r="2465" spans="11:12" x14ac:dyDescent="0.2">
      <c r="K2465" s="18"/>
      <c r="L2465" s="18"/>
    </row>
    <row r="2466" spans="11:12" x14ac:dyDescent="0.2">
      <c r="K2466" s="18"/>
      <c r="L2466" s="18"/>
    </row>
    <row r="2467" spans="11:12" x14ac:dyDescent="0.2">
      <c r="K2467" s="18"/>
      <c r="L2467" s="18"/>
    </row>
    <row r="2468" spans="11:12" x14ac:dyDescent="0.2">
      <c r="K2468" s="18"/>
      <c r="L2468" s="18"/>
    </row>
    <row r="2469" spans="11:12" x14ac:dyDescent="0.2">
      <c r="K2469" s="18"/>
      <c r="L2469" s="18"/>
    </row>
    <row r="2470" spans="11:12" x14ac:dyDescent="0.2">
      <c r="K2470" s="18"/>
      <c r="L2470" s="18"/>
    </row>
    <row r="2471" spans="11:12" x14ac:dyDescent="0.2">
      <c r="K2471" s="18"/>
      <c r="L2471" s="18"/>
    </row>
    <row r="2472" spans="11:12" x14ac:dyDescent="0.2">
      <c r="K2472" s="18"/>
      <c r="L2472" s="18"/>
    </row>
    <row r="2473" spans="11:12" x14ac:dyDescent="0.2">
      <c r="K2473" s="18"/>
      <c r="L2473" s="18"/>
    </row>
    <row r="2474" spans="11:12" x14ac:dyDescent="0.2">
      <c r="K2474" s="18"/>
      <c r="L2474" s="18"/>
    </row>
    <row r="2475" spans="11:12" x14ac:dyDescent="0.2">
      <c r="K2475" s="18"/>
      <c r="L2475" s="18"/>
    </row>
    <row r="2476" spans="11:12" x14ac:dyDescent="0.2">
      <c r="K2476" s="18"/>
      <c r="L2476" s="18"/>
    </row>
    <row r="2477" spans="11:12" x14ac:dyDescent="0.2">
      <c r="K2477" s="18"/>
      <c r="L2477" s="18"/>
    </row>
    <row r="2478" spans="11:12" x14ac:dyDescent="0.2">
      <c r="K2478" s="18"/>
      <c r="L2478" s="18"/>
    </row>
    <row r="2479" spans="11:12" x14ac:dyDescent="0.2">
      <c r="K2479" s="18"/>
      <c r="L2479" s="18"/>
    </row>
    <row r="2480" spans="11:12" x14ac:dyDescent="0.2">
      <c r="K2480" s="18"/>
      <c r="L2480" s="18"/>
    </row>
    <row r="2481" spans="11:12" x14ac:dyDescent="0.2">
      <c r="K2481" s="18"/>
      <c r="L2481" s="18"/>
    </row>
    <row r="2482" spans="11:12" x14ac:dyDescent="0.2">
      <c r="K2482" s="18"/>
      <c r="L2482" s="18"/>
    </row>
    <row r="2483" spans="11:12" x14ac:dyDescent="0.2">
      <c r="K2483" s="18"/>
      <c r="L2483" s="18"/>
    </row>
    <row r="2484" spans="11:12" x14ac:dyDescent="0.2">
      <c r="K2484" s="18"/>
      <c r="L2484" s="18"/>
    </row>
    <row r="2485" spans="11:12" x14ac:dyDescent="0.2">
      <c r="K2485" s="18"/>
      <c r="L2485" s="18"/>
    </row>
    <row r="2486" spans="11:12" x14ac:dyDescent="0.2">
      <c r="K2486" s="18"/>
      <c r="L2486" s="18"/>
    </row>
    <row r="2487" spans="11:12" x14ac:dyDescent="0.2">
      <c r="K2487" s="18"/>
      <c r="L2487" s="18"/>
    </row>
    <row r="2488" spans="11:12" x14ac:dyDescent="0.2">
      <c r="K2488" s="18"/>
      <c r="L2488" s="18"/>
    </row>
    <row r="2489" spans="11:12" x14ac:dyDescent="0.2">
      <c r="K2489" s="18"/>
      <c r="L2489" s="18"/>
    </row>
    <row r="2490" spans="11:12" x14ac:dyDescent="0.2">
      <c r="K2490" s="18"/>
      <c r="L2490" s="18"/>
    </row>
    <row r="2491" spans="11:12" x14ac:dyDescent="0.2">
      <c r="K2491" s="18"/>
      <c r="L2491" s="18"/>
    </row>
    <row r="2492" spans="11:12" x14ac:dyDescent="0.2">
      <c r="K2492" s="18"/>
      <c r="L2492" s="18"/>
    </row>
    <row r="2493" spans="11:12" x14ac:dyDescent="0.2">
      <c r="K2493" s="18"/>
      <c r="L2493" s="18"/>
    </row>
    <row r="2494" spans="11:12" x14ac:dyDescent="0.2">
      <c r="K2494" s="18"/>
      <c r="L2494" s="18"/>
    </row>
    <row r="2495" spans="11:12" x14ac:dyDescent="0.2">
      <c r="K2495" s="18"/>
      <c r="L2495" s="18"/>
    </row>
    <row r="2496" spans="11:12" x14ac:dyDescent="0.2">
      <c r="K2496" s="18"/>
      <c r="L2496" s="18"/>
    </row>
    <row r="2497" spans="11:12" x14ac:dyDescent="0.2">
      <c r="K2497" s="18"/>
      <c r="L2497" s="18"/>
    </row>
    <row r="2498" spans="11:12" x14ac:dyDescent="0.2">
      <c r="K2498" s="18"/>
      <c r="L2498" s="18"/>
    </row>
    <row r="2499" spans="11:12" x14ac:dyDescent="0.2">
      <c r="K2499" s="18"/>
      <c r="L2499" s="18"/>
    </row>
    <row r="2500" spans="11:12" x14ac:dyDescent="0.2">
      <c r="K2500" s="18"/>
      <c r="L2500" s="18"/>
    </row>
    <row r="2501" spans="11:12" x14ac:dyDescent="0.2">
      <c r="K2501" s="18"/>
      <c r="L2501" s="18"/>
    </row>
    <row r="2502" spans="11:12" x14ac:dyDescent="0.2">
      <c r="K2502" s="18"/>
      <c r="L2502" s="18"/>
    </row>
    <row r="2503" spans="11:12" x14ac:dyDescent="0.2">
      <c r="K2503" s="18"/>
      <c r="L2503" s="18"/>
    </row>
    <row r="2504" spans="11:12" x14ac:dyDescent="0.2">
      <c r="K2504" s="18"/>
      <c r="L2504" s="18"/>
    </row>
    <row r="2505" spans="11:12" x14ac:dyDescent="0.2">
      <c r="K2505" s="18"/>
      <c r="L2505" s="18"/>
    </row>
    <row r="2506" spans="11:12" x14ac:dyDescent="0.2">
      <c r="K2506" s="18"/>
      <c r="L2506" s="18"/>
    </row>
    <row r="2507" spans="11:12" x14ac:dyDescent="0.2">
      <c r="K2507" s="18"/>
      <c r="L2507" s="18"/>
    </row>
    <row r="2508" spans="11:12" x14ac:dyDescent="0.2">
      <c r="K2508" s="18"/>
      <c r="L2508" s="18"/>
    </row>
    <row r="2509" spans="11:12" x14ac:dyDescent="0.2">
      <c r="K2509" s="18"/>
      <c r="L2509" s="18"/>
    </row>
    <row r="2510" spans="11:12" x14ac:dyDescent="0.2">
      <c r="K2510" s="18"/>
      <c r="L2510" s="18"/>
    </row>
    <row r="2511" spans="11:12" x14ac:dyDescent="0.2">
      <c r="K2511" s="18"/>
      <c r="L2511" s="18"/>
    </row>
    <row r="2512" spans="11:12" x14ac:dyDescent="0.2">
      <c r="K2512" s="18"/>
      <c r="L2512" s="18"/>
    </row>
    <row r="2513" spans="11:12" x14ac:dyDescent="0.2">
      <c r="K2513" s="18"/>
      <c r="L2513" s="18"/>
    </row>
    <row r="2514" spans="11:12" x14ac:dyDescent="0.2">
      <c r="K2514" s="18"/>
      <c r="L2514" s="18"/>
    </row>
    <row r="2515" spans="11:12" x14ac:dyDescent="0.2">
      <c r="K2515" s="18"/>
      <c r="L2515" s="18"/>
    </row>
    <row r="2516" spans="11:12" x14ac:dyDescent="0.2">
      <c r="K2516" s="18"/>
      <c r="L2516" s="18"/>
    </row>
    <row r="2517" spans="11:12" x14ac:dyDescent="0.2">
      <c r="K2517" s="18"/>
      <c r="L2517" s="18"/>
    </row>
    <row r="2518" spans="11:12" x14ac:dyDescent="0.2">
      <c r="K2518" s="18"/>
      <c r="L2518" s="18"/>
    </row>
    <row r="2519" spans="11:12" x14ac:dyDescent="0.2">
      <c r="K2519" s="18"/>
      <c r="L2519" s="18"/>
    </row>
    <row r="2520" spans="11:12" x14ac:dyDescent="0.2">
      <c r="K2520" s="18"/>
      <c r="L2520" s="18"/>
    </row>
    <row r="2521" spans="11:12" x14ac:dyDescent="0.2">
      <c r="K2521" s="18"/>
      <c r="L2521" s="18"/>
    </row>
    <row r="2522" spans="11:12" x14ac:dyDescent="0.2">
      <c r="K2522" s="18"/>
      <c r="L2522" s="18"/>
    </row>
    <row r="2523" spans="11:12" x14ac:dyDescent="0.2">
      <c r="K2523" s="18"/>
      <c r="L2523" s="18"/>
    </row>
    <row r="2524" spans="11:12" x14ac:dyDescent="0.2">
      <c r="K2524" s="18"/>
      <c r="L2524" s="18"/>
    </row>
    <row r="2525" spans="11:12" x14ac:dyDescent="0.2">
      <c r="K2525" s="18"/>
      <c r="L2525" s="18"/>
    </row>
    <row r="2526" spans="11:12" x14ac:dyDescent="0.2">
      <c r="K2526" s="18"/>
      <c r="L2526" s="18"/>
    </row>
    <row r="2527" spans="11:12" x14ac:dyDescent="0.2">
      <c r="K2527" s="18"/>
      <c r="L2527" s="18"/>
    </row>
    <row r="2528" spans="11:12" x14ac:dyDescent="0.2">
      <c r="K2528" s="18"/>
      <c r="L2528" s="18"/>
    </row>
    <row r="2529" spans="11:12" x14ac:dyDescent="0.2">
      <c r="K2529" s="18"/>
      <c r="L2529" s="18"/>
    </row>
    <row r="2530" spans="11:12" x14ac:dyDescent="0.2">
      <c r="K2530" s="18"/>
      <c r="L2530" s="18"/>
    </row>
    <row r="2531" spans="11:12" x14ac:dyDescent="0.2">
      <c r="K2531" s="18"/>
      <c r="L2531" s="18"/>
    </row>
    <row r="2532" spans="11:12" x14ac:dyDescent="0.2">
      <c r="K2532" s="18"/>
      <c r="L2532" s="18"/>
    </row>
    <row r="2533" spans="11:12" x14ac:dyDescent="0.2">
      <c r="K2533" s="18"/>
      <c r="L2533" s="18"/>
    </row>
    <row r="2534" spans="11:12" x14ac:dyDescent="0.2">
      <c r="K2534" s="18"/>
      <c r="L2534" s="18"/>
    </row>
    <row r="2535" spans="11:12" x14ac:dyDescent="0.2">
      <c r="K2535" s="18"/>
      <c r="L2535" s="18"/>
    </row>
    <row r="2536" spans="11:12" x14ac:dyDescent="0.2">
      <c r="K2536" s="18"/>
      <c r="L2536" s="18"/>
    </row>
    <row r="2537" spans="11:12" x14ac:dyDescent="0.2">
      <c r="K2537" s="18"/>
      <c r="L2537" s="18"/>
    </row>
    <row r="2538" spans="11:12" x14ac:dyDescent="0.2">
      <c r="K2538" s="18"/>
      <c r="L2538" s="18"/>
    </row>
    <row r="2539" spans="11:12" x14ac:dyDescent="0.2">
      <c r="K2539" s="18"/>
      <c r="L2539" s="18"/>
    </row>
    <row r="2540" spans="11:12" x14ac:dyDescent="0.2">
      <c r="K2540" s="18"/>
      <c r="L2540" s="18"/>
    </row>
    <row r="2541" spans="11:12" x14ac:dyDescent="0.2">
      <c r="K2541" s="18"/>
      <c r="L2541" s="18"/>
    </row>
    <row r="2542" spans="11:12" x14ac:dyDescent="0.2">
      <c r="K2542" s="18"/>
      <c r="L2542" s="18"/>
    </row>
    <row r="2543" spans="11:12" x14ac:dyDescent="0.2">
      <c r="K2543" s="18"/>
      <c r="L2543" s="18"/>
    </row>
    <row r="2544" spans="11:12" x14ac:dyDescent="0.2">
      <c r="K2544" s="18"/>
      <c r="L2544" s="18"/>
    </row>
    <row r="2545" spans="11:12" x14ac:dyDescent="0.2">
      <c r="K2545" s="18"/>
      <c r="L2545" s="18"/>
    </row>
    <row r="2546" spans="11:12" x14ac:dyDescent="0.2">
      <c r="K2546" s="18"/>
      <c r="L2546" s="18"/>
    </row>
    <row r="2547" spans="11:12" x14ac:dyDescent="0.2">
      <c r="K2547" s="18"/>
      <c r="L2547" s="18"/>
    </row>
    <row r="2548" spans="11:12" x14ac:dyDescent="0.2">
      <c r="K2548" s="18"/>
      <c r="L2548" s="18"/>
    </row>
    <row r="2549" spans="11:12" x14ac:dyDescent="0.2">
      <c r="K2549" s="18"/>
      <c r="L2549" s="18"/>
    </row>
    <row r="2550" spans="11:12" x14ac:dyDescent="0.2">
      <c r="K2550" s="18"/>
      <c r="L2550" s="18"/>
    </row>
    <row r="2551" spans="11:12" x14ac:dyDescent="0.2">
      <c r="K2551" s="18"/>
      <c r="L2551" s="18"/>
    </row>
    <row r="2552" spans="11:12" x14ac:dyDescent="0.2">
      <c r="K2552" s="18"/>
      <c r="L2552" s="18"/>
    </row>
    <row r="2553" spans="11:12" x14ac:dyDescent="0.2">
      <c r="K2553" s="18"/>
      <c r="L2553" s="18"/>
    </row>
    <row r="2554" spans="11:12" x14ac:dyDescent="0.2">
      <c r="K2554" s="18"/>
      <c r="L2554" s="18"/>
    </row>
    <row r="2555" spans="11:12" x14ac:dyDescent="0.2">
      <c r="K2555" s="18"/>
      <c r="L2555" s="18"/>
    </row>
    <row r="2556" spans="11:12" x14ac:dyDescent="0.2">
      <c r="K2556" s="18"/>
      <c r="L2556" s="18"/>
    </row>
    <row r="2557" spans="11:12" x14ac:dyDescent="0.2">
      <c r="K2557" s="18"/>
      <c r="L2557" s="18"/>
    </row>
    <row r="2558" spans="11:12" x14ac:dyDescent="0.2">
      <c r="K2558" s="18"/>
      <c r="L2558" s="18"/>
    </row>
    <row r="2559" spans="11:12" x14ac:dyDescent="0.2">
      <c r="K2559" s="18"/>
      <c r="L2559" s="18"/>
    </row>
    <row r="2560" spans="11:12" x14ac:dyDescent="0.2">
      <c r="K2560" s="18"/>
      <c r="L2560" s="18"/>
    </row>
    <row r="2561" spans="11:12" x14ac:dyDescent="0.2">
      <c r="K2561" s="18"/>
      <c r="L2561" s="18"/>
    </row>
    <row r="2562" spans="11:12" x14ac:dyDescent="0.2">
      <c r="K2562" s="18"/>
      <c r="L2562" s="18"/>
    </row>
    <row r="2563" spans="11:12" x14ac:dyDescent="0.2">
      <c r="K2563" s="18"/>
      <c r="L2563" s="18"/>
    </row>
    <row r="2564" spans="11:12" x14ac:dyDescent="0.2">
      <c r="K2564" s="18"/>
      <c r="L2564" s="18"/>
    </row>
    <row r="2565" spans="11:12" x14ac:dyDescent="0.2">
      <c r="K2565" s="18"/>
      <c r="L2565" s="18"/>
    </row>
    <row r="2566" spans="11:12" x14ac:dyDescent="0.2">
      <c r="K2566" s="18"/>
      <c r="L2566" s="18"/>
    </row>
    <row r="2567" spans="11:12" x14ac:dyDescent="0.2">
      <c r="K2567" s="18"/>
      <c r="L2567" s="18"/>
    </row>
    <row r="2568" spans="11:12" x14ac:dyDescent="0.2">
      <c r="K2568" s="18"/>
      <c r="L2568" s="18"/>
    </row>
    <row r="2569" spans="11:12" x14ac:dyDescent="0.2">
      <c r="K2569" s="18"/>
      <c r="L2569" s="18"/>
    </row>
    <row r="2570" spans="11:12" x14ac:dyDescent="0.2">
      <c r="K2570" s="18"/>
      <c r="L2570" s="18"/>
    </row>
    <row r="2571" spans="11:12" x14ac:dyDescent="0.2">
      <c r="K2571" s="18"/>
      <c r="L2571" s="18"/>
    </row>
    <row r="2572" spans="11:12" x14ac:dyDescent="0.2">
      <c r="K2572" s="18"/>
      <c r="L2572" s="18"/>
    </row>
    <row r="2573" spans="11:12" x14ac:dyDescent="0.2">
      <c r="K2573" s="18"/>
      <c r="L2573" s="18"/>
    </row>
    <row r="2574" spans="11:12" x14ac:dyDescent="0.2">
      <c r="K2574" s="18"/>
      <c r="L2574" s="18"/>
    </row>
    <row r="2575" spans="11:12" x14ac:dyDescent="0.2">
      <c r="K2575" s="18"/>
      <c r="L2575" s="18"/>
    </row>
    <row r="2576" spans="11:12" x14ac:dyDescent="0.2">
      <c r="K2576" s="18"/>
      <c r="L2576" s="18"/>
    </row>
    <row r="2577" spans="11:12" x14ac:dyDescent="0.2">
      <c r="K2577" s="18"/>
      <c r="L2577" s="18"/>
    </row>
    <row r="2578" spans="11:12" x14ac:dyDescent="0.2">
      <c r="K2578" s="18"/>
      <c r="L2578" s="18"/>
    </row>
    <row r="2579" spans="11:12" x14ac:dyDescent="0.2">
      <c r="K2579" s="18"/>
      <c r="L2579" s="18"/>
    </row>
    <row r="2580" spans="11:12" x14ac:dyDescent="0.2">
      <c r="K2580" s="18"/>
      <c r="L2580" s="18"/>
    </row>
    <row r="2581" spans="11:12" x14ac:dyDescent="0.2">
      <c r="K2581" s="18"/>
      <c r="L2581" s="18"/>
    </row>
    <row r="2582" spans="11:12" x14ac:dyDescent="0.2">
      <c r="K2582" s="18"/>
      <c r="L2582" s="18"/>
    </row>
    <row r="2583" spans="11:12" x14ac:dyDescent="0.2">
      <c r="K2583" s="18"/>
      <c r="L2583" s="18"/>
    </row>
    <row r="2584" spans="11:12" x14ac:dyDescent="0.2">
      <c r="K2584" s="18"/>
      <c r="L2584" s="18"/>
    </row>
    <row r="2585" spans="11:12" x14ac:dyDescent="0.2">
      <c r="K2585" s="18"/>
      <c r="L2585" s="18"/>
    </row>
    <row r="2586" spans="11:12" x14ac:dyDescent="0.2">
      <c r="K2586" s="18"/>
      <c r="L2586" s="18"/>
    </row>
    <row r="2587" spans="11:12" x14ac:dyDescent="0.2">
      <c r="K2587" s="18"/>
      <c r="L2587" s="18"/>
    </row>
    <row r="2588" spans="11:12" x14ac:dyDescent="0.2">
      <c r="K2588" s="18"/>
      <c r="L2588" s="18"/>
    </row>
    <row r="2589" spans="11:12" x14ac:dyDescent="0.2">
      <c r="K2589" s="18"/>
      <c r="L2589" s="18"/>
    </row>
    <row r="2590" spans="11:12" x14ac:dyDescent="0.2">
      <c r="K2590" s="18"/>
      <c r="L2590" s="18"/>
    </row>
    <row r="2591" spans="11:12" x14ac:dyDescent="0.2">
      <c r="K2591" s="18"/>
      <c r="L2591" s="18"/>
    </row>
    <row r="2592" spans="11:12" x14ac:dyDescent="0.2">
      <c r="K2592" s="18"/>
      <c r="L2592" s="18"/>
    </row>
    <row r="2593" spans="11:12" x14ac:dyDescent="0.2">
      <c r="K2593" s="18"/>
      <c r="L2593" s="18"/>
    </row>
    <row r="2594" spans="11:12" x14ac:dyDescent="0.2">
      <c r="K2594" s="18"/>
      <c r="L2594" s="18"/>
    </row>
    <row r="2595" spans="11:12" x14ac:dyDescent="0.2">
      <c r="K2595" s="18"/>
      <c r="L2595" s="18"/>
    </row>
    <row r="2596" spans="11:12" x14ac:dyDescent="0.2">
      <c r="K2596" s="18"/>
      <c r="L2596" s="18"/>
    </row>
    <row r="2597" spans="11:12" x14ac:dyDescent="0.2">
      <c r="K2597" s="18"/>
      <c r="L2597" s="18"/>
    </row>
    <row r="2598" spans="11:12" x14ac:dyDescent="0.2">
      <c r="K2598" s="18"/>
      <c r="L2598" s="18"/>
    </row>
    <row r="2599" spans="11:12" x14ac:dyDescent="0.2">
      <c r="K2599" s="18"/>
      <c r="L2599" s="18"/>
    </row>
    <row r="2600" spans="11:12" x14ac:dyDescent="0.2">
      <c r="K2600" s="18"/>
      <c r="L2600" s="18"/>
    </row>
    <row r="2601" spans="11:12" x14ac:dyDescent="0.2">
      <c r="K2601" s="18"/>
      <c r="L2601" s="18"/>
    </row>
    <row r="2602" spans="11:12" x14ac:dyDescent="0.2">
      <c r="K2602" s="18"/>
      <c r="L2602" s="18"/>
    </row>
    <row r="2603" spans="11:12" x14ac:dyDescent="0.2">
      <c r="K2603" s="18"/>
      <c r="L2603" s="18"/>
    </row>
    <row r="2604" spans="11:12" x14ac:dyDescent="0.2">
      <c r="K2604" s="18"/>
      <c r="L2604" s="18"/>
    </row>
    <row r="2605" spans="11:12" x14ac:dyDescent="0.2">
      <c r="K2605" s="18"/>
      <c r="L2605" s="18"/>
    </row>
    <row r="2606" spans="11:12" x14ac:dyDescent="0.2">
      <c r="K2606" s="18"/>
      <c r="L2606" s="18"/>
    </row>
    <row r="2607" spans="11:12" x14ac:dyDescent="0.2">
      <c r="K2607" s="18"/>
      <c r="L2607" s="18"/>
    </row>
    <row r="2608" spans="11:12" x14ac:dyDescent="0.2">
      <c r="K2608" s="18"/>
      <c r="L2608" s="18"/>
    </row>
    <row r="2609" spans="11:12" x14ac:dyDescent="0.2">
      <c r="K2609" s="18"/>
      <c r="L2609" s="18"/>
    </row>
    <row r="2610" spans="11:12" x14ac:dyDescent="0.2">
      <c r="K2610" s="18"/>
      <c r="L2610" s="18"/>
    </row>
    <row r="2611" spans="11:12" x14ac:dyDescent="0.2">
      <c r="K2611" s="18"/>
      <c r="L2611" s="18"/>
    </row>
    <row r="2612" spans="11:12" x14ac:dyDescent="0.2">
      <c r="K2612" s="18"/>
      <c r="L2612" s="18"/>
    </row>
    <row r="2613" spans="11:12" x14ac:dyDescent="0.2">
      <c r="K2613" s="18"/>
      <c r="L2613" s="18"/>
    </row>
    <row r="2614" spans="11:12" x14ac:dyDescent="0.2">
      <c r="K2614" s="18"/>
      <c r="L2614" s="18"/>
    </row>
    <row r="2615" spans="11:12" x14ac:dyDescent="0.2">
      <c r="K2615" s="18"/>
      <c r="L2615" s="18"/>
    </row>
    <row r="2616" spans="11:12" x14ac:dyDescent="0.2">
      <c r="K2616" s="18"/>
      <c r="L2616" s="18"/>
    </row>
    <row r="2617" spans="11:12" x14ac:dyDescent="0.2">
      <c r="K2617" s="18"/>
      <c r="L2617" s="18"/>
    </row>
    <row r="2618" spans="11:12" x14ac:dyDescent="0.2">
      <c r="K2618" s="18"/>
      <c r="L2618" s="18"/>
    </row>
    <row r="2619" spans="11:12" x14ac:dyDescent="0.2">
      <c r="K2619" s="18"/>
      <c r="L2619" s="18"/>
    </row>
    <row r="2620" spans="11:12" x14ac:dyDescent="0.2">
      <c r="K2620" s="18"/>
      <c r="L2620" s="18"/>
    </row>
    <row r="2621" spans="11:12" x14ac:dyDescent="0.2">
      <c r="K2621" s="18"/>
      <c r="L2621" s="18"/>
    </row>
    <row r="2622" spans="11:12" x14ac:dyDescent="0.2">
      <c r="K2622" s="18"/>
      <c r="L2622" s="18"/>
    </row>
    <row r="2623" spans="11:12" x14ac:dyDescent="0.2">
      <c r="K2623" s="18"/>
      <c r="L2623" s="18"/>
    </row>
    <row r="2624" spans="11:12" x14ac:dyDescent="0.2">
      <c r="K2624" s="18"/>
      <c r="L2624" s="18"/>
    </row>
    <row r="2625" spans="11:12" x14ac:dyDescent="0.2">
      <c r="K2625" s="18"/>
      <c r="L2625" s="18"/>
    </row>
    <row r="2626" spans="11:12" x14ac:dyDescent="0.2">
      <c r="K2626" s="18"/>
      <c r="L2626" s="18"/>
    </row>
    <row r="2627" spans="11:12" x14ac:dyDescent="0.2">
      <c r="K2627" s="18"/>
      <c r="L2627" s="18"/>
    </row>
    <row r="2628" spans="11:12" x14ac:dyDescent="0.2">
      <c r="K2628" s="18"/>
      <c r="L2628" s="18"/>
    </row>
    <row r="2629" spans="11:12" x14ac:dyDescent="0.2">
      <c r="K2629" s="18"/>
      <c r="L2629" s="18"/>
    </row>
    <row r="2630" spans="11:12" x14ac:dyDescent="0.2">
      <c r="K2630" s="18"/>
      <c r="L2630" s="18"/>
    </row>
    <row r="2631" spans="11:12" x14ac:dyDescent="0.2">
      <c r="K2631" s="18"/>
      <c r="L2631" s="18"/>
    </row>
    <row r="2632" spans="11:12" x14ac:dyDescent="0.2">
      <c r="K2632" s="18"/>
      <c r="L2632" s="18"/>
    </row>
    <row r="2633" spans="11:12" x14ac:dyDescent="0.2">
      <c r="K2633" s="18"/>
      <c r="L2633" s="18"/>
    </row>
    <row r="2634" spans="11:12" x14ac:dyDescent="0.2">
      <c r="K2634" s="18"/>
      <c r="L2634" s="18"/>
    </row>
    <row r="2635" spans="11:12" x14ac:dyDescent="0.2">
      <c r="K2635" s="18"/>
      <c r="L2635" s="18"/>
    </row>
    <row r="2636" spans="11:12" x14ac:dyDescent="0.2">
      <c r="K2636" s="18"/>
      <c r="L2636" s="18"/>
    </row>
    <row r="2637" spans="11:12" x14ac:dyDescent="0.2">
      <c r="K2637" s="18"/>
      <c r="L2637" s="18"/>
    </row>
    <row r="2638" spans="11:12" x14ac:dyDescent="0.2">
      <c r="K2638" s="18"/>
      <c r="L2638" s="18"/>
    </row>
    <row r="2639" spans="11:12" x14ac:dyDescent="0.2">
      <c r="K2639" s="18"/>
      <c r="L2639" s="18"/>
    </row>
    <row r="2640" spans="11:12" x14ac:dyDescent="0.2">
      <c r="K2640" s="18"/>
      <c r="L2640" s="18"/>
    </row>
    <row r="2641" spans="11:12" x14ac:dyDescent="0.2">
      <c r="K2641" s="18"/>
      <c r="L2641" s="18"/>
    </row>
    <row r="2642" spans="11:12" x14ac:dyDescent="0.2">
      <c r="K2642" s="18"/>
      <c r="L2642" s="18"/>
    </row>
    <row r="2643" spans="11:12" x14ac:dyDescent="0.2">
      <c r="K2643" s="18"/>
      <c r="L2643" s="18"/>
    </row>
    <row r="2644" spans="11:12" x14ac:dyDescent="0.2">
      <c r="K2644" s="18"/>
      <c r="L2644" s="18"/>
    </row>
    <row r="2645" spans="11:12" x14ac:dyDescent="0.2">
      <c r="K2645" s="18"/>
      <c r="L2645" s="18"/>
    </row>
    <row r="2646" spans="11:12" x14ac:dyDescent="0.2">
      <c r="K2646" s="18"/>
      <c r="L2646" s="18"/>
    </row>
  </sheetData>
  <mergeCells count="6">
    <mergeCell ref="K32:N32"/>
    <mergeCell ref="J29:K29"/>
    <mergeCell ref="M29:N29"/>
    <mergeCell ref="H3:H4"/>
    <mergeCell ref="H5:H6"/>
    <mergeCell ref="C2:F2"/>
  </mergeCells>
  <conditionalFormatting sqref="D31:H31">
    <cfRule type="cellIs" dxfId="14" priority="14" operator="equal">
      <formula>"FAIL"</formula>
    </cfRule>
    <cfRule type="cellIs" dxfId="13" priority="15" operator="equal">
      <formula>"PASS"</formula>
    </cfRule>
  </conditionalFormatting>
  <conditionalFormatting sqref="F6 D31:G31">
    <cfRule type="cellIs" dxfId="12" priority="11" operator="equal">
      <formula>"NO SALES"</formula>
    </cfRule>
  </conditionalFormatting>
  <conditionalFormatting sqref="F6">
    <cfRule type="cellIs" dxfId="11" priority="10" operator="equal">
      <formula>"END BEFORE START"</formula>
    </cfRule>
    <cfRule type="cellIs" dxfId="10" priority="12" operator="equal">
      <formula>"FAIL"</formula>
    </cfRule>
    <cfRule type="cellIs" dxfId="9" priority="13" operator="equal">
      <formula>"PASS"</formula>
    </cfRule>
  </conditionalFormatting>
  <conditionalFormatting sqref="I35 I37">
    <cfRule type="cellIs" dxfId="8" priority="5" operator="equal">
      <formula>"FAIL"</formula>
    </cfRule>
    <cfRule type="cellIs" dxfId="7" priority="6" operator="equal">
      <formula>"PASS"</formula>
    </cfRule>
  </conditionalFormatting>
  <conditionalFormatting sqref="J4">
    <cfRule type="cellIs" dxfId="6" priority="8" operator="equal">
      <formula>"unconverted ingredient"</formula>
    </cfRule>
  </conditionalFormatting>
  <conditionalFormatting sqref="J4:J5">
    <cfRule type="cellIs" dxfId="5" priority="9" operator="equal">
      <formula>"OK"</formula>
    </cfRule>
  </conditionalFormatting>
  <conditionalFormatting sqref="J5">
    <cfRule type="cellIs" dxfId="4" priority="7" operator="equal">
      <formula>"unconverted recipe"</formula>
    </cfRule>
  </conditionalFormatting>
  <conditionalFormatting sqref="O36:P55">
    <cfRule type="containsErrors" dxfId="3" priority="3">
      <formula>ISERROR(O36)</formula>
    </cfRule>
    <cfRule type="cellIs" dxfId="2" priority="4" operator="equal">
      <formula>"NA()"</formula>
    </cfRule>
  </conditionalFormatting>
  <conditionalFormatting sqref="D79:D97">
    <cfRule type="containsErrors" dxfId="1" priority="2">
      <formula>ISERROR(D79)</formula>
    </cfRule>
  </conditionalFormatting>
  <conditionalFormatting sqref="E79:E96">
    <cfRule type="containsErrors" dxfId="0" priority="1">
      <formula>ISERROR(E79)</formula>
    </cfRule>
  </conditionalFormatting>
  <dataValidations count="2">
    <dataValidation allowBlank="1" showInputMessage="1" showErrorMessage="1" promptTitle="location" sqref="E3 C4" xr:uid="{95DDA829-D034-DE4A-BB23-0707E71CD12D}"/>
    <dataValidation type="list" allowBlank="1" showInputMessage="1" showErrorMessage="1" sqref="K33" xr:uid="{E6D22A46-5A8B-5B4C-B8FA-C6940DD15E04}">
      <formula1>$C$9:$C$26</formula1>
    </dataValidation>
  </dataValidations>
  <pageMargins left="0.7" right="0.7" top="0.75" bottom="0.75" header="0.3" footer="0.3"/>
  <pageSetup pageOrder="overThenDown" orientation="landscape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Lists!$G$2:$G$21</xm:f>
          </x14:formula1>
          <xm:sqref>C5:C6</xm:sqref>
        </x14:dataValidation>
        <x14:dataValidation type="list" allowBlank="1" showInputMessage="1" showErrorMessage="1" promptTitle="Location" xr:uid="{0505ED47-D1D0-FA48-B74F-0A5707E15EED}">
          <x14:formula1>
            <xm:f>Lists!$A$2:$A$9</xm:f>
          </x14:formula1>
          <xm:sqref>C3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>
      <selection activeCell="O22" sqref="O22"/>
    </sheetView>
  </sheetViews>
  <sheetFormatPr baseColWidth="10" defaultRowHeight="16" x14ac:dyDescent="0.2"/>
  <sheetData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D1" s="12"/>
    </row>
    <row r="2" spans="2:9" s="12" customFormat="1" ht="34" x14ac:dyDescent="0.2">
      <c r="B2" s="12" t="s">
        <v>191</v>
      </c>
      <c r="D2" s="12" t="s">
        <v>192</v>
      </c>
    </row>
    <row r="3" spans="2:9" ht="17" x14ac:dyDescent="0.2">
      <c r="B3" s="33" t="s">
        <v>17</v>
      </c>
      <c r="C3" s="33" t="s">
        <v>2</v>
      </c>
      <c r="D3" s="33" t="s">
        <v>18</v>
      </c>
      <c r="E3" s="33" t="s">
        <v>19</v>
      </c>
      <c r="F3" s="33" t="s">
        <v>20</v>
      </c>
      <c r="G3" s="33" t="s">
        <v>189</v>
      </c>
      <c r="H3" s="33" t="s">
        <v>190</v>
      </c>
      <c r="I3" s="33" t="s">
        <v>166</v>
      </c>
    </row>
    <row r="4" spans="2:9" ht="17" x14ac:dyDescent="0.2">
      <c r="B4" s="3" t="s">
        <v>24</v>
      </c>
      <c r="C4" s="3" t="s">
        <v>7</v>
      </c>
      <c r="D4" s="3" t="s">
        <v>25</v>
      </c>
      <c r="E4" s="3">
        <v>131</v>
      </c>
      <c r="F4" s="3" t="s">
        <v>167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21</v>
      </c>
      <c r="C5" s="3" t="s">
        <v>9</v>
      </c>
      <c r="D5" s="3" t="s">
        <v>22</v>
      </c>
      <c r="E5" s="3">
        <v>2637</v>
      </c>
      <c r="F5" s="3" t="s">
        <v>168</v>
      </c>
      <c r="G5" s="36">
        <v>6238295.5</v>
      </c>
      <c r="H5" s="36">
        <f>raw_menu_engineering!N3</f>
        <v>6238295.5</v>
      </c>
      <c r="I5" s="37">
        <f>G5-H5</f>
        <v>0</v>
      </c>
    </row>
    <row r="6" spans="2:9" ht="17" x14ac:dyDescent="0.2">
      <c r="B6" s="3" t="s">
        <v>26</v>
      </c>
      <c r="C6" s="3" t="s">
        <v>11</v>
      </c>
      <c r="D6" s="3" t="s">
        <v>22</v>
      </c>
      <c r="E6" s="3">
        <v>8015</v>
      </c>
      <c r="F6" s="3" t="s">
        <v>169</v>
      </c>
      <c r="G6" s="36">
        <v>1577342.2175000052</v>
      </c>
      <c r="H6" s="36">
        <f>raw_location_price_variance!N3</f>
        <v>1577342.2175000052</v>
      </c>
      <c r="I6" s="37">
        <f>G6-H6</f>
        <v>0</v>
      </c>
    </row>
    <row r="7" spans="2:9" ht="17" x14ac:dyDescent="0.2">
      <c r="B7" s="3" t="s">
        <v>27</v>
      </c>
      <c r="C7" s="3" t="s">
        <v>12</v>
      </c>
      <c r="D7" s="3" t="s">
        <v>22</v>
      </c>
      <c r="E7" s="3">
        <v>160</v>
      </c>
      <c r="F7" s="3" t="s">
        <v>170</v>
      </c>
      <c r="G7" s="36">
        <v>6238295.5</v>
      </c>
      <c r="H7" s="36">
        <f>raw_location_month_performance!D164</f>
        <v>6238295.5</v>
      </c>
      <c r="I7" s="37">
        <f>G7-H7</f>
        <v>0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13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28</v>
      </c>
      <c r="B1" s="15" t="s">
        <v>29</v>
      </c>
      <c r="C1" s="10" t="s">
        <v>30</v>
      </c>
      <c r="D1" s="15" t="s">
        <v>31</v>
      </c>
      <c r="E1" s="15" t="s">
        <v>32</v>
      </c>
      <c r="F1" s="17" t="s">
        <v>33</v>
      </c>
      <c r="G1" s="17" t="s">
        <v>34</v>
      </c>
      <c r="H1" s="17" t="s">
        <v>35</v>
      </c>
      <c r="I1" s="19" t="s">
        <v>36</v>
      </c>
      <c r="J1" s="21" t="s">
        <v>37</v>
      </c>
      <c r="K1" s="17" t="s">
        <v>38</v>
      </c>
      <c r="L1" s="10" t="s">
        <v>171</v>
      </c>
    </row>
    <row r="2" spans="1:14" x14ac:dyDescent="0.2">
      <c r="A2">
        <v>1</v>
      </c>
      <c r="B2" s="16" t="s">
        <v>39</v>
      </c>
      <c r="C2">
        <v>1</v>
      </c>
      <c r="D2" s="16" t="s">
        <v>40</v>
      </c>
      <c r="E2" s="16" t="s">
        <v>41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186</v>
      </c>
    </row>
    <row r="3" spans="1:14" x14ac:dyDescent="0.2">
      <c r="A3">
        <v>1</v>
      </c>
      <c r="B3" s="16" t="s">
        <v>39</v>
      </c>
      <c r="C3">
        <v>2</v>
      </c>
      <c r="D3" s="16" t="s">
        <v>42</v>
      </c>
      <c r="E3" s="16" t="s">
        <v>41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39</v>
      </c>
      <c r="C4">
        <v>3</v>
      </c>
      <c r="D4" s="16" t="s">
        <v>43</v>
      </c>
      <c r="E4" s="16" t="s">
        <v>41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39</v>
      </c>
      <c r="C5">
        <v>4</v>
      </c>
      <c r="D5" s="16" t="s">
        <v>44</v>
      </c>
      <c r="E5" s="16" t="s">
        <v>41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39</v>
      </c>
      <c r="C6">
        <v>5</v>
      </c>
      <c r="D6" s="16" t="s">
        <v>45</v>
      </c>
      <c r="E6" s="16" t="s">
        <v>41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39</v>
      </c>
      <c r="C7">
        <v>6</v>
      </c>
      <c r="D7" s="16" t="s">
        <v>46</v>
      </c>
      <c r="E7" s="16" t="s">
        <v>41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39</v>
      </c>
      <c r="C8">
        <v>7</v>
      </c>
      <c r="D8" s="16" t="s">
        <v>47</v>
      </c>
      <c r="E8" s="16" t="s">
        <v>41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39</v>
      </c>
      <c r="C9">
        <v>8</v>
      </c>
      <c r="D9" s="16" t="s">
        <v>48</v>
      </c>
      <c r="E9" s="16" t="s">
        <v>41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39</v>
      </c>
      <c r="C10">
        <v>9</v>
      </c>
      <c r="D10" s="16" t="s">
        <v>49</v>
      </c>
      <c r="E10" s="16" t="s">
        <v>41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39</v>
      </c>
      <c r="C11">
        <v>11</v>
      </c>
      <c r="D11" s="16" t="s">
        <v>50</v>
      </c>
      <c r="E11" s="16" t="s">
        <v>41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39</v>
      </c>
      <c r="C12">
        <v>12</v>
      </c>
      <c r="D12" s="16" t="s">
        <v>51</v>
      </c>
      <c r="E12" s="16" t="s">
        <v>41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39</v>
      </c>
      <c r="C13">
        <v>13</v>
      </c>
      <c r="D13" s="16" t="s">
        <v>52</v>
      </c>
      <c r="E13" s="16" t="s">
        <v>41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39</v>
      </c>
      <c r="C14">
        <v>14</v>
      </c>
      <c r="D14" s="16" t="s">
        <v>53</v>
      </c>
      <c r="E14" s="16" t="s">
        <v>41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39</v>
      </c>
      <c r="C15">
        <v>15</v>
      </c>
      <c r="D15" s="16" t="s">
        <v>54</v>
      </c>
      <c r="E15" s="16" t="s">
        <v>41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39</v>
      </c>
      <c r="C16">
        <v>16</v>
      </c>
      <c r="D16" s="16" t="s">
        <v>55</v>
      </c>
      <c r="E16" s="16" t="s">
        <v>41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39</v>
      </c>
      <c r="C17">
        <v>17</v>
      </c>
      <c r="D17" s="16" t="s">
        <v>56</v>
      </c>
      <c r="E17" s="16" t="s">
        <v>41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39</v>
      </c>
      <c r="C18">
        <v>18</v>
      </c>
      <c r="D18" s="16" t="s">
        <v>57</v>
      </c>
      <c r="E18" s="16" t="s">
        <v>41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58</v>
      </c>
      <c r="C19">
        <v>1</v>
      </c>
      <c r="D19" s="16" t="s">
        <v>40</v>
      </c>
      <c r="E19" s="16" t="s">
        <v>41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58</v>
      </c>
      <c r="C20">
        <v>2</v>
      </c>
      <c r="D20" s="16" t="s">
        <v>42</v>
      </c>
      <c r="E20" s="16" t="s">
        <v>41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58</v>
      </c>
      <c r="C21">
        <v>3</v>
      </c>
      <c r="D21" s="16" t="s">
        <v>43</v>
      </c>
      <c r="E21" s="16" t="s">
        <v>41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58</v>
      </c>
      <c r="C22">
        <v>4</v>
      </c>
      <c r="D22" s="16" t="s">
        <v>44</v>
      </c>
      <c r="E22" s="16" t="s">
        <v>41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58</v>
      </c>
      <c r="C23">
        <v>6</v>
      </c>
      <c r="D23" s="16" t="s">
        <v>46</v>
      </c>
      <c r="E23" s="16" t="s">
        <v>41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58</v>
      </c>
      <c r="C24">
        <v>8</v>
      </c>
      <c r="D24" s="16" t="s">
        <v>48</v>
      </c>
      <c r="E24" s="16" t="s">
        <v>41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58</v>
      </c>
      <c r="C25">
        <v>10</v>
      </c>
      <c r="D25" s="16" t="s">
        <v>59</v>
      </c>
      <c r="E25" s="16" t="s">
        <v>41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58</v>
      </c>
      <c r="C26">
        <v>11</v>
      </c>
      <c r="D26" s="16" t="s">
        <v>50</v>
      </c>
      <c r="E26" s="16" t="s">
        <v>41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58</v>
      </c>
      <c r="C27">
        <v>12</v>
      </c>
      <c r="D27" s="16" t="s">
        <v>51</v>
      </c>
      <c r="E27" s="16" t="s">
        <v>41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58</v>
      </c>
      <c r="C28">
        <v>13</v>
      </c>
      <c r="D28" s="16" t="s">
        <v>52</v>
      </c>
      <c r="E28" s="16" t="s">
        <v>41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58</v>
      </c>
      <c r="C29">
        <v>14</v>
      </c>
      <c r="D29" s="16" t="s">
        <v>53</v>
      </c>
      <c r="E29" s="16" t="s">
        <v>41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58</v>
      </c>
      <c r="C30">
        <v>15</v>
      </c>
      <c r="D30" s="16" t="s">
        <v>54</v>
      </c>
      <c r="E30" s="16" t="s">
        <v>41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58</v>
      </c>
      <c r="C31">
        <v>16</v>
      </c>
      <c r="D31" s="16" t="s">
        <v>55</v>
      </c>
      <c r="E31" s="16" t="s">
        <v>41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58</v>
      </c>
      <c r="C32">
        <v>17</v>
      </c>
      <c r="D32" s="16" t="s">
        <v>56</v>
      </c>
      <c r="E32" s="16" t="s">
        <v>41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58</v>
      </c>
      <c r="C33">
        <v>18</v>
      </c>
      <c r="D33" s="16" t="s">
        <v>57</v>
      </c>
      <c r="E33" s="16" t="s">
        <v>41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60</v>
      </c>
      <c r="C34">
        <v>1</v>
      </c>
      <c r="D34" s="16" t="s">
        <v>40</v>
      </c>
      <c r="E34" s="16" t="s">
        <v>41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60</v>
      </c>
      <c r="C35">
        <v>2</v>
      </c>
      <c r="D35" s="16" t="s">
        <v>42</v>
      </c>
      <c r="E35" s="16" t="s">
        <v>41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60</v>
      </c>
      <c r="C36">
        <v>4</v>
      </c>
      <c r="D36" s="16" t="s">
        <v>44</v>
      </c>
      <c r="E36" s="16" t="s">
        <v>41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60</v>
      </c>
      <c r="C37">
        <v>6</v>
      </c>
      <c r="D37" s="16" t="s">
        <v>46</v>
      </c>
      <c r="E37" s="16" t="s">
        <v>41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60</v>
      </c>
      <c r="C38">
        <v>7</v>
      </c>
      <c r="D38" s="16" t="s">
        <v>47</v>
      </c>
      <c r="E38" s="16" t="s">
        <v>41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60</v>
      </c>
      <c r="C39">
        <v>9</v>
      </c>
      <c r="D39" s="16" t="s">
        <v>49</v>
      </c>
      <c r="E39" s="16" t="s">
        <v>41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60</v>
      </c>
      <c r="C40">
        <v>11</v>
      </c>
      <c r="D40" s="16" t="s">
        <v>50</v>
      </c>
      <c r="E40" s="16" t="s">
        <v>41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60</v>
      </c>
      <c r="C41">
        <v>12</v>
      </c>
      <c r="D41" s="16" t="s">
        <v>51</v>
      </c>
      <c r="E41" s="16" t="s">
        <v>41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60</v>
      </c>
      <c r="C42">
        <v>13</v>
      </c>
      <c r="D42" s="16" t="s">
        <v>52</v>
      </c>
      <c r="E42" s="16" t="s">
        <v>41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60</v>
      </c>
      <c r="C43">
        <v>14</v>
      </c>
      <c r="D43" s="16" t="s">
        <v>53</v>
      </c>
      <c r="E43" s="16" t="s">
        <v>41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60</v>
      </c>
      <c r="C44">
        <v>15</v>
      </c>
      <c r="D44" s="16" t="s">
        <v>54</v>
      </c>
      <c r="E44" s="16" t="s">
        <v>41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60</v>
      </c>
      <c r="C45">
        <v>16</v>
      </c>
      <c r="D45" s="16" t="s">
        <v>55</v>
      </c>
      <c r="E45" s="16" t="s">
        <v>41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60</v>
      </c>
      <c r="C46">
        <v>17</v>
      </c>
      <c r="D46" s="16" t="s">
        <v>56</v>
      </c>
      <c r="E46" s="16" t="s">
        <v>41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60</v>
      </c>
      <c r="C47">
        <v>18</v>
      </c>
      <c r="D47" s="16" t="s">
        <v>57</v>
      </c>
      <c r="E47" s="16" t="s">
        <v>41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61</v>
      </c>
      <c r="C48">
        <v>1</v>
      </c>
      <c r="D48" s="16" t="s">
        <v>40</v>
      </c>
      <c r="E48" s="16" t="s">
        <v>41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61</v>
      </c>
      <c r="C49">
        <v>2</v>
      </c>
      <c r="D49" s="16" t="s">
        <v>42</v>
      </c>
      <c r="E49" s="16" t="s">
        <v>41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61</v>
      </c>
      <c r="C50">
        <v>3</v>
      </c>
      <c r="D50" s="16" t="s">
        <v>43</v>
      </c>
      <c r="E50" s="16" t="s">
        <v>41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61</v>
      </c>
      <c r="C51">
        <v>5</v>
      </c>
      <c r="D51" s="16" t="s">
        <v>45</v>
      </c>
      <c r="E51" s="16" t="s">
        <v>41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61</v>
      </c>
      <c r="C52">
        <v>6</v>
      </c>
      <c r="D52" s="16" t="s">
        <v>46</v>
      </c>
      <c r="E52" s="16" t="s">
        <v>41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61</v>
      </c>
      <c r="C53">
        <v>8</v>
      </c>
      <c r="D53" s="16" t="s">
        <v>48</v>
      </c>
      <c r="E53" s="16" t="s">
        <v>41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61</v>
      </c>
      <c r="C54">
        <v>9</v>
      </c>
      <c r="D54" s="16" t="s">
        <v>49</v>
      </c>
      <c r="E54" s="16" t="s">
        <v>41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61</v>
      </c>
      <c r="C55">
        <v>10</v>
      </c>
      <c r="D55" s="16" t="s">
        <v>59</v>
      </c>
      <c r="E55" s="16" t="s">
        <v>41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61</v>
      </c>
      <c r="C56">
        <v>11</v>
      </c>
      <c r="D56" s="16" t="s">
        <v>50</v>
      </c>
      <c r="E56" s="16" t="s">
        <v>41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61</v>
      </c>
      <c r="C57">
        <v>12</v>
      </c>
      <c r="D57" s="16" t="s">
        <v>51</v>
      </c>
      <c r="E57" s="16" t="s">
        <v>41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61</v>
      </c>
      <c r="C58">
        <v>13</v>
      </c>
      <c r="D58" s="16" t="s">
        <v>52</v>
      </c>
      <c r="E58" s="16" t="s">
        <v>41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61</v>
      </c>
      <c r="C59">
        <v>14</v>
      </c>
      <c r="D59" s="16" t="s">
        <v>53</v>
      </c>
      <c r="E59" s="16" t="s">
        <v>41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61</v>
      </c>
      <c r="C60">
        <v>15</v>
      </c>
      <c r="D60" s="16" t="s">
        <v>54</v>
      </c>
      <c r="E60" s="16" t="s">
        <v>41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61</v>
      </c>
      <c r="C61">
        <v>16</v>
      </c>
      <c r="D61" s="16" t="s">
        <v>55</v>
      </c>
      <c r="E61" s="16" t="s">
        <v>41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61</v>
      </c>
      <c r="C62">
        <v>17</v>
      </c>
      <c r="D62" s="16" t="s">
        <v>56</v>
      </c>
      <c r="E62" s="16" t="s">
        <v>41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61</v>
      </c>
      <c r="C63">
        <v>18</v>
      </c>
      <c r="D63" s="16" t="s">
        <v>57</v>
      </c>
      <c r="E63" s="16" t="s">
        <v>41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62</v>
      </c>
      <c r="C64">
        <v>1</v>
      </c>
      <c r="D64" s="16" t="s">
        <v>40</v>
      </c>
      <c r="E64" s="16" t="s">
        <v>41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62</v>
      </c>
      <c r="C65">
        <v>2</v>
      </c>
      <c r="D65" s="16" t="s">
        <v>42</v>
      </c>
      <c r="E65" s="16" t="s">
        <v>41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62</v>
      </c>
      <c r="C66">
        <v>3</v>
      </c>
      <c r="D66" s="16" t="s">
        <v>43</v>
      </c>
      <c r="E66" s="16" t="s">
        <v>41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62</v>
      </c>
      <c r="C67">
        <v>4</v>
      </c>
      <c r="D67" s="16" t="s">
        <v>44</v>
      </c>
      <c r="E67" s="16" t="s">
        <v>41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62</v>
      </c>
      <c r="C68">
        <v>7</v>
      </c>
      <c r="D68" s="16" t="s">
        <v>47</v>
      </c>
      <c r="E68" s="16" t="s">
        <v>41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62</v>
      </c>
      <c r="C69">
        <v>8</v>
      </c>
      <c r="D69" s="16" t="s">
        <v>48</v>
      </c>
      <c r="E69" s="16" t="s">
        <v>41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62</v>
      </c>
      <c r="C70">
        <v>10</v>
      </c>
      <c r="D70" s="16" t="s">
        <v>59</v>
      </c>
      <c r="E70" s="16" t="s">
        <v>41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62</v>
      </c>
      <c r="C71">
        <v>11</v>
      </c>
      <c r="D71" s="16" t="s">
        <v>50</v>
      </c>
      <c r="E71" s="16" t="s">
        <v>41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62</v>
      </c>
      <c r="C72">
        <v>12</v>
      </c>
      <c r="D72" s="16" t="s">
        <v>51</v>
      </c>
      <c r="E72" s="16" t="s">
        <v>41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62</v>
      </c>
      <c r="C73">
        <v>13</v>
      </c>
      <c r="D73" s="16" t="s">
        <v>52</v>
      </c>
      <c r="E73" s="16" t="s">
        <v>41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62</v>
      </c>
      <c r="C74">
        <v>14</v>
      </c>
      <c r="D74" s="16" t="s">
        <v>53</v>
      </c>
      <c r="E74" s="16" t="s">
        <v>41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62</v>
      </c>
      <c r="C75">
        <v>15</v>
      </c>
      <c r="D75" s="16" t="s">
        <v>54</v>
      </c>
      <c r="E75" s="16" t="s">
        <v>41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62</v>
      </c>
      <c r="C76">
        <v>16</v>
      </c>
      <c r="D76" s="16" t="s">
        <v>55</v>
      </c>
      <c r="E76" s="16" t="s">
        <v>41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62</v>
      </c>
      <c r="C77">
        <v>17</v>
      </c>
      <c r="D77" s="16" t="s">
        <v>56</v>
      </c>
      <c r="E77" s="16" t="s">
        <v>41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62</v>
      </c>
      <c r="C78">
        <v>18</v>
      </c>
      <c r="D78" s="16" t="s">
        <v>57</v>
      </c>
      <c r="E78" s="16" t="s">
        <v>41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63</v>
      </c>
      <c r="C79">
        <v>1</v>
      </c>
      <c r="D79" s="16" t="s">
        <v>40</v>
      </c>
      <c r="E79" s="16" t="s">
        <v>41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63</v>
      </c>
      <c r="C80">
        <v>2</v>
      </c>
      <c r="D80" s="16" t="s">
        <v>42</v>
      </c>
      <c r="E80" s="16" t="s">
        <v>41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63</v>
      </c>
      <c r="C81">
        <v>3</v>
      </c>
      <c r="D81" s="16" t="s">
        <v>43</v>
      </c>
      <c r="E81" s="16" t="s">
        <v>41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63</v>
      </c>
      <c r="C82">
        <v>4</v>
      </c>
      <c r="D82" s="16" t="s">
        <v>44</v>
      </c>
      <c r="E82" s="16" t="s">
        <v>41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63</v>
      </c>
      <c r="C83">
        <v>5</v>
      </c>
      <c r="D83" s="16" t="s">
        <v>45</v>
      </c>
      <c r="E83" s="16" t="s">
        <v>41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63</v>
      </c>
      <c r="C84">
        <v>6</v>
      </c>
      <c r="D84" s="16" t="s">
        <v>46</v>
      </c>
      <c r="E84" s="16" t="s">
        <v>41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63</v>
      </c>
      <c r="C85">
        <v>7</v>
      </c>
      <c r="D85" s="16" t="s">
        <v>47</v>
      </c>
      <c r="E85" s="16" t="s">
        <v>41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63</v>
      </c>
      <c r="C86">
        <v>8</v>
      </c>
      <c r="D86" s="16" t="s">
        <v>48</v>
      </c>
      <c r="E86" s="16" t="s">
        <v>41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63</v>
      </c>
      <c r="C87">
        <v>9</v>
      </c>
      <c r="D87" s="16" t="s">
        <v>49</v>
      </c>
      <c r="E87" s="16" t="s">
        <v>41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63</v>
      </c>
      <c r="C88">
        <v>10</v>
      </c>
      <c r="D88" s="16" t="s">
        <v>59</v>
      </c>
      <c r="E88" s="16" t="s">
        <v>41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63</v>
      </c>
      <c r="C89">
        <v>11</v>
      </c>
      <c r="D89" s="16" t="s">
        <v>50</v>
      </c>
      <c r="E89" s="16" t="s">
        <v>41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63</v>
      </c>
      <c r="C90">
        <v>12</v>
      </c>
      <c r="D90" s="16" t="s">
        <v>51</v>
      </c>
      <c r="E90" s="16" t="s">
        <v>41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63</v>
      </c>
      <c r="C91">
        <v>13</v>
      </c>
      <c r="D91" s="16" t="s">
        <v>52</v>
      </c>
      <c r="E91" s="16" t="s">
        <v>41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63</v>
      </c>
      <c r="C92">
        <v>14</v>
      </c>
      <c r="D92" s="16" t="s">
        <v>53</v>
      </c>
      <c r="E92" s="16" t="s">
        <v>41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63</v>
      </c>
      <c r="C93">
        <v>15</v>
      </c>
      <c r="D93" s="16" t="s">
        <v>54</v>
      </c>
      <c r="E93" s="16" t="s">
        <v>41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63</v>
      </c>
      <c r="C94">
        <v>16</v>
      </c>
      <c r="D94" s="16" t="s">
        <v>55</v>
      </c>
      <c r="E94" s="16" t="s">
        <v>41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63</v>
      </c>
      <c r="C95">
        <v>17</v>
      </c>
      <c r="D95" s="16" t="s">
        <v>56</v>
      </c>
      <c r="E95" s="16" t="s">
        <v>41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63</v>
      </c>
      <c r="C96">
        <v>18</v>
      </c>
      <c r="D96" s="16" t="s">
        <v>57</v>
      </c>
      <c r="E96" s="16" t="s">
        <v>41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64</v>
      </c>
      <c r="C97">
        <v>1</v>
      </c>
      <c r="D97" s="16" t="s">
        <v>40</v>
      </c>
      <c r="E97" s="16" t="s">
        <v>41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64</v>
      </c>
      <c r="C98">
        <v>2</v>
      </c>
      <c r="D98" s="16" t="s">
        <v>42</v>
      </c>
      <c r="E98" s="16" t="s">
        <v>41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64</v>
      </c>
      <c r="C99">
        <v>3</v>
      </c>
      <c r="D99" s="16" t="s">
        <v>43</v>
      </c>
      <c r="E99" s="16" t="s">
        <v>41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64</v>
      </c>
      <c r="C100">
        <v>4</v>
      </c>
      <c r="D100" s="16" t="s">
        <v>44</v>
      </c>
      <c r="E100" s="16" t="s">
        <v>41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64</v>
      </c>
      <c r="C101">
        <v>5</v>
      </c>
      <c r="D101" s="16" t="s">
        <v>45</v>
      </c>
      <c r="E101" s="16" t="s">
        <v>41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64</v>
      </c>
      <c r="C102">
        <v>6</v>
      </c>
      <c r="D102" s="16" t="s">
        <v>46</v>
      </c>
      <c r="E102" s="16" t="s">
        <v>41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64</v>
      </c>
      <c r="C103">
        <v>7</v>
      </c>
      <c r="D103" s="16" t="s">
        <v>47</v>
      </c>
      <c r="E103" s="16" t="s">
        <v>41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64</v>
      </c>
      <c r="C104">
        <v>8</v>
      </c>
      <c r="D104" s="16" t="s">
        <v>48</v>
      </c>
      <c r="E104" s="16" t="s">
        <v>41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64</v>
      </c>
      <c r="C105">
        <v>9</v>
      </c>
      <c r="D105" s="16" t="s">
        <v>49</v>
      </c>
      <c r="E105" s="16" t="s">
        <v>41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64</v>
      </c>
      <c r="C106">
        <v>10</v>
      </c>
      <c r="D106" s="16" t="s">
        <v>59</v>
      </c>
      <c r="E106" s="16" t="s">
        <v>41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64</v>
      </c>
      <c r="C107">
        <v>11</v>
      </c>
      <c r="D107" s="16" t="s">
        <v>50</v>
      </c>
      <c r="E107" s="16" t="s">
        <v>41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64</v>
      </c>
      <c r="C108">
        <v>12</v>
      </c>
      <c r="D108" s="16" t="s">
        <v>51</v>
      </c>
      <c r="E108" s="16" t="s">
        <v>41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64</v>
      </c>
      <c r="C109">
        <v>13</v>
      </c>
      <c r="D109" s="16" t="s">
        <v>52</v>
      </c>
      <c r="E109" s="16" t="s">
        <v>41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64</v>
      </c>
      <c r="C110">
        <v>14</v>
      </c>
      <c r="D110" s="16" t="s">
        <v>53</v>
      </c>
      <c r="E110" s="16" t="s">
        <v>41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64</v>
      </c>
      <c r="C111">
        <v>15</v>
      </c>
      <c r="D111" s="16" t="s">
        <v>54</v>
      </c>
      <c r="E111" s="16" t="s">
        <v>41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64</v>
      </c>
      <c r="C112">
        <v>16</v>
      </c>
      <c r="D112" s="16" t="s">
        <v>55</v>
      </c>
      <c r="E112" s="16" t="s">
        <v>41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64</v>
      </c>
      <c r="C113">
        <v>17</v>
      </c>
      <c r="D113" s="16" t="s">
        <v>56</v>
      </c>
      <c r="E113" s="16" t="s">
        <v>41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64</v>
      </c>
      <c r="C114">
        <v>18</v>
      </c>
      <c r="D114" s="16" t="s">
        <v>57</v>
      </c>
      <c r="E114" s="16" t="s">
        <v>41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65</v>
      </c>
      <c r="C115">
        <v>1</v>
      </c>
      <c r="D115" s="16" t="s">
        <v>40</v>
      </c>
      <c r="E115" s="16" t="s">
        <v>41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65</v>
      </c>
      <c r="C116">
        <v>2</v>
      </c>
      <c r="D116" s="16" t="s">
        <v>42</v>
      </c>
      <c r="E116" s="16" t="s">
        <v>41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65</v>
      </c>
      <c r="C117">
        <v>3</v>
      </c>
      <c r="D117" s="16" t="s">
        <v>43</v>
      </c>
      <c r="E117" s="16" t="s">
        <v>41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65</v>
      </c>
      <c r="C118">
        <v>4</v>
      </c>
      <c r="D118" s="16" t="s">
        <v>44</v>
      </c>
      <c r="E118" s="16" t="s">
        <v>41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65</v>
      </c>
      <c r="C119">
        <v>5</v>
      </c>
      <c r="D119" s="16" t="s">
        <v>45</v>
      </c>
      <c r="E119" s="16" t="s">
        <v>41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65</v>
      </c>
      <c r="C120">
        <v>6</v>
      </c>
      <c r="D120" s="16" t="s">
        <v>46</v>
      </c>
      <c r="E120" s="16" t="s">
        <v>41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65</v>
      </c>
      <c r="C121">
        <v>7</v>
      </c>
      <c r="D121" s="16" t="s">
        <v>47</v>
      </c>
      <c r="E121" s="16" t="s">
        <v>41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65</v>
      </c>
      <c r="C122">
        <v>8</v>
      </c>
      <c r="D122" s="16" t="s">
        <v>48</v>
      </c>
      <c r="E122" s="16" t="s">
        <v>41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65</v>
      </c>
      <c r="C123">
        <v>9</v>
      </c>
      <c r="D123" s="16" t="s">
        <v>49</v>
      </c>
      <c r="E123" s="16" t="s">
        <v>41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65</v>
      </c>
      <c r="C124">
        <v>10</v>
      </c>
      <c r="D124" s="16" t="s">
        <v>59</v>
      </c>
      <c r="E124" s="16" t="s">
        <v>41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65</v>
      </c>
      <c r="C125">
        <v>11</v>
      </c>
      <c r="D125" s="16" t="s">
        <v>50</v>
      </c>
      <c r="E125" s="16" t="s">
        <v>41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65</v>
      </c>
      <c r="C126">
        <v>12</v>
      </c>
      <c r="D126" s="16" t="s">
        <v>51</v>
      </c>
      <c r="E126" s="16" t="s">
        <v>41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65</v>
      </c>
      <c r="C127">
        <v>13</v>
      </c>
      <c r="D127" s="16" t="s">
        <v>52</v>
      </c>
      <c r="E127" s="16" t="s">
        <v>41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65</v>
      </c>
      <c r="C128">
        <v>14</v>
      </c>
      <c r="D128" s="16" t="s">
        <v>53</v>
      </c>
      <c r="E128" s="16" t="s">
        <v>41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65</v>
      </c>
      <c r="C129">
        <v>15</v>
      </c>
      <c r="D129" s="16" t="s">
        <v>54</v>
      </c>
      <c r="E129" s="16" t="s">
        <v>41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65</v>
      </c>
      <c r="C130">
        <v>16</v>
      </c>
      <c r="D130" s="16" t="s">
        <v>55</v>
      </c>
      <c r="E130" s="16" t="s">
        <v>41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65</v>
      </c>
      <c r="C131">
        <v>17</v>
      </c>
      <c r="D131" s="16" t="s">
        <v>56</v>
      </c>
      <c r="E131" s="16" t="s">
        <v>41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>(A131&amp;", "&amp; C131)</f>
        <v>8, 17</v>
      </c>
    </row>
    <row r="132" spans="1:12" x14ac:dyDescent="0.2">
      <c r="A132">
        <v>8</v>
      </c>
      <c r="B132" s="16" t="s">
        <v>65</v>
      </c>
      <c r="C132">
        <v>18</v>
      </c>
      <c r="D132" s="16" t="s">
        <v>57</v>
      </c>
      <c r="E132" s="16" t="s">
        <v>41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>(A132&amp;", "&amp; C132)</f>
        <v>8, 18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2" sqref="J2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66</v>
      </c>
      <c r="B1" s="10" t="s">
        <v>28</v>
      </c>
      <c r="C1" s="15" t="s">
        <v>29</v>
      </c>
      <c r="D1" s="10" t="s">
        <v>30</v>
      </c>
      <c r="E1" s="15" t="s">
        <v>31</v>
      </c>
      <c r="F1" s="17" t="s">
        <v>67</v>
      </c>
      <c r="G1" s="21" t="s">
        <v>68</v>
      </c>
      <c r="H1" s="17" t="s">
        <v>69</v>
      </c>
      <c r="I1" s="17" t="s">
        <v>70</v>
      </c>
      <c r="J1" s="17" t="s">
        <v>71</v>
      </c>
      <c r="K1" s="21" t="s">
        <v>72</v>
      </c>
      <c r="L1" s="21" t="s">
        <v>171</v>
      </c>
    </row>
    <row r="2" spans="1:14" x14ac:dyDescent="0.2">
      <c r="A2" s="9">
        <v>45689</v>
      </c>
      <c r="B2">
        <v>1</v>
      </c>
      <c r="C2" s="16" t="s">
        <v>39</v>
      </c>
      <c r="D2">
        <v>1</v>
      </c>
      <c r="E2" s="16" t="s">
        <v>40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185</v>
      </c>
    </row>
    <row r="3" spans="1:14" x14ac:dyDescent="0.2">
      <c r="A3" s="9">
        <v>45689</v>
      </c>
      <c r="B3">
        <v>1</v>
      </c>
      <c r="C3" s="16" t="s">
        <v>39</v>
      </c>
      <c r="D3">
        <v>2</v>
      </c>
      <c r="E3" s="16" t="s">
        <v>42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39</v>
      </c>
      <c r="D4">
        <v>3</v>
      </c>
      <c r="E4" s="16" t="s">
        <v>43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39</v>
      </c>
      <c r="D5">
        <v>4</v>
      </c>
      <c r="E5" s="16" t="s">
        <v>44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39</v>
      </c>
      <c r="D6">
        <v>5</v>
      </c>
      <c r="E6" s="16" t="s">
        <v>45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39</v>
      </c>
      <c r="D7">
        <v>6</v>
      </c>
      <c r="E7" s="16" t="s">
        <v>46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39</v>
      </c>
      <c r="D8">
        <v>7</v>
      </c>
      <c r="E8" s="16" t="s">
        <v>47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39</v>
      </c>
      <c r="D9">
        <v>8</v>
      </c>
      <c r="E9" s="16" t="s">
        <v>48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39</v>
      </c>
      <c r="D10">
        <v>9</v>
      </c>
      <c r="E10" s="16" t="s">
        <v>49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39</v>
      </c>
      <c r="D11">
        <v>10</v>
      </c>
      <c r="E11" s="16" t="s">
        <v>59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39</v>
      </c>
      <c r="D12">
        <v>11</v>
      </c>
      <c r="E12" s="16" t="s">
        <v>50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39</v>
      </c>
      <c r="D13">
        <v>12</v>
      </c>
      <c r="E13" s="16" t="s">
        <v>51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39</v>
      </c>
      <c r="D14">
        <v>13</v>
      </c>
      <c r="E14" s="16" t="s">
        <v>52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39</v>
      </c>
      <c r="D15">
        <v>14</v>
      </c>
      <c r="E15" s="16" t="s">
        <v>53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39</v>
      </c>
      <c r="D16">
        <v>15</v>
      </c>
      <c r="E16" s="16" t="s">
        <v>54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39</v>
      </c>
      <c r="D17">
        <v>16</v>
      </c>
      <c r="E17" s="16" t="s">
        <v>55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39</v>
      </c>
      <c r="D18">
        <v>17</v>
      </c>
      <c r="E18" s="16" t="s">
        <v>56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39</v>
      </c>
      <c r="D19">
        <v>18</v>
      </c>
      <c r="E19" s="16" t="s">
        <v>57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39</v>
      </c>
      <c r="D20">
        <v>1</v>
      </c>
      <c r="E20" s="16" t="s">
        <v>40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39</v>
      </c>
      <c r="D21">
        <v>2</v>
      </c>
      <c r="E21" s="16" t="s">
        <v>42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39</v>
      </c>
      <c r="D22">
        <v>3</v>
      </c>
      <c r="E22" s="16" t="s">
        <v>43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39</v>
      </c>
      <c r="D23">
        <v>4</v>
      </c>
      <c r="E23" s="16" t="s">
        <v>44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39</v>
      </c>
      <c r="D24">
        <v>5</v>
      </c>
      <c r="E24" s="16" t="s">
        <v>45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39</v>
      </c>
      <c r="D25">
        <v>6</v>
      </c>
      <c r="E25" s="16" t="s">
        <v>46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39</v>
      </c>
      <c r="D26">
        <v>7</v>
      </c>
      <c r="E26" s="16" t="s">
        <v>47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39</v>
      </c>
      <c r="D27">
        <v>8</v>
      </c>
      <c r="E27" s="16" t="s">
        <v>48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39</v>
      </c>
      <c r="D28">
        <v>9</v>
      </c>
      <c r="E28" s="16" t="s">
        <v>49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39</v>
      </c>
      <c r="D29">
        <v>10</v>
      </c>
      <c r="E29" s="16" t="s">
        <v>59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39</v>
      </c>
      <c r="D30">
        <v>11</v>
      </c>
      <c r="E30" s="16" t="s">
        <v>50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39</v>
      </c>
      <c r="D31">
        <v>12</v>
      </c>
      <c r="E31" s="16" t="s">
        <v>51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39</v>
      </c>
      <c r="D32">
        <v>13</v>
      </c>
      <c r="E32" s="16" t="s">
        <v>52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39</v>
      </c>
      <c r="D33">
        <v>14</v>
      </c>
      <c r="E33" s="16" t="s">
        <v>53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39</v>
      </c>
      <c r="D34">
        <v>15</v>
      </c>
      <c r="E34" s="16" t="s">
        <v>54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39</v>
      </c>
      <c r="D35">
        <v>16</v>
      </c>
      <c r="E35" s="16" t="s">
        <v>55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39</v>
      </c>
      <c r="D36">
        <v>17</v>
      </c>
      <c r="E36" s="16" t="s">
        <v>56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39</v>
      </c>
      <c r="D37">
        <v>18</v>
      </c>
      <c r="E37" s="16" t="s">
        <v>57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39</v>
      </c>
      <c r="D38">
        <v>1</v>
      </c>
      <c r="E38" s="16" t="s">
        <v>40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39</v>
      </c>
      <c r="D39">
        <v>2</v>
      </c>
      <c r="E39" s="16" t="s">
        <v>42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39</v>
      </c>
      <c r="D40">
        <v>3</v>
      </c>
      <c r="E40" s="16" t="s">
        <v>43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39</v>
      </c>
      <c r="D41">
        <v>4</v>
      </c>
      <c r="E41" s="16" t="s">
        <v>44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39</v>
      </c>
      <c r="D42">
        <v>5</v>
      </c>
      <c r="E42" s="16" t="s">
        <v>45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39</v>
      </c>
      <c r="D43">
        <v>6</v>
      </c>
      <c r="E43" s="16" t="s">
        <v>46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39</v>
      </c>
      <c r="D44">
        <v>7</v>
      </c>
      <c r="E44" s="16" t="s">
        <v>47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39</v>
      </c>
      <c r="D45">
        <v>8</v>
      </c>
      <c r="E45" s="16" t="s">
        <v>48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39</v>
      </c>
      <c r="D46">
        <v>9</v>
      </c>
      <c r="E46" s="16" t="s">
        <v>49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39</v>
      </c>
      <c r="D47">
        <v>10</v>
      </c>
      <c r="E47" s="16" t="s">
        <v>59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39</v>
      </c>
      <c r="D48">
        <v>11</v>
      </c>
      <c r="E48" s="16" t="s">
        <v>50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39</v>
      </c>
      <c r="D49">
        <v>12</v>
      </c>
      <c r="E49" s="16" t="s">
        <v>51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39</v>
      </c>
      <c r="D50">
        <v>13</v>
      </c>
      <c r="E50" s="16" t="s">
        <v>52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39</v>
      </c>
      <c r="D51">
        <v>14</v>
      </c>
      <c r="E51" s="16" t="s">
        <v>53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39</v>
      </c>
      <c r="D52">
        <v>15</v>
      </c>
      <c r="E52" s="16" t="s">
        <v>54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39</v>
      </c>
      <c r="D53">
        <v>16</v>
      </c>
      <c r="E53" s="16" t="s">
        <v>55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39</v>
      </c>
      <c r="D54">
        <v>17</v>
      </c>
      <c r="E54" s="16" t="s">
        <v>56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39</v>
      </c>
      <c r="D55">
        <v>18</v>
      </c>
      <c r="E55" s="16" t="s">
        <v>57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39</v>
      </c>
      <c r="D56">
        <v>1</v>
      </c>
      <c r="E56" s="16" t="s">
        <v>40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39</v>
      </c>
      <c r="D57">
        <v>2</v>
      </c>
      <c r="E57" s="16" t="s">
        <v>42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39</v>
      </c>
      <c r="D58">
        <v>3</v>
      </c>
      <c r="E58" s="16" t="s">
        <v>43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39</v>
      </c>
      <c r="D59">
        <v>4</v>
      </c>
      <c r="E59" s="16" t="s">
        <v>44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39</v>
      </c>
      <c r="D60">
        <v>5</v>
      </c>
      <c r="E60" s="16" t="s">
        <v>45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39</v>
      </c>
      <c r="D61">
        <v>6</v>
      </c>
      <c r="E61" s="16" t="s">
        <v>46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39</v>
      </c>
      <c r="D62">
        <v>7</v>
      </c>
      <c r="E62" s="16" t="s">
        <v>47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39</v>
      </c>
      <c r="D63">
        <v>8</v>
      </c>
      <c r="E63" s="16" t="s">
        <v>48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39</v>
      </c>
      <c r="D64">
        <v>9</v>
      </c>
      <c r="E64" s="16" t="s">
        <v>49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39</v>
      </c>
      <c r="D65">
        <v>10</v>
      </c>
      <c r="E65" s="16" t="s">
        <v>59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39</v>
      </c>
      <c r="D66">
        <v>11</v>
      </c>
      <c r="E66" s="16" t="s">
        <v>50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39</v>
      </c>
      <c r="D67">
        <v>12</v>
      </c>
      <c r="E67" s="16" t="s">
        <v>51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39</v>
      </c>
      <c r="D68">
        <v>13</v>
      </c>
      <c r="E68" s="16" t="s">
        <v>52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39</v>
      </c>
      <c r="D69">
        <v>14</v>
      </c>
      <c r="E69" s="16" t="s">
        <v>53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39</v>
      </c>
      <c r="D70">
        <v>15</v>
      </c>
      <c r="E70" s="16" t="s">
        <v>54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39</v>
      </c>
      <c r="D71">
        <v>16</v>
      </c>
      <c r="E71" s="16" t="s">
        <v>55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39</v>
      </c>
      <c r="D72">
        <v>17</v>
      </c>
      <c r="E72" s="16" t="s">
        <v>56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39</v>
      </c>
      <c r="D73">
        <v>18</v>
      </c>
      <c r="E73" s="16" t="s">
        <v>57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39</v>
      </c>
      <c r="D74">
        <v>1</v>
      </c>
      <c r="E74" s="16" t="s">
        <v>40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39</v>
      </c>
      <c r="D75">
        <v>2</v>
      </c>
      <c r="E75" s="16" t="s">
        <v>42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39</v>
      </c>
      <c r="D76">
        <v>3</v>
      </c>
      <c r="E76" s="16" t="s">
        <v>43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39</v>
      </c>
      <c r="D77">
        <v>4</v>
      </c>
      <c r="E77" s="16" t="s">
        <v>44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39</v>
      </c>
      <c r="D78">
        <v>5</v>
      </c>
      <c r="E78" s="16" t="s">
        <v>45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39</v>
      </c>
      <c r="D79">
        <v>6</v>
      </c>
      <c r="E79" s="16" t="s">
        <v>46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39</v>
      </c>
      <c r="D80">
        <v>7</v>
      </c>
      <c r="E80" s="16" t="s">
        <v>47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39</v>
      </c>
      <c r="D81">
        <v>8</v>
      </c>
      <c r="E81" s="16" t="s">
        <v>48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39</v>
      </c>
      <c r="D82">
        <v>9</v>
      </c>
      <c r="E82" s="16" t="s">
        <v>49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39</v>
      </c>
      <c r="D83">
        <v>10</v>
      </c>
      <c r="E83" s="16" t="s">
        <v>59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39</v>
      </c>
      <c r="D84">
        <v>11</v>
      </c>
      <c r="E84" s="16" t="s">
        <v>50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39</v>
      </c>
      <c r="D85">
        <v>12</v>
      </c>
      <c r="E85" s="16" t="s">
        <v>51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39</v>
      </c>
      <c r="D86">
        <v>13</v>
      </c>
      <c r="E86" s="16" t="s">
        <v>52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39</v>
      </c>
      <c r="D87">
        <v>14</v>
      </c>
      <c r="E87" s="16" t="s">
        <v>53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39</v>
      </c>
      <c r="D88">
        <v>15</v>
      </c>
      <c r="E88" s="16" t="s">
        <v>54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39</v>
      </c>
      <c r="D89">
        <v>16</v>
      </c>
      <c r="E89" s="16" t="s">
        <v>55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39</v>
      </c>
      <c r="D90">
        <v>17</v>
      </c>
      <c r="E90" s="16" t="s">
        <v>56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39</v>
      </c>
      <c r="D91">
        <v>18</v>
      </c>
      <c r="E91" s="16" t="s">
        <v>57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39</v>
      </c>
      <c r="D92">
        <v>1</v>
      </c>
      <c r="E92" s="16" t="s">
        <v>40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39</v>
      </c>
      <c r="D93">
        <v>2</v>
      </c>
      <c r="E93" s="16" t="s">
        <v>42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39</v>
      </c>
      <c r="D94">
        <v>3</v>
      </c>
      <c r="E94" s="16" t="s">
        <v>43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39</v>
      </c>
      <c r="D95">
        <v>4</v>
      </c>
      <c r="E95" s="16" t="s">
        <v>44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39</v>
      </c>
      <c r="D96">
        <v>5</v>
      </c>
      <c r="E96" s="16" t="s">
        <v>45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39</v>
      </c>
      <c r="D97">
        <v>6</v>
      </c>
      <c r="E97" s="16" t="s">
        <v>46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39</v>
      </c>
      <c r="D98">
        <v>7</v>
      </c>
      <c r="E98" s="16" t="s">
        <v>47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39</v>
      </c>
      <c r="D99">
        <v>8</v>
      </c>
      <c r="E99" s="16" t="s">
        <v>48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39</v>
      </c>
      <c r="D100">
        <v>9</v>
      </c>
      <c r="E100" s="16" t="s">
        <v>49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39</v>
      </c>
      <c r="D101">
        <v>10</v>
      </c>
      <c r="E101" s="16" t="s">
        <v>59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39</v>
      </c>
      <c r="D102">
        <v>11</v>
      </c>
      <c r="E102" s="16" t="s">
        <v>50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39</v>
      </c>
      <c r="D103">
        <v>12</v>
      </c>
      <c r="E103" s="16" t="s">
        <v>51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39</v>
      </c>
      <c r="D104">
        <v>13</v>
      </c>
      <c r="E104" s="16" t="s">
        <v>52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39</v>
      </c>
      <c r="D105">
        <v>14</v>
      </c>
      <c r="E105" s="16" t="s">
        <v>53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39</v>
      </c>
      <c r="D106">
        <v>15</v>
      </c>
      <c r="E106" s="16" t="s">
        <v>54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39</v>
      </c>
      <c r="D107">
        <v>16</v>
      </c>
      <c r="E107" s="16" t="s">
        <v>55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39</v>
      </c>
      <c r="D108">
        <v>17</v>
      </c>
      <c r="E108" s="16" t="s">
        <v>56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39</v>
      </c>
      <c r="D109">
        <v>18</v>
      </c>
      <c r="E109" s="16" t="s">
        <v>57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39</v>
      </c>
      <c r="D110">
        <v>1</v>
      </c>
      <c r="E110" s="16" t="s">
        <v>40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39</v>
      </c>
      <c r="D111">
        <v>2</v>
      </c>
      <c r="E111" s="16" t="s">
        <v>42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39</v>
      </c>
      <c r="D112">
        <v>3</v>
      </c>
      <c r="E112" s="16" t="s">
        <v>43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39</v>
      </c>
      <c r="D113">
        <v>4</v>
      </c>
      <c r="E113" s="16" t="s">
        <v>44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39</v>
      </c>
      <c r="D114">
        <v>5</v>
      </c>
      <c r="E114" s="16" t="s">
        <v>45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39</v>
      </c>
      <c r="D115">
        <v>6</v>
      </c>
      <c r="E115" s="16" t="s">
        <v>46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39</v>
      </c>
      <c r="D116">
        <v>7</v>
      </c>
      <c r="E116" s="16" t="s">
        <v>47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39</v>
      </c>
      <c r="D117">
        <v>8</v>
      </c>
      <c r="E117" s="16" t="s">
        <v>48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39</v>
      </c>
      <c r="D118">
        <v>9</v>
      </c>
      <c r="E118" s="16" t="s">
        <v>49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39</v>
      </c>
      <c r="D119">
        <v>10</v>
      </c>
      <c r="E119" s="16" t="s">
        <v>59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39</v>
      </c>
      <c r="D120">
        <v>11</v>
      </c>
      <c r="E120" s="16" t="s">
        <v>50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39</v>
      </c>
      <c r="D121">
        <v>12</v>
      </c>
      <c r="E121" s="16" t="s">
        <v>51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39</v>
      </c>
      <c r="D122">
        <v>13</v>
      </c>
      <c r="E122" s="16" t="s">
        <v>52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39</v>
      </c>
      <c r="D123">
        <v>14</v>
      </c>
      <c r="E123" s="16" t="s">
        <v>53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39</v>
      </c>
      <c r="D124">
        <v>15</v>
      </c>
      <c r="E124" s="16" t="s">
        <v>54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39</v>
      </c>
      <c r="D125">
        <v>16</v>
      </c>
      <c r="E125" s="16" t="s">
        <v>55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39</v>
      </c>
      <c r="D126">
        <v>17</v>
      </c>
      <c r="E126" s="16" t="s">
        <v>56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39</v>
      </c>
      <c r="D127">
        <v>18</v>
      </c>
      <c r="E127" s="16" t="s">
        <v>57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39</v>
      </c>
      <c r="D128">
        <v>1</v>
      </c>
      <c r="E128" s="16" t="s">
        <v>40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39</v>
      </c>
      <c r="D129">
        <v>2</v>
      </c>
      <c r="E129" s="16" t="s">
        <v>42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39</v>
      </c>
      <c r="D130">
        <v>3</v>
      </c>
      <c r="E130" s="16" t="s">
        <v>43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39</v>
      </c>
      <c r="D131">
        <v>4</v>
      </c>
      <c r="E131" s="16" t="s">
        <v>44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39</v>
      </c>
      <c r="D132">
        <v>5</v>
      </c>
      <c r="E132" s="16" t="s">
        <v>45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39</v>
      </c>
      <c r="D133">
        <v>6</v>
      </c>
      <c r="E133" s="16" t="s">
        <v>46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39</v>
      </c>
      <c r="D134">
        <v>7</v>
      </c>
      <c r="E134" s="16" t="s">
        <v>47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39</v>
      </c>
      <c r="D135">
        <v>8</v>
      </c>
      <c r="E135" s="16" t="s">
        <v>48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39</v>
      </c>
      <c r="D136">
        <v>9</v>
      </c>
      <c r="E136" s="16" t="s">
        <v>49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39</v>
      </c>
      <c r="D137">
        <v>10</v>
      </c>
      <c r="E137" s="16" t="s">
        <v>59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39</v>
      </c>
      <c r="D138">
        <v>11</v>
      </c>
      <c r="E138" s="16" t="s">
        <v>50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39</v>
      </c>
      <c r="D139">
        <v>12</v>
      </c>
      <c r="E139" s="16" t="s">
        <v>51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39</v>
      </c>
      <c r="D140">
        <v>13</v>
      </c>
      <c r="E140" s="16" t="s">
        <v>52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39</v>
      </c>
      <c r="D141">
        <v>14</v>
      </c>
      <c r="E141" s="16" t="s">
        <v>53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39</v>
      </c>
      <c r="D142">
        <v>15</v>
      </c>
      <c r="E142" s="16" t="s">
        <v>54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39</v>
      </c>
      <c r="D143">
        <v>16</v>
      </c>
      <c r="E143" s="16" t="s">
        <v>55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39</v>
      </c>
      <c r="D144">
        <v>17</v>
      </c>
      <c r="E144" s="16" t="s">
        <v>56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39</v>
      </c>
      <c r="D145">
        <v>18</v>
      </c>
      <c r="E145" s="16" t="s">
        <v>57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39</v>
      </c>
      <c r="D146">
        <v>1</v>
      </c>
      <c r="E146" s="16" t="s">
        <v>40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39</v>
      </c>
      <c r="D147">
        <v>2</v>
      </c>
      <c r="E147" s="16" t="s">
        <v>42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39</v>
      </c>
      <c r="D148">
        <v>3</v>
      </c>
      <c r="E148" s="16" t="s">
        <v>43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39</v>
      </c>
      <c r="D149">
        <v>4</v>
      </c>
      <c r="E149" s="16" t="s">
        <v>44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39</v>
      </c>
      <c r="D150">
        <v>5</v>
      </c>
      <c r="E150" s="16" t="s">
        <v>45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39</v>
      </c>
      <c r="D151">
        <v>6</v>
      </c>
      <c r="E151" s="16" t="s">
        <v>46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39</v>
      </c>
      <c r="D152">
        <v>7</v>
      </c>
      <c r="E152" s="16" t="s">
        <v>47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39</v>
      </c>
      <c r="D153">
        <v>8</v>
      </c>
      <c r="E153" s="16" t="s">
        <v>48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39</v>
      </c>
      <c r="D154">
        <v>9</v>
      </c>
      <c r="E154" s="16" t="s">
        <v>49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39</v>
      </c>
      <c r="D155">
        <v>10</v>
      </c>
      <c r="E155" s="16" t="s">
        <v>59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39</v>
      </c>
      <c r="D156">
        <v>11</v>
      </c>
      <c r="E156" s="16" t="s">
        <v>50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39</v>
      </c>
      <c r="D157">
        <v>12</v>
      </c>
      <c r="E157" s="16" t="s">
        <v>51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39</v>
      </c>
      <c r="D158">
        <v>13</v>
      </c>
      <c r="E158" s="16" t="s">
        <v>52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39</v>
      </c>
      <c r="D159">
        <v>14</v>
      </c>
      <c r="E159" s="16" t="s">
        <v>53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39</v>
      </c>
      <c r="D160">
        <v>15</v>
      </c>
      <c r="E160" s="16" t="s">
        <v>54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39</v>
      </c>
      <c r="D161">
        <v>16</v>
      </c>
      <c r="E161" s="16" t="s">
        <v>55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39</v>
      </c>
      <c r="D162">
        <v>17</v>
      </c>
      <c r="E162" s="16" t="s">
        <v>56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39</v>
      </c>
      <c r="D163">
        <v>18</v>
      </c>
      <c r="E163" s="16" t="s">
        <v>57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39</v>
      </c>
      <c r="D164">
        <v>1</v>
      </c>
      <c r="E164" s="16" t="s">
        <v>40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39</v>
      </c>
      <c r="D165">
        <v>2</v>
      </c>
      <c r="E165" s="16" t="s">
        <v>42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39</v>
      </c>
      <c r="D166">
        <v>3</v>
      </c>
      <c r="E166" s="16" t="s">
        <v>43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39</v>
      </c>
      <c r="D167">
        <v>4</v>
      </c>
      <c r="E167" s="16" t="s">
        <v>44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39</v>
      </c>
      <c r="D168">
        <v>5</v>
      </c>
      <c r="E168" s="16" t="s">
        <v>45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39</v>
      </c>
      <c r="D169">
        <v>6</v>
      </c>
      <c r="E169" s="16" t="s">
        <v>46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39</v>
      </c>
      <c r="D170">
        <v>7</v>
      </c>
      <c r="E170" s="16" t="s">
        <v>47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39</v>
      </c>
      <c r="D171">
        <v>8</v>
      </c>
      <c r="E171" s="16" t="s">
        <v>48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39</v>
      </c>
      <c r="D172">
        <v>9</v>
      </c>
      <c r="E172" s="16" t="s">
        <v>49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39</v>
      </c>
      <c r="D173">
        <v>10</v>
      </c>
      <c r="E173" s="16" t="s">
        <v>59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39</v>
      </c>
      <c r="D174">
        <v>11</v>
      </c>
      <c r="E174" s="16" t="s">
        <v>50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39</v>
      </c>
      <c r="D175">
        <v>12</v>
      </c>
      <c r="E175" s="16" t="s">
        <v>51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39</v>
      </c>
      <c r="D176">
        <v>13</v>
      </c>
      <c r="E176" s="16" t="s">
        <v>52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39</v>
      </c>
      <c r="D177">
        <v>14</v>
      </c>
      <c r="E177" s="16" t="s">
        <v>53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39</v>
      </c>
      <c r="D178">
        <v>15</v>
      </c>
      <c r="E178" s="16" t="s">
        <v>54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39</v>
      </c>
      <c r="D179">
        <v>16</v>
      </c>
      <c r="E179" s="16" t="s">
        <v>55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39</v>
      </c>
      <c r="D180">
        <v>17</v>
      </c>
      <c r="E180" s="16" t="s">
        <v>56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39</v>
      </c>
      <c r="D181">
        <v>18</v>
      </c>
      <c r="E181" s="16" t="s">
        <v>57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39</v>
      </c>
      <c r="D182">
        <v>1</v>
      </c>
      <c r="E182" s="16" t="s">
        <v>40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39</v>
      </c>
      <c r="D183">
        <v>2</v>
      </c>
      <c r="E183" s="16" t="s">
        <v>42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39</v>
      </c>
      <c r="D184">
        <v>3</v>
      </c>
      <c r="E184" s="16" t="s">
        <v>43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39</v>
      </c>
      <c r="D185">
        <v>4</v>
      </c>
      <c r="E185" s="16" t="s">
        <v>44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39</v>
      </c>
      <c r="D186">
        <v>5</v>
      </c>
      <c r="E186" s="16" t="s">
        <v>45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39</v>
      </c>
      <c r="D187">
        <v>6</v>
      </c>
      <c r="E187" s="16" t="s">
        <v>46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39</v>
      </c>
      <c r="D188">
        <v>7</v>
      </c>
      <c r="E188" s="16" t="s">
        <v>47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39</v>
      </c>
      <c r="D189">
        <v>8</v>
      </c>
      <c r="E189" s="16" t="s">
        <v>48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39</v>
      </c>
      <c r="D190">
        <v>9</v>
      </c>
      <c r="E190" s="16" t="s">
        <v>49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39</v>
      </c>
      <c r="D191">
        <v>10</v>
      </c>
      <c r="E191" s="16" t="s">
        <v>59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39</v>
      </c>
      <c r="D192">
        <v>11</v>
      </c>
      <c r="E192" s="16" t="s">
        <v>50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39</v>
      </c>
      <c r="D193">
        <v>12</v>
      </c>
      <c r="E193" s="16" t="s">
        <v>51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39</v>
      </c>
      <c r="D194">
        <v>13</v>
      </c>
      <c r="E194" s="16" t="s">
        <v>52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39</v>
      </c>
      <c r="D195">
        <v>14</v>
      </c>
      <c r="E195" s="16" t="s">
        <v>53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39</v>
      </c>
      <c r="D196">
        <v>15</v>
      </c>
      <c r="E196" s="16" t="s">
        <v>54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39</v>
      </c>
      <c r="D197">
        <v>16</v>
      </c>
      <c r="E197" s="16" t="s">
        <v>55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39</v>
      </c>
      <c r="D198">
        <v>17</v>
      </c>
      <c r="E198" s="16" t="s">
        <v>56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39</v>
      </c>
      <c r="D199">
        <v>18</v>
      </c>
      <c r="E199" s="16" t="s">
        <v>57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39</v>
      </c>
      <c r="D200">
        <v>1</v>
      </c>
      <c r="E200" s="16" t="s">
        <v>40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39</v>
      </c>
      <c r="D201">
        <v>2</v>
      </c>
      <c r="E201" s="16" t="s">
        <v>42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39</v>
      </c>
      <c r="D202">
        <v>3</v>
      </c>
      <c r="E202" s="16" t="s">
        <v>43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39</v>
      </c>
      <c r="D203">
        <v>4</v>
      </c>
      <c r="E203" s="16" t="s">
        <v>44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39</v>
      </c>
      <c r="D204">
        <v>5</v>
      </c>
      <c r="E204" s="16" t="s">
        <v>45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39</v>
      </c>
      <c r="D205">
        <v>6</v>
      </c>
      <c r="E205" s="16" t="s">
        <v>46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39</v>
      </c>
      <c r="D206">
        <v>7</v>
      </c>
      <c r="E206" s="16" t="s">
        <v>47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39</v>
      </c>
      <c r="D207">
        <v>8</v>
      </c>
      <c r="E207" s="16" t="s">
        <v>48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39</v>
      </c>
      <c r="D208">
        <v>9</v>
      </c>
      <c r="E208" s="16" t="s">
        <v>49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39</v>
      </c>
      <c r="D209">
        <v>11</v>
      </c>
      <c r="E209" s="16" t="s">
        <v>50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39</v>
      </c>
      <c r="D210">
        <v>12</v>
      </c>
      <c r="E210" s="16" t="s">
        <v>51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39</v>
      </c>
      <c r="D211">
        <v>13</v>
      </c>
      <c r="E211" s="16" t="s">
        <v>52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39</v>
      </c>
      <c r="D212">
        <v>14</v>
      </c>
      <c r="E212" s="16" t="s">
        <v>53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39</v>
      </c>
      <c r="D213">
        <v>15</v>
      </c>
      <c r="E213" s="16" t="s">
        <v>54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39</v>
      </c>
      <c r="D214">
        <v>16</v>
      </c>
      <c r="E214" s="16" t="s">
        <v>55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39</v>
      </c>
      <c r="D215">
        <v>17</v>
      </c>
      <c r="E215" s="16" t="s">
        <v>56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39</v>
      </c>
      <c r="D216">
        <v>18</v>
      </c>
      <c r="E216" s="16" t="s">
        <v>57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39</v>
      </c>
      <c r="D217">
        <v>1</v>
      </c>
      <c r="E217" s="16" t="s">
        <v>40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39</v>
      </c>
      <c r="D218">
        <v>2</v>
      </c>
      <c r="E218" s="16" t="s">
        <v>42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39</v>
      </c>
      <c r="D219">
        <v>3</v>
      </c>
      <c r="E219" s="16" t="s">
        <v>43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39</v>
      </c>
      <c r="D220">
        <v>4</v>
      </c>
      <c r="E220" s="16" t="s">
        <v>44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39</v>
      </c>
      <c r="D221">
        <v>5</v>
      </c>
      <c r="E221" s="16" t="s">
        <v>45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39</v>
      </c>
      <c r="D222">
        <v>6</v>
      </c>
      <c r="E222" s="16" t="s">
        <v>46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39</v>
      </c>
      <c r="D223">
        <v>7</v>
      </c>
      <c r="E223" s="16" t="s">
        <v>47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39</v>
      </c>
      <c r="D224">
        <v>8</v>
      </c>
      <c r="E224" s="16" t="s">
        <v>48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39</v>
      </c>
      <c r="D225">
        <v>9</v>
      </c>
      <c r="E225" s="16" t="s">
        <v>49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39</v>
      </c>
      <c r="D226">
        <v>11</v>
      </c>
      <c r="E226" s="16" t="s">
        <v>50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39</v>
      </c>
      <c r="D227">
        <v>12</v>
      </c>
      <c r="E227" s="16" t="s">
        <v>51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39</v>
      </c>
      <c r="D228">
        <v>13</v>
      </c>
      <c r="E228" s="16" t="s">
        <v>52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39</v>
      </c>
      <c r="D229">
        <v>14</v>
      </c>
      <c r="E229" s="16" t="s">
        <v>53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39</v>
      </c>
      <c r="D230">
        <v>15</v>
      </c>
      <c r="E230" s="16" t="s">
        <v>54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39</v>
      </c>
      <c r="D231">
        <v>16</v>
      </c>
      <c r="E231" s="16" t="s">
        <v>55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39</v>
      </c>
      <c r="D232">
        <v>17</v>
      </c>
      <c r="E232" s="16" t="s">
        <v>56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39</v>
      </c>
      <c r="D233">
        <v>18</v>
      </c>
      <c r="E233" s="16" t="s">
        <v>57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39</v>
      </c>
      <c r="D234">
        <v>1</v>
      </c>
      <c r="E234" s="16" t="s">
        <v>40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39</v>
      </c>
      <c r="D235">
        <v>2</v>
      </c>
      <c r="E235" s="16" t="s">
        <v>42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39</v>
      </c>
      <c r="D236">
        <v>3</v>
      </c>
      <c r="E236" s="16" t="s">
        <v>43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39</v>
      </c>
      <c r="D237">
        <v>4</v>
      </c>
      <c r="E237" s="16" t="s">
        <v>44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39</v>
      </c>
      <c r="D238">
        <v>5</v>
      </c>
      <c r="E238" s="16" t="s">
        <v>45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39</v>
      </c>
      <c r="D239">
        <v>6</v>
      </c>
      <c r="E239" s="16" t="s">
        <v>46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39</v>
      </c>
      <c r="D240">
        <v>7</v>
      </c>
      <c r="E240" s="16" t="s">
        <v>47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39</v>
      </c>
      <c r="D241">
        <v>8</v>
      </c>
      <c r="E241" s="16" t="s">
        <v>48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39</v>
      </c>
      <c r="D242">
        <v>9</v>
      </c>
      <c r="E242" s="16" t="s">
        <v>49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39</v>
      </c>
      <c r="D243">
        <v>11</v>
      </c>
      <c r="E243" s="16" t="s">
        <v>50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39</v>
      </c>
      <c r="D244">
        <v>12</v>
      </c>
      <c r="E244" s="16" t="s">
        <v>51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39</v>
      </c>
      <c r="D245">
        <v>13</v>
      </c>
      <c r="E245" s="16" t="s">
        <v>52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39</v>
      </c>
      <c r="D246">
        <v>14</v>
      </c>
      <c r="E246" s="16" t="s">
        <v>53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39</v>
      </c>
      <c r="D247">
        <v>15</v>
      </c>
      <c r="E247" s="16" t="s">
        <v>54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39</v>
      </c>
      <c r="D248">
        <v>16</v>
      </c>
      <c r="E248" s="16" t="s">
        <v>55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39</v>
      </c>
      <c r="D249">
        <v>17</v>
      </c>
      <c r="E249" s="16" t="s">
        <v>56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39</v>
      </c>
      <c r="D250">
        <v>18</v>
      </c>
      <c r="E250" s="16" t="s">
        <v>57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39</v>
      </c>
      <c r="D251">
        <v>1</v>
      </c>
      <c r="E251" s="16" t="s">
        <v>40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39</v>
      </c>
      <c r="D252">
        <v>2</v>
      </c>
      <c r="E252" s="16" t="s">
        <v>42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39</v>
      </c>
      <c r="D253">
        <v>3</v>
      </c>
      <c r="E253" s="16" t="s">
        <v>43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39</v>
      </c>
      <c r="D254">
        <v>4</v>
      </c>
      <c r="E254" s="16" t="s">
        <v>44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39</v>
      </c>
      <c r="D255">
        <v>5</v>
      </c>
      <c r="E255" s="16" t="s">
        <v>45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39</v>
      </c>
      <c r="D256">
        <v>6</v>
      </c>
      <c r="E256" s="16" t="s">
        <v>46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39</v>
      </c>
      <c r="D257">
        <v>7</v>
      </c>
      <c r="E257" s="16" t="s">
        <v>47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39</v>
      </c>
      <c r="D258">
        <v>8</v>
      </c>
      <c r="E258" s="16" t="s">
        <v>48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39</v>
      </c>
      <c r="D259">
        <v>9</v>
      </c>
      <c r="E259" s="16" t="s">
        <v>49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39</v>
      </c>
      <c r="D260">
        <v>11</v>
      </c>
      <c r="E260" s="16" t="s">
        <v>50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39</v>
      </c>
      <c r="D261">
        <v>12</v>
      </c>
      <c r="E261" s="16" t="s">
        <v>51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39</v>
      </c>
      <c r="D262">
        <v>13</v>
      </c>
      <c r="E262" s="16" t="s">
        <v>52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39</v>
      </c>
      <c r="D263">
        <v>14</v>
      </c>
      <c r="E263" s="16" t="s">
        <v>53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39</v>
      </c>
      <c r="D264">
        <v>15</v>
      </c>
      <c r="E264" s="16" t="s">
        <v>54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39</v>
      </c>
      <c r="D265">
        <v>16</v>
      </c>
      <c r="E265" s="16" t="s">
        <v>55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39</v>
      </c>
      <c r="D266">
        <v>17</v>
      </c>
      <c r="E266" s="16" t="s">
        <v>56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39</v>
      </c>
      <c r="D267">
        <v>18</v>
      </c>
      <c r="E267" s="16" t="s">
        <v>57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39</v>
      </c>
      <c r="D268">
        <v>1</v>
      </c>
      <c r="E268" s="16" t="s">
        <v>40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39</v>
      </c>
      <c r="D269">
        <v>2</v>
      </c>
      <c r="E269" s="16" t="s">
        <v>42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39</v>
      </c>
      <c r="D270">
        <v>3</v>
      </c>
      <c r="E270" s="16" t="s">
        <v>43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39</v>
      </c>
      <c r="D271">
        <v>4</v>
      </c>
      <c r="E271" s="16" t="s">
        <v>44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39</v>
      </c>
      <c r="D272">
        <v>5</v>
      </c>
      <c r="E272" s="16" t="s">
        <v>45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39</v>
      </c>
      <c r="D273">
        <v>6</v>
      </c>
      <c r="E273" s="16" t="s">
        <v>46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39</v>
      </c>
      <c r="D274">
        <v>7</v>
      </c>
      <c r="E274" s="16" t="s">
        <v>47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39</v>
      </c>
      <c r="D275">
        <v>8</v>
      </c>
      <c r="E275" s="16" t="s">
        <v>48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39</v>
      </c>
      <c r="D276">
        <v>9</v>
      </c>
      <c r="E276" s="16" t="s">
        <v>49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39</v>
      </c>
      <c r="D277">
        <v>11</v>
      </c>
      <c r="E277" s="16" t="s">
        <v>50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39</v>
      </c>
      <c r="D278">
        <v>12</v>
      </c>
      <c r="E278" s="16" t="s">
        <v>51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39</v>
      </c>
      <c r="D279">
        <v>13</v>
      </c>
      <c r="E279" s="16" t="s">
        <v>52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39</v>
      </c>
      <c r="D280">
        <v>14</v>
      </c>
      <c r="E280" s="16" t="s">
        <v>53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39</v>
      </c>
      <c r="D281">
        <v>15</v>
      </c>
      <c r="E281" s="16" t="s">
        <v>54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39</v>
      </c>
      <c r="D282">
        <v>16</v>
      </c>
      <c r="E282" s="16" t="s">
        <v>55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39</v>
      </c>
      <c r="D283">
        <v>17</v>
      </c>
      <c r="E283" s="16" t="s">
        <v>56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39</v>
      </c>
      <c r="D284">
        <v>18</v>
      </c>
      <c r="E284" s="16" t="s">
        <v>57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39</v>
      </c>
      <c r="D285">
        <v>1</v>
      </c>
      <c r="E285" s="16" t="s">
        <v>40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39</v>
      </c>
      <c r="D286">
        <v>2</v>
      </c>
      <c r="E286" s="16" t="s">
        <v>42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39</v>
      </c>
      <c r="D287">
        <v>3</v>
      </c>
      <c r="E287" s="16" t="s">
        <v>43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39</v>
      </c>
      <c r="D288">
        <v>4</v>
      </c>
      <c r="E288" s="16" t="s">
        <v>44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39</v>
      </c>
      <c r="D289">
        <v>5</v>
      </c>
      <c r="E289" s="16" t="s">
        <v>45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39</v>
      </c>
      <c r="D290">
        <v>6</v>
      </c>
      <c r="E290" s="16" t="s">
        <v>46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39</v>
      </c>
      <c r="D291">
        <v>7</v>
      </c>
      <c r="E291" s="16" t="s">
        <v>47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39</v>
      </c>
      <c r="D292">
        <v>8</v>
      </c>
      <c r="E292" s="16" t="s">
        <v>48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39</v>
      </c>
      <c r="D293">
        <v>9</v>
      </c>
      <c r="E293" s="16" t="s">
        <v>49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39</v>
      </c>
      <c r="D294">
        <v>11</v>
      </c>
      <c r="E294" s="16" t="s">
        <v>50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39</v>
      </c>
      <c r="D295">
        <v>12</v>
      </c>
      <c r="E295" s="16" t="s">
        <v>51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39</v>
      </c>
      <c r="D296">
        <v>13</v>
      </c>
      <c r="E296" s="16" t="s">
        <v>52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39</v>
      </c>
      <c r="D297">
        <v>14</v>
      </c>
      <c r="E297" s="16" t="s">
        <v>53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39</v>
      </c>
      <c r="D298">
        <v>15</v>
      </c>
      <c r="E298" s="16" t="s">
        <v>54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39</v>
      </c>
      <c r="D299">
        <v>16</v>
      </c>
      <c r="E299" s="16" t="s">
        <v>55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39</v>
      </c>
      <c r="D300">
        <v>17</v>
      </c>
      <c r="E300" s="16" t="s">
        <v>56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39</v>
      </c>
      <c r="D301">
        <v>18</v>
      </c>
      <c r="E301" s="16" t="s">
        <v>57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39</v>
      </c>
      <c r="D302">
        <v>1</v>
      </c>
      <c r="E302" s="16" t="s">
        <v>40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39</v>
      </c>
      <c r="D303">
        <v>2</v>
      </c>
      <c r="E303" s="16" t="s">
        <v>42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39</v>
      </c>
      <c r="D304">
        <v>3</v>
      </c>
      <c r="E304" s="16" t="s">
        <v>43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39</v>
      </c>
      <c r="D305">
        <v>4</v>
      </c>
      <c r="E305" s="16" t="s">
        <v>44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39</v>
      </c>
      <c r="D306">
        <v>5</v>
      </c>
      <c r="E306" s="16" t="s">
        <v>45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39</v>
      </c>
      <c r="D307">
        <v>6</v>
      </c>
      <c r="E307" s="16" t="s">
        <v>46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39</v>
      </c>
      <c r="D308">
        <v>7</v>
      </c>
      <c r="E308" s="16" t="s">
        <v>47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39</v>
      </c>
      <c r="D309">
        <v>8</v>
      </c>
      <c r="E309" s="16" t="s">
        <v>48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39</v>
      </c>
      <c r="D310">
        <v>9</v>
      </c>
      <c r="E310" s="16" t="s">
        <v>49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39</v>
      </c>
      <c r="D311">
        <v>11</v>
      </c>
      <c r="E311" s="16" t="s">
        <v>50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39</v>
      </c>
      <c r="D312">
        <v>12</v>
      </c>
      <c r="E312" s="16" t="s">
        <v>51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39</v>
      </c>
      <c r="D313">
        <v>13</v>
      </c>
      <c r="E313" s="16" t="s">
        <v>52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39</v>
      </c>
      <c r="D314">
        <v>14</v>
      </c>
      <c r="E314" s="16" t="s">
        <v>53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39</v>
      </c>
      <c r="D315">
        <v>15</v>
      </c>
      <c r="E315" s="16" t="s">
        <v>54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39</v>
      </c>
      <c r="D316">
        <v>16</v>
      </c>
      <c r="E316" s="16" t="s">
        <v>55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39</v>
      </c>
      <c r="D317">
        <v>17</v>
      </c>
      <c r="E317" s="16" t="s">
        <v>56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39</v>
      </c>
      <c r="D318">
        <v>18</v>
      </c>
      <c r="E318" s="16" t="s">
        <v>57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39</v>
      </c>
      <c r="D319">
        <v>1</v>
      </c>
      <c r="E319" s="16" t="s">
        <v>40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39</v>
      </c>
      <c r="D320">
        <v>2</v>
      </c>
      <c r="E320" s="16" t="s">
        <v>42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39</v>
      </c>
      <c r="D321">
        <v>3</v>
      </c>
      <c r="E321" s="16" t="s">
        <v>43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39</v>
      </c>
      <c r="D322">
        <v>4</v>
      </c>
      <c r="E322" s="16" t="s">
        <v>44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39</v>
      </c>
      <c r="D323">
        <v>5</v>
      </c>
      <c r="E323" s="16" t="s">
        <v>45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39</v>
      </c>
      <c r="D324">
        <v>6</v>
      </c>
      <c r="E324" s="16" t="s">
        <v>46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39</v>
      </c>
      <c r="D325">
        <v>7</v>
      </c>
      <c r="E325" s="16" t="s">
        <v>47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39</v>
      </c>
      <c r="D326">
        <v>8</v>
      </c>
      <c r="E326" s="16" t="s">
        <v>48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39</v>
      </c>
      <c r="D327">
        <v>9</v>
      </c>
      <c r="E327" s="16" t="s">
        <v>49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39</v>
      </c>
      <c r="D328">
        <v>11</v>
      </c>
      <c r="E328" s="16" t="s">
        <v>50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39</v>
      </c>
      <c r="D329">
        <v>12</v>
      </c>
      <c r="E329" s="16" t="s">
        <v>51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39</v>
      </c>
      <c r="D330">
        <v>13</v>
      </c>
      <c r="E330" s="16" t="s">
        <v>52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39</v>
      </c>
      <c r="D331">
        <v>14</v>
      </c>
      <c r="E331" s="16" t="s">
        <v>53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39</v>
      </c>
      <c r="D332">
        <v>15</v>
      </c>
      <c r="E332" s="16" t="s">
        <v>54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39</v>
      </c>
      <c r="D333">
        <v>16</v>
      </c>
      <c r="E333" s="16" t="s">
        <v>55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39</v>
      </c>
      <c r="D334">
        <v>17</v>
      </c>
      <c r="E334" s="16" t="s">
        <v>56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39</v>
      </c>
      <c r="D335">
        <v>18</v>
      </c>
      <c r="E335" s="16" t="s">
        <v>57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39</v>
      </c>
      <c r="D336">
        <v>1</v>
      </c>
      <c r="E336" s="16" t="s">
        <v>40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39</v>
      </c>
      <c r="D337">
        <v>2</v>
      </c>
      <c r="E337" s="16" t="s">
        <v>42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39</v>
      </c>
      <c r="D338">
        <v>3</v>
      </c>
      <c r="E338" s="16" t="s">
        <v>43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39</v>
      </c>
      <c r="D339">
        <v>4</v>
      </c>
      <c r="E339" s="16" t="s">
        <v>44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39</v>
      </c>
      <c r="D340">
        <v>5</v>
      </c>
      <c r="E340" s="16" t="s">
        <v>45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39</v>
      </c>
      <c r="D341">
        <v>6</v>
      </c>
      <c r="E341" s="16" t="s">
        <v>46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39</v>
      </c>
      <c r="D342">
        <v>7</v>
      </c>
      <c r="E342" s="16" t="s">
        <v>47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39</v>
      </c>
      <c r="D343">
        <v>8</v>
      </c>
      <c r="E343" s="16" t="s">
        <v>48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39</v>
      </c>
      <c r="D344">
        <v>9</v>
      </c>
      <c r="E344" s="16" t="s">
        <v>49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39</v>
      </c>
      <c r="D345">
        <v>11</v>
      </c>
      <c r="E345" s="16" t="s">
        <v>50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39</v>
      </c>
      <c r="D346">
        <v>12</v>
      </c>
      <c r="E346" s="16" t="s">
        <v>51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39</v>
      </c>
      <c r="D347">
        <v>13</v>
      </c>
      <c r="E347" s="16" t="s">
        <v>52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39</v>
      </c>
      <c r="D348">
        <v>14</v>
      </c>
      <c r="E348" s="16" t="s">
        <v>53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39</v>
      </c>
      <c r="D349">
        <v>15</v>
      </c>
      <c r="E349" s="16" t="s">
        <v>54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39</v>
      </c>
      <c r="D350">
        <v>16</v>
      </c>
      <c r="E350" s="16" t="s">
        <v>55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39</v>
      </c>
      <c r="D351">
        <v>17</v>
      </c>
      <c r="E351" s="16" t="s">
        <v>56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39</v>
      </c>
      <c r="D352">
        <v>18</v>
      </c>
      <c r="E352" s="16" t="s">
        <v>57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58</v>
      </c>
      <c r="D353">
        <v>1</v>
      </c>
      <c r="E353" s="16" t="s">
        <v>40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58</v>
      </c>
      <c r="D354">
        <v>2</v>
      </c>
      <c r="E354" s="16" t="s">
        <v>42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58</v>
      </c>
      <c r="D355">
        <v>3</v>
      </c>
      <c r="E355" s="16" t="s">
        <v>43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58</v>
      </c>
      <c r="D356">
        <v>4</v>
      </c>
      <c r="E356" s="16" t="s">
        <v>44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58</v>
      </c>
      <c r="D357">
        <v>5</v>
      </c>
      <c r="E357" s="16" t="s">
        <v>45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58</v>
      </c>
      <c r="D358">
        <v>6</v>
      </c>
      <c r="E358" s="16" t="s">
        <v>46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58</v>
      </c>
      <c r="D359">
        <v>8</v>
      </c>
      <c r="E359" s="16" t="s">
        <v>48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58</v>
      </c>
      <c r="D360">
        <v>10</v>
      </c>
      <c r="E360" s="16" t="s">
        <v>59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58</v>
      </c>
      <c r="D361">
        <v>11</v>
      </c>
      <c r="E361" s="16" t="s">
        <v>50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58</v>
      </c>
      <c r="D362">
        <v>12</v>
      </c>
      <c r="E362" s="16" t="s">
        <v>51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58</v>
      </c>
      <c r="D363">
        <v>13</v>
      </c>
      <c r="E363" s="16" t="s">
        <v>52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58</v>
      </c>
      <c r="D364">
        <v>14</v>
      </c>
      <c r="E364" s="16" t="s">
        <v>53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58</v>
      </c>
      <c r="D365">
        <v>15</v>
      </c>
      <c r="E365" s="16" t="s">
        <v>54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58</v>
      </c>
      <c r="D366">
        <v>16</v>
      </c>
      <c r="E366" s="16" t="s">
        <v>55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58</v>
      </c>
      <c r="D367">
        <v>17</v>
      </c>
      <c r="E367" s="16" t="s">
        <v>56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58</v>
      </c>
      <c r="D368">
        <v>18</v>
      </c>
      <c r="E368" s="16" t="s">
        <v>57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58</v>
      </c>
      <c r="D369">
        <v>1</v>
      </c>
      <c r="E369" s="16" t="s">
        <v>40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58</v>
      </c>
      <c r="D370">
        <v>2</v>
      </c>
      <c r="E370" s="16" t="s">
        <v>42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58</v>
      </c>
      <c r="D371">
        <v>3</v>
      </c>
      <c r="E371" s="16" t="s">
        <v>43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58</v>
      </c>
      <c r="D372">
        <v>4</v>
      </c>
      <c r="E372" s="16" t="s">
        <v>44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58</v>
      </c>
      <c r="D373">
        <v>5</v>
      </c>
      <c r="E373" s="16" t="s">
        <v>45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58</v>
      </c>
      <c r="D374">
        <v>6</v>
      </c>
      <c r="E374" s="16" t="s">
        <v>46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58</v>
      </c>
      <c r="D375">
        <v>8</v>
      </c>
      <c r="E375" s="16" t="s">
        <v>48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58</v>
      </c>
      <c r="D376">
        <v>10</v>
      </c>
      <c r="E376" s="16" t="s">
        <v>59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58</v>
      </c>
      <c r="D377">
        <v>11</v>
      </c>
      <c r="E377" s="16" t="s">
        <v>50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58</v>
      </c>
      <c r="D378">
        <v>12</v>
      </c>
      <c r="E378" s="16" t="s">
        <v>51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58</v>
      </c>
      <c r="D379">
        <v>13</v>
      </c>
      <c r="E379" s="16" t="s">
        <v>52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58</v>
      </c>
      <c r="D380">
        <v>14</v>
      </c>
      <c r="E380" s="16" t="s">
        <v>53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58</v>
      </c>
      <c r="D381">
        <v>15</v>
      </c>
      <c r="E381" s="16" t="s">
        <v>54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58</v>
      </c>
      <c r="D382">
        <v>16</v>
      </c>
      <c r="E382" s="16" t="s">
        <v>55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58</v>
      </c>
      <c r="D383">
        <v>17</v>
      </c>
      <c r="E383" s="16" t="s">
        <v>56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58</v>
      </c>
      <c r="D384">
        <v>18</v>
      </c>
      <c r="E384" s="16" t="s">
        <v>57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58</v>
      </c>
      <c r="D385">
        <v>1</v>
      </c>
      <c r="E385" s="16" t="s">
        <v>40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58</v>
      </c>
      <c r="D386">
        <v>2</v>
      </c>
      <c r="E386" s="16" t="s">
        <v>42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58</v>
      </c>
      <c r="D387">
        <v>3</v>
      </c>
      <c r="E387" s="16" t="s">
        <v>43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58</v>
      </c>
      <c r="D388">
        <v>4</v>
      </c>
      <c r="E388" s="16" t="s">
        <v>44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58</v>
      </c>
      <c r="D389">
        <v>5</v>
      </c>
      <c r="E389" s="16" t="s">
        <v>45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58</v>
      </c>
      <c r="D390">
        <v>6</v>
      </c>
      <c r="E390" s="16" t="s">
        <v>46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58</v>
      </c>
      <c r="D391">
        <v>8</v>
      </c>
      <c r="E391" s="16" t="s">
        <v>48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58</v>
      </c>
      <c r="D392">
        <v>10</v>
      </c>
      <c r="E392" s="16" t="s">
        <v>59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58</v>
      </c>
      <c r="D393">
        <v>11</v>
      </c>
      <c r="E393" s="16" t="s">
        <v>50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58</v>
      </c>
      <c r="D394">
        <v>12</v>
      </c>
      <c r="E394" s="16" t="s">
        <v>51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58</v>
      </c>
      <c r="D395">
        <v>13</v>
      </c>
      <c r="E395" s="16" t="s">
        <v>52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58</v>
      </c>
      <c r="D396">
        <v>14</v>
      </c>
      <c r="E396" s="16" t="s">
        <v>53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58</v>
      </c>
      <c r="D397">
        <v>15</v>
      </c>
      <c r="E397" s="16" t="s">
        <v>54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58</v>
      </c>
      <c r="D398">
        <v>16</v>
      </c>
      <c r="E398" s="16" t="s">
        <v>55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58</v>
      </c>
      <c r="D399">
        <v>17</v>
      </c>
      <c r="E399" s="16" t="s">
        <v>56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58</v>
      </c>
      <c r="D400">
        <v>18</v>
      </c>
      <c r="E400" s="16" t="s">
        <v>57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58</v>
      </c>
      <c r="D401">
        <v>1</v>
      </c>
      <c r="E401" s="16" t="s">
        <v>40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58</v>
      </c>
      <c r="D402">
        <v>2</v>
      </c>
      <c r="E402" s="16" t="s">
        <v>42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58</v>
      </c>
      <c r="D403">
        <v>3</v>
      </c>
      <c r="E403" s="16" t="s">
        <v>43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58</v>
      </c>
      <c r="D404">
        <v>4</v>
      </c>
      <c r="E404" s="16" t="s">
        <v>44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58</v>
      </c>
      <c r="D405">
        <v>5</v>
      </c>
      <c r="E405" s="16" t="s">
        <v>45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58</v>
      </c>
      <c r="D406">
        <v>6</v>
      </c>
      <c r="E406" s="16" t="s">
        <v>46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58</v>
      </c>
      <c r="D407">
        <v>8</v>
      </c>
      <c r="E407" s="16" t="s">
        <v>48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58</v>
      </c>
      <c r="D408">
        <v>10</v>
      </c>
      <c r="E408" s="16" t="s">
        <v>59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58</v>
      </c>
      <c r="D409">
        <v>11</v>
      </c>
      <c r="E409" s="16" t="s">
        <v>50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58</v>
      </c>
      <c r="D410">
        <v>12</v>
      </c>
      <c r="E410" s="16" t="s">
        <v>51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58</v>
      </c>
      <c r="D411">
        <v>13</v>
      </c>
      <c r="E411" s="16" t="s">
        <v>52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58</v>
      </c>
      <c r="D412">
        <v>14</v>
      </c>
      <c r="E412" s="16" t="s">
        <v>53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58</v>
      </c>
      <c r="D413">
        <v>15</v>
      </c>
      <c r="E413" s="16" t="s">
        <v>54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58</v>
      </c>
      <c r="D414">
        <v>16</v>
      </c>
      <c r="E414" s="16" t="s">
        <v>55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58</v>
      </c>
      <c r="D415">
        <v>17</v>
      </c>
      <c r="E415" s="16" t="s">
        <v>56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58</v>
      </c>
      <c r="D416">
        <v>18</v>
      </c>
      <c r="E416" s="16" t="s">
        <v>57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58</v>
      </c>
      <c r="D417">
        <v>1</v>
      </c>
      <c r="E417" s="16" t="s">
        <v>40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58</v>
      </c>
      <c r="D418">
        <v>2</v>
      </c>
      <c r="E418" s="16" t="s">
        <v>42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58</v>
      </c>
      <c r="D419">
        <v>3</v>
      </c>
      <c r="E419" s="16" t="s">
        <v>43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58</v>
      </c>
      <c r="D420">
        <v>4</v>
      </c>
      <c r="E420" s="16" t="s">
        <v>44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58</v>
      </c>
      <c r="D421">
        <v>5</v>
      </c>
      <c r="E421" s="16" t="s">
        <v>45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58</v>
      </c>
      <c r="D422">
        <v>6</v>
      </c>
      <c r="E422" s="16" t="s">
        <v>46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58</v>
      </c>
      <c r="D423">
        <v>8</v>
      </c>
      <c r="E423" s="16" t="s">
        <v>48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58</v>
      </c>
      <c r="D424">
        <v>10</v>
      </c>
      <c r="E424" s="16" t="s">
        <v>59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58</v>
      </c>
      <c r="D425">
        <v>11</v>
      </c>
      <c r="E425" s="16" t="s">
        <v>50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58</v>
      </c>
      <c r="D426">
        <v>12</v>
      </c>
      <c r="E426" s="16" t="s">
        <v>51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58</v>
      </c>
      <c r="D427">
        <v>13</v>
      </c>
      <c r="E427" s="16" t="s">
        <v>52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58</v>
      </c>
      <c r="D428">
        <v>14</v>
      </c>
      <c r="E428" s="16" t="s">
        <v>53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58</v>
      </c>
      <c r="D429">
        <v>15</v>
      </c>
      <c r="E429" s="16" t="s">
        <v>54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58</v>
      </c>
      <c r="D430">
        <v>16</v>
      </c>
      <c r="E430" s="16" t="s">
        <v>55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58</v>
      </c>
      <c r="D431">
        <v>17</v>
      </c>
      <c r="E431" s="16" t="s">
        <v>56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58</v>
      </c>
      <c r="D432">
        <v>18</v>
      </c>
      <c r="E432" s="16" t="s">
        <v>57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58</v>
      </c>
      <c r="D433">
        <v>1</v>
      </c>
      <c r="E433" s="16" t="s">
        <v>40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58</v>
      </c>
      <c r="D434">
        <v>2</v>
      </c>
      <c r="E434" s="16" t="s">
        <v>42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58</v>
      </c>
      <c r="D435">
        <v>3</v>
      </c>
      <c r="E435" s="16" t="s">
        <v>43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58</v>
      </c>
      <c r="D436">
        <v>4</v>
      </c>
      <c r="E436" s="16" t="s">
        <v>44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58</v>
      </c>
      <c r="D437">
        <v>5</v>
      </c>
      <c r="E437" s="16" t="s">
        <v>45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58</v>
      </c>
      <c r="D438">
        <v>6</v>
      </c>
      <c r="E438" s="16" t="s">
        <v>46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58</v>
      </c>
      <c r="D439">
        <v>8</v>
      </c>
      <c r="E439" s="16" t="s">
        <v>48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58</v>
      </c>
      <c r="D440">
        <v>10</v>
      </c>
      <c r="E440" s="16" t="s">
        <v>59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58</v>
      </c>
      <c r="D441">
        <v>11</v>
      </c>
      <c r="E441" s="16" t="s">
        <v>50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58</v>
      </c>
      <c r="D442">
        <v>12</v>
      </c>
      <c r="E442" s="16" t="s">
        <v>51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58</v>
      </c>
      <c r="D443">
        <v>13</v>
      </c>
      <c r="E443" s="16" t="s">
        <v>52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58</v>
      </c>
      <c r="D444">
        <v>14</v>
      </c>
      <c r="E444" s="16" t="s">
        <v>53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58</v>
      </c>
      <c r="D445">
        <v>15</v>
      </c>
      <c r="E445" s="16" t="s">
        <v>54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58</v>
      </c>
      <c r="D446">
        <v>16</v>
      </c>
      <c r="E446" s="16" t="s">
        <v>55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58</v>
      </c>
      <c r="D447">
        <v>17</v>
      </c>
      <c r="E447" s="16" t="s">
        <v>56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58</v>
      </c>
      <c r="D448">
        <v>18</v>
      </c>
      <c r="E448" s="16" t="s">
        <v>57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58</v>
      </c>
      <c r="D449">
        <v>1</v>
      </c>
      <c r="E449" s="16" t="s">
        <v>40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58</v>
      </c>
      <c r="D450">
        <v>2</v>
      </c>
      <c r="E450" s="16" t="s">
        <v>42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58</v>
      </c>
      <c r="D451">
        <v>3</v>
      </c>
      <c r="E451" s="16" t="s">
        <v>43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58</v>
      </c>
      <c r="D452">
        <v>4</v>
      </c>
      <c r="E452" s="16" t="s">
        <v>44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58</v>
      </c>
      <c r="D453">
        <v>6</v>
      </c>
      <c r="E453" s="16" t="s">
        <v>46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58</v>
      </c>
      <c r="D454">
        <v>8</v>
      </c>
      <c r="E454" s="16" t="s">
        <v>48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58</v>
      </c>
      <c r="D455">
        <v>10</v>
      </c>
      <c r="E455" s="16" t="s">
        <v>59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58</v>
      </c>
      <c r="D456">
        <v>11</v>
      </c>
      <c r="E456" s="16" t="s">
        <v>50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58</v>
      </c>
      <c r="D457">
        <v>12</v>
      </c>
      <c r="E457" s="16" t="s">
        <v>51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58</v>
      </c>
      <c r="D458">
        <v>13</v>
      </c>
      <c r="E458" s="16" t="s">
        <v>52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58</v>
      </c>
      <c r="D459">
        <v>14</v>
      </c>
      <c r="E459" s="16" t="s">
        <v>53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58</v>
      </c>
      <c r="D460">
        <v>15</v>
      </c>
      <c r="E460" s="16" t="s">
        <v>54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58</v>
      </c>
      <c r="D461">
        <v>16</v>
      </c>
      <c r="E461" s="16" t="s">
        <v>55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58</v>
      </c>
      <c r="D462">
        <v>17</v>
      </c>
      <c r="E462" s="16" t="s">
        <v>56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58</v>
      </c>
      <c r="D463">
        <v>18</v>
      </c>
      <c r="E463" s="16" t="s">
        <v>57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58</v>
      </c>
      <c r="D464">
        <v>1</v>
      </c>
      <c r="E464" s="16" t="s">
        <v>40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58</v>
      </c>
      <c r="D465">
        <v>2</v>
      </c>
      <c r="E465" s="16" t="s">
        <v>42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58</v>
      </c>
      <c r="D466">
        <v>3</v>
      </c>
      <c r="E466" s="16" t="s">
        <v>43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58</v>
      </c>
      <c r="D467">
        <v>4</v>
      </c>
      <c r="E467" s="16" t="s">
        <v>44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58</v>
      </c>
      <c r="D468">
        <v>6</v>
      </c>
      <c r="E468" s="16" t="s">
        <v>46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58</v>
      </c>
      <c r="D469">
        <v>8</v>
      </c>
      <c r="E469" s="16" t="s">
        <v>48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58</v>
      </c>
      <c r="D470">
        <v>10</v>
      </c>
      <c r="E470" s="16" t="s">
        <v>59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58</v>
      </c>
      <c r="D471">
        <v>11</v>
      </c>
      <c r="E471" s="16" t="s">
        <v>50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58</v>
      </c>
      <c r="D472">
        <v>12</v>
      </c>
      <c r="E472" s="16" t="s">
        <v>51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58</v>
      </c>
      <c r="D473">
        <v>13</v>
      </c>
      <c r="E473" s="16" t="s">
        <v>52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58</v>
      </c>
      <c r="D474">
        <v>14</v>
      </c>
      <c r="E474" s="16" t="s">
        <v>53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58</v>
      </c>
      <c r="D475">
        <v>15</v>
      </c>
      <c r="E475" s="16" t="s">
        <v>54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58</v>
      </c>
      <c r="D476">
        <v>16</v>
      </c>
      <c r="E476" s="16" t="s">
        <v>55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58</v>
      </c>
      <c r="D477">
        <v>17</v>
      </c>
      <c r="E477" s="16" t="s">
        <v>56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58</v>
      </c>
      <c r="D478">
        <v>18</v>
      </c>
      <c r="E478" s="16" t="s">
        <v>57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58</v>
      </c>
      <c r="D479">
        <v>1</v>
      </c>
      <c r="E479" s="16" t="s">
        <v>40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58</v>
      </c>
      <c r="D480">
        <v>2</v>
      </c>
      <c r="E480" s="16" t="s">
        <v>42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58</v>
      </c>
      <c r="D481">
        <v>3</v>
      </c>
      <c r="E481" s="16" t="s">
        <v>43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58</v>
      </c>
      <c r="D482">
        <v>4</v>
      </c>
      <c r="E482" s="16" t="s">
        <v>44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58</v>
      </c>
      <c r="D483">
        <v>6</v>
      </c>
      <c r="E483" s="16" t="s">
        <v>46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58</v>
      </c>
      <c r="D484">
        <v>8</v>
      </c>
      <c r="E484" s="16" t="s">
        <v>48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58</v>
      </c>
      <c r="D485">
        <v>10</v>
      </c>
      <c r="E485" s="16" t="s">
        <v>59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58</v>
      </c>
      <c r="D486">
        <v>11</v>
      </c>
      <c r="E486" s="16" t="s">
        <v>50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58</v>
      </c>
      <c r="D487">
        <v>12</v>
      </c>
      <c r="E487" s="16" t="s">
        <v>51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58</v>
      </c>
      <c r="D488">
        <v>13</v>
      </c>
      <c r="E488" s="16" t="s">
        <v>52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58</v>
      </c>
      <c r="D489">
        <v>14</v>
      </c>
      <c r="E489" s="16" t="s">
        <v>53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58</v>
      </c>
      <c r="D490">
        <v>15</v>
      </c>
      <c r="E490" s="16" t="s">
        <v>54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58</v>
      </c>
      <c r="D491">
        <v>16</v>
      </c>
      <c r="E491" s="16" t="s">
        <v>55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58</v>
      </c>
      <c r="D492">
        <v>17</v>
      </c>
      <c r="E492" s="16" t="s">
        <v>56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58</v>
      </c>
      <c r="D493">
        <v>18</v>
      </c>
      <c r="E493" s="16" t="s">
        <v>57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58</v>
      </c>
      <c r="D494">
        <v>1</v>
      </c>
      <c r="E494" s="16" t="s">
        <v>40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58</v>
      </c>
      <c r="D495">
        <v>2</v>
      </c>
      <c r="E495" s="16" t="s">
        <v>42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58</v>
      </c>
      <c r="D496">
        <v>3</v>
      </c>
      <c r="E496" s="16" t="s">
        <v>43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58</v>
      </c>
      <c r="D497">
        <v>4</v>
      </c>
      <c r="E497" s="16" t="s">
        <v>44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58</v>
      </c>
      <c r="D498">
        <v>6</v>
      </c>
      <c r="E498" s="16" t="s">
        <v>46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58</v>
      </c>
      <c r="D499">
        <v>8</v>
      </c>
      <c r="E499" s="16" t="s">
        <v>48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58</v>
      </c>
      <c r="D500">
        <v>10</v>
      </c>
      <c r="E500" s="16" t="s">
        <v>59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58</v>
      </c>
      <c r="D501">
        <v>11</v>
      </c>
      <c r="E501" s="16" t="s">
        <v>50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58</v>
      </c>
      <c r="D502">
        <v>12</v>
      </c>
      <c r="E502" s="16" t="s">
        <v>51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58</v>
      </c>
      <c r="D503">
        <v>13</v>
      </c>
      <c r="E503" s="16" t="s">
        <v>52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58</v>
      </c>
      <c r="D504">
        <v>14</v>
      </c>
      <c r="E504" s="16" t="s">
        <v>53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58</v>
      </c>
      <c r="D505">
        <v>15</v>
      </c>
      <c r="E505" s="16" t="s">
        <v>54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58</v>
      </c>
      <c r="D506">
        <v>16</v>
      </c>
      <c r="E506" s="16" t="s">
        <v>55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58</v>
      </c>
      <c r="D507">
        <v>17</v>
      </c>
      <c r="E507" s="16" t="s">
        <v>56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58</v>
      </c>
      <c r="D508">
        <v>18</v>
      </c>
      <c r="E508" s="16" t="s">
        <v>57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58</v>
      </c>
      <c r="D509">
        <v>1</v>
      </c>
      <c r="E509" s="16" t="s">
        <v>40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58</v>
      </c>
      <c r="D510">
        <v>2</v>
      </c>
      <c r="E510" s="16" t="s">
        <v>42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58</v>
      </c>
      <c r="D511">
        <v>3</v>
      </c>
      <c r="E511" s="16" t="s">
        <v>43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58</v>
      </c>
      <c r="D512">
        <v>4</v>
      </c>
      <c r="E512" s="16" t="s">
        <v>44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58</v>
      </c>
      <c r="D513">
        <v>6</v>
      </c>
      <c r="E513" s="16" t="s">
        <v>46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58</v>
      </c>
      <c r="D514">
        <v>8</v>
      </c>
      <c r="E514" s="16" t="s">
        <v>48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58</v>
      </c>
      <c r="D515">
        <v>10</v>
      </c>
      <c r="E515" s="16" t="s">
        <v>59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58</v>
      </c>
      <c r="D516">
        <v>11</v>
      </c>
      <c r="E516" s="16" t="s">
        <v>50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58</v>
      </c>
      <c r="D517">
        <v>12</v>
      </c>
      <c r="E517" s="16" t="s">
        <v>51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58</v>
      </c>
      <c r="D518">
        <v>13</v>
      </c>
      <c r="E518" s="16" t="s">
        <v>52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58</v>
      </c>
      <c r="D519">
        <v>14</v>
      </c>
      <c r="E519" s="16" t="s">
        <v>53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58</v>
      </c>
      <c r="D520">
        <v>15</v>
      </c>
      <c r="E520" s="16" t="s">
        <v>54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58</v>
      </c>
      <c r="D521">
        <v>16</v>
      </c>
      <c r="E521" s="16" t="s">
        <v>55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58</v>
      </c>
      <c r="D522">
        <v>17</v>
      </c>
      <c r="E522" s="16" t="s">
        <v>56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58</v>
      </c>
      <c r="D523">
        <v>18</v>
      </c>
      <c r="E523" s="16" t="s">
        <v>57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58</v>
      </c>
      <c r="D524">
        <v>1</v>
      </c>
      <c r="E524" s="16" t="s">
        <v>40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58</v>
      </c>
      <c r="D525">
        <v>2</v>
      </c>
      <c r="E525" s="16" t="s">
        <v>42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58</v>
      </c>
      <c r="D526">
        <v>3</v>
      </c>
      <c r="E526" s="16" t="s">
        <v>43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58</v>
      </c>
      <c r="D527">
        <v>4</v>
      </c>
      <c r="E527" s="16" t="s">
        <v>44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58</v>
      </c>
      <c r="D528">
        <v>6</v>
      </c>
      <c r="E528" s="16" t="s">
        <v>46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58</v>
      </c>
      <c r="D529">
        <v>8</v>
      </c>
      <c r="E529" s="16" t="s">
        <v>48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58</v>
      </c>
      <c r="D530">
        <v>10</v>
      </c>
      <c r="E530" s="16" t="s">
        <v>59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58</v>
      </c>
      <c r="D531">
        <v>11</v>
      </c>
      <c r="E531" s="16" t="s">
        <v>50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58</v>
      </c>
      <c r="D532">
        <v>12</v>
      </c>
      <c r="E532" s="16" t="s">
        <v>51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58</v>
      </c>
      <c r="D533">
        <v>13</v>
      </c>
      <c r="E533" s="16" t="s">
        <v>52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58</v>
      </c>
      <c r="D534">
        <v>14</v>
      </c>
      <c r="E534" s="16" t="s">
        <v>53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58</v>
      </c>
      <c r="D535">
        <v>15</v>
      </c>
      <c r="E535" s="16" t="s">
        <v>54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58</v>
      </c>
      <c r="D536">
        <v>16</v>
      </c>
      <c r="E536" s="16" t="s">
        <v>55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58</v>
      </c>
      <c r="D537">
        <v>17</v>
      </c>
      <c r="E537" s="16" t="s">
        <v>56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58</v>
      </c>
      <c r="D538">
        <v>18</v>
      </c>
      <c r="E538" s="16" t="s">
        <v>57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58</v>
      </c>
      <c r="D539">
        <v>1</v>
      </c>
      <c r="E539" s="16" t="s">
        <v>40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58</v>
      </c>
      <c r="D540">
        <v>2</v>
      </c>
      <c r="E540" s="16" t="s">
        <v>42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58</v>
      </c>
      <c r="D541">
        <v>3</v>
      </c>
      <c r="E541" s="16" t="s">
        <v>43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58</v>
      </c>
      <c r="D542">
        <v>4</v>
      </c>
      <c r="E542" s="16" t="s">
        <v>44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58</v>
      </c>
      <c r="D543">
        <v>6</v>
      </c>
      <c r="E543" s="16" t="s">
        <v>46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58</v>
      </c>
      <c r="D544">
        <v>8</v>
      </c>
      <c r="E544" s="16" t="s">
        <v>48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58</v>
      </c>
      <c r="D545">
        <v>10</v>
      </c>
      <c r="E545" s="16" t="s">
        <v>59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58</v>
      </c>
      <c r="D546">
        <v>11</v>
      </c>
      <c r="E546" s="16" t="s">
        <v>50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58</v>
      </c>
      <c r="D547">
        <v>12</v>
      </c>
      <c r="E547" s="16" t="s">
        <v>51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58</v>
      </c>
      <c r="D548">
        <v>13</v>
      </c>
      <c r="E548" s="16" t="s">
        <v>52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58</v>
      </c>
      <c r="D549">
        <v>14</v>
      </c>
      <c r="E549" s="16" t="s">
        <v>53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58</v>
      </c>
      <c r="D550">
        <v>15</v>
      </c>
      <c r="E550" s="16" t="s">
        <v>54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58</v>
      </c>
      <c r="D551">
        <v>16</v>
      </c>
      <c r="E551" s="16" t="s">
        <v>55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58</v>
      </c>
      <c r="D552">
        <v>17</v>
      </c>
      <c r="E552" s="16" t="s">
        <v>56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58</v>
      </c>
      <c r="D553">
        <v>18</v>
      </c>
      <c r="E553" s="16" t="s">
        <v>57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58</v>
      </c>
      <c r="D554">
        <v>1</v>
      </c>
      <c r="E554" s="16" t="s">
        <v>40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58</v>
      </c>
      <c r="D555">
        <v>2</v>
      </c>
      <c r="E555" s="16" t="s">
        <v>42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58</v>
      </c>
      <c r="D556">
        <v>3</v>
      </c>
      <c r="E556" s="16" t="s">
        <v>43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58</v>
      </c>
      <c r="D557">
        <v>4</v>
      </c>
      <c r="E557" s="16" t="s">
        <v>44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58</v>
      </c>
      <c r="D558">
        <v>6</v>
      </c>
      <c r="E558" s="16" t="s">
        <v>46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58</v>
      </c>
      <c r="D559">
        <v>8</v>
      </c>
      <c r="E559" s="16" t="s">
        <v>48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58</v>
      </c>
      <c r="D560">
        <v>10</v>
      </c>
      <c r="E560" s="16" t="s">
        <v>59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58</v>
      </c>
      <c r="D561">
        <v>11</v>
      </c>
      <c r="E561" s="16" t="s">
        <v>50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58</v>
      </c>
      <c r="D562">
        <v>12</v>
      </c>
      <c r="E562" s="16" t="s">
        <v>51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58</v>
      </c>
      <c r="D563">
        <v>13</v>
      </c>
      <c r="E563" s="16" t="s">
        <v>52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58</v>
      </c>
      <c r="D564">
        <v>14</v>
      </c>
      <c r="E564" s="16" t="s">
        <v>53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58</v>
      </c>
      <c r="D565">
        <v>15</v>
      </c>
      <c r="E565" s="16" t="s">
        <v>54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58</v>
      </c>
      <c r="D566">
        <v>16</v>
      </c>
      <c r="E566" s="16" t="s">
        <v>55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58</v>
      </c>
      <c r="D567">
        <v>17</v>
      </c>
      <c r="E567" s="16" t="s">
        <v>56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58</v>
      </c>
      <c r="D568">
        <v>18</v>
      </c>
      <c r="E568" s="16" t="s">
        <v>57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58</v>
      </c>
      <c r="D569">
        <v>1</v>
      </c>
      <c r="E569" s="16" t="s">
        <v>40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58</v>
      </c>
      <c r="D570">
        <v>2</v>
      </c>
      <c r="E570" s="16" t="s">
        <v>42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58</v>
      </c>
      <c r="D571">
        <v>3</v>
      </c>
      <c r="E571" s="16" t="s">
        <v>43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58</v>
      </c>
      <c r="D572">
        <v>4</v>
      </c>
      <c r="E572" s="16" t="s">
        <v>44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58</v>
      </c>
      <c r="D573">
        <v>6</v>
      </c>
      <c r="E573" s="16" t="s">
        <v>46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58</v>
      </c>
      <c r="D574">
        <v>8</v>
      </c>
      <c r="E574" s="16" t="s">
        <v>48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58</v>
      </c>
      <c r="D575">
        <v>10</v>
      </c>
      <c r="E575" s="16" t="s">
        <v>59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58</v>
      </c>
      <c r="D576">
        <v>11</v>
      </c>
      <c r="E576" s="16" t="s">
        <v>50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58</v>
      </c>
      <c r="D577">
        <v>12</v>
      </c>
      <c r="E577" s="16" t="s">
        <v>51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58</v>
      </c>
      <c r="D578">
        <v>13</v>
      </c>
      <c r="E578" s="16" t="s">
        <v>52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58</v>
      </c>
      <c r="D579">
        <v>14</v>
      </c>
      <c r="E579" s="16" t="s">
        <v>53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58</v>
      </c>
      <c r="D580">
        <v>15</v>
      </c>
      <c r="E580" s="16" t="s">
        <v>54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58</v>
      </c>
      <c r="D581">
        <v>16</v>
      </c>
      <c r="E581" s="16" t="s">
        <v>55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58</v>
      </c>
      <c r="D582">
        <v>17</v>
      </c>
      <c r="E582" s="16" t="s">
        <v>56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58</v>
      </c>
      <c r="D583">
        <v>18</v>
      </c>
      <c r="E583" s="16" t="s">
        <v>57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58</v>
      </c>
      <c r="D584">
        <v>1</v>
      </c>
      <c r="E584" s="16" t="s">
        <v>40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58</v>
      </c>
      <c r="D585">
        <v>2</v>
      </c>
      <c r="E585" s="16" t="s">
        <v>42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58</v>
      </c>
      <c r="D586">
        <v>3</v>
      </c>
      <c r="E586" s="16" t="s">
        <v>43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58</v>
      </c>
      <c r="D587">
        <v>4</v>
      </c>
      <c r="E587" s="16" t="s">
        <v>44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58</v>
      </c>
      <c r="D588">
        <v>6</v>
      </c>
      <c r="E588" s="16" t="s">
        <v>46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58</v>
      </c>
      <c r="D589">
        <v>8</v>
      </c>
      <c r="E589" s="16" t="s">
        <v>48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58</v>
      </c>
      <c r="D590">
        <v>10</v>
      </c>
      <c r="E590" s="16" t="s">
        <v>59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58</v>
      </c>
      <c r="D591">
        <v>11</v>
      </c>
      <c r="E591" s="16" t="s">
        <v>50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58</v>
      </c>
      <c r="D592">
        <v>12</v>
      </c>
      <c r="E592" s="16" t="s">
        <v>51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58</v>
      </c>
      <c r="D593">
        <v>13</v>
      </c>
      <c r="E593" s="16" t="s">
        <v>52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58</v>
      </c>
      <c r="D594">
        <v>14</v>
      </c>
      <c r="E594" s="16" t="s">
        <v>53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58</v>
      </c>
      <c r="D595">
        <v>15</v>
      </c>
      <c r="E595" s="16" t="s">
        <v>54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58</v>
      </c>
      <c r="D596">
        <v>16</v>
      </c>
      <c r="E596" s="16" t="s">
        <v>55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58</v>
      </c>
      <c r="D597">
        <v>17</v>
      </c>
      <c r="E597" s="16" t="s">
        <v>56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58</v>
      </c>
      <c r="D598">
        <v>18</v>
      </c>
      <c r="E598" s="16" t="s">
        <v>57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58</v>
      </c>
      <c r="D599">
        <v>1</v>
      </c>
      <c r="E599" s="16" t="s">
        <v>40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58</v>
      </c>
      <c r="D600">
        <v>2</v>
      </c>
      <c r="E600" s="16" t="s">
        <v>42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58</v>
      </c>
      <c r="D601">
        <v>3</v>
      </c>
      <c r="E601" s="16" t="s">
        <v>43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58</v>
      </c>
      <c r="D602">
        <v>4</v>
      </c>
      <c r="E602" s="16" t="s">
        <v>44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58</v>
      </c>
      <c r="D603">
        <v>6</v>
      </c>
      <c r="E603" s="16" t="s">
        <v>46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58</v>
      </c>
      <c r="D604">
        <v>8</v>
      </c>
      <c r="E604" s="16" t="s">
        <v>48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58</v>
      </c>
      <c r="D605">
        <v>10</v>
      </c>
      <c r="E605" s="16" t="s">
        <v>59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58</v>
      </c>
      <c r="D606">
        <v>11</v>
      </c>
      <c r="E606" s="16" t="s">
        <v>50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58</v>
      </c>
      <c r="D607">
        <v>12</v>
      </c>
      <c r="E607" s="16" t="s">
        <v>51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58</v>
      </c>
      <c r="D608">
        <v>13</v>
      </c>
      <c r="E608" s="16" t="s">
        <v>52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58</v>
      </c>
      <c r="D609">
        <v>14</v>
      </c>
      <c r="E609" s="16" t="s">
        <v>53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58</v>
      </c>
      <c r="D610">
        <v>15</v>
      </c>
      <c r="E610" s="16" t="s">
        <v>54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58</v>
      </c>
      <c r="D611">
        <v>16</v>
      </c>
      <c r="E611" s="16" t="s">
        <v>55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58</v>
      </c>
      <c r="D612">
        <v>17</v>
      </c>
      <c r="E612" s="16" t="s">
        <v>56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58</v>
      </c>
      <c r="D613">
        <v>18</v>
      </c>
      <c r="E613" s="16" t="s">
        <v>57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58</v>
      </c>
      <c r="D614">
        <v>1</v>
      </c>
      <c r="E614" s="16" t="s">
        <v>40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58</v>
      </c>
      <c r="D615">
        <v>2</v>
      </c>
      <c r="E615" s="16" t="s">
        <v>42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58</v>
      </c>
      <c r="D616">
        <v>3</v>
      </c>
      <c r="E616" s="16" t="s">
        <v>43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58</v>
      </c>
      <c r="D617">
        <v>4</v>
      </c>
      <c r="E617" s="16" t="s">
        <v>44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58</v>
      </c>
      <c r="D618">
        <v>6</v>
      </c>
      <c r="E618" s="16" t="s">
        <v>46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58</v>
      </c>
      <c r="D619">
        <v>8</v>
      </c>
      <c r="E619" s="16" t="s">
        <v>48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58</v>
      </c>
      <c r="D620">
        <v>10</v>
      </c>
      <c r="E620" s="16" t="s">
        <v>59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58</v>
      </c>
      <c r="D621">
        <v>11</v>
      </c>
      <c r="E621" s="16" t="s">
        <v>50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58</v>
      </c>
      <c r="D622">
        <v>12</v>
      </c>
      <c r="E622" s="16" t="s">
        <v>51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58</v>
      </c>
      <c r="D623">
        <v>13</v>
      </c>
      <c r="E623" s="16" t="s">
        <v>52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58</v>
      </c>
      <c r="D624">
        <v>14</v>
      </c>
      <c r="E624" s="16" t="s">
        <v>53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58</v>
      </c>
      <c r="D625">
        <v>15</v>
      </c>
      <c r="E625" s="16" t="s">
        <v>54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58</v>
      </c>
      <c r="D626">
        <v>16</v>
      </c>
      <c r="E626" s="16" t="s">
        <v>55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58</v>
      </c>
      <c r="D627">
        <v>17</v>
      </c>
      <c r="E627" s="16" t="s">
        <v>56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58</v>
      </c>
      <c r="D628">
        <v>18</v>
      </c>
      <c r="E628" s="16" t="s">
        <v>57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58</v>
      </c>
      <c r="D629">
        <v>1</v>
      </c>
      <c r="E629" s="16" t="s">
        <v>40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58</v>
      </c>
      <c r="D630">
        <v>2</v>
      </c>
      <c r="E630" s="16" t="s">
        <v>42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58</v>
      </c>
      <c r="D631">
        <v>3</v>
      </c>
      <c r="E631" s="16" t="s">
        <v>43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58</v>
      </c>
      <c r="D632">
        <v>4</v>
      </c>
      <c r="E632" s="16" t="s">
        <v>44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58</v>
      </c>
      <c r="D633">
        <v>6</v>
      </c>
      <c r="E633" s="16" t="s">
        <v>46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58</v>
      </c>
      <c r="D634">
        <v>8</v>
      </c>
      <c r="E634" s="16" t="s">
        <v>48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58</v>
      </c>
      <c r="D635">
        <v>10</v>
      </c>
      <c r="E635" s="16" t="s">
        <v>59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58</v>
      </c>
      <c r="D636">
        <v>11</v>
      </c>
      <c r="E636" s="16" t="s">
        <v>50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58</v>
      </c>
      <c r="D637">
        <v>12</v>
      </c>
      <c r="E637" s="16" t="s">
        <v>51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58</v>
      </c>
      <c r="D638">
        <v>13</v>
      </c>
      <c r="E638" s="16" t="s">
        <v>52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58</v>
      </c>
      <c r="D639">
        <v>14</v>
      </c>
      <c r="E639" s="16" t="s">
        <v>53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58</v>
      </c>
      <c r="D640">
        <v>15</v>
      </c>
      <c r="E640" s="16" t="s">
        <v>54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58</v>
      </c>
      <c r="D641">
        <v>16</v>
      </c>
      <c r="E641" s="16" t="s">
        <v>55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58</v>
      </c>
      <c r="D642">
        <v>17</v>
      </c>
      <c r="E642" s="16" t="s">
        <v>56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58</v>
      </c>
      <c r="D643">
        <v>18</v>
      </c>
      <c r="E643" s="16" t="s">
        <v>57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58</v>
      </c>
      <c r="D644">
        <v>1</v>
      </c>
      <c r="E644" s="16" t="s">
        <v>40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58</v>
      </c>
      <c r="D645">
        <v>2</v>
      </c>
      <c r="E645" s="16" t="s">
        <v>42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58</v>
      </c>
      <c r="D646">
        <v>3</v>
      </c>
      <c r="E646" s="16" t="s">
        <v>43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58</v>
      </c>
      <c r="D647">
        <v>4</v>
      </c>
      <c r="E647" s="16" t="s">
        <v>44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58</v>
      </c>
      <c r="D648">
        <v>6</v>
      </c>
      <c r="E648" s="16" t="s">
        <v>46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58</v>
      </c>
      <c r="D649">
        <v>8</v>
      </c>
      <c r="E649" s="16" t="s">
        <v>48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58</v>
      </c>
      <c r="D650">
        <v>10</v>
      </c>
      <c r="E650" s="16" t="s">
        <v>59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58</v>
      </c>
      <c r="D651">
        <v>11</v>
      </c>
      <c r="E651" s="16" t="s">
        <v>50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58</v>
      </c>
      <c r="D652">
        <v>12</v>
      </c>
      <c r="E652" s="16" t="s">
        <v>51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58</v>
      </c>
      <c r="D653">
        <v>13</v>
      </c>
      <c r="E653" s="16" t="s">
        <v>52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58</v>
      </c>
      <c r="D654">
        <v>14</v>
      </c>
      <c r="E654" s="16" t="s">
        <v>53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58</v>
      </c>
      <c r="D655">
        <v>15</v>
      </c>
      <c r="E655" s="16" t="s">
        <v>54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58</v>
      </c>
      <c r="D656">
        <v>16</v>
      </c>
      <c r="E656" s="16" t="s">
        <v>55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58</v>
      </c>
      <c r="D657">
        <v>17</v>
      </c>
      <c r="E657" s="16" t="s">
        <v>56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58</v>
      </c>
      <c r="D658">
        <v>18</v>
      </c>
      <c r="E658" s="16" t="s">
        <v>57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60</v>
      </c>
      <c r="D659">
        <v>1</v>
      </c>
      <c r="E659" s="16" t="s">
        <v>40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60</v>
      </c>
      <c r="D660">
        <v>2</v>
      </c>
      <c r="E660" s="16" t="s">
        <v>42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60</v>
      </c>
      <c r="D661">
        <v>4</v>
      </c>
      <c r="E661" s="16" t="s">
        <v>44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60</v>
      </c>
      <c r="D662">
        <v>6</v>
      </c>
      <c r="E662" s="16" t="s">
        <v>46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60</v>
      </c>
      <c r="D663">
        <v>7</v>
      </c>
      <c r="E663" s="16" t="s">
        <v>47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60</v>
      </c>
      <c r="D664">
        <v>9</v>
      </c>
      <c r="E664" s="16" t="s">
        <v>49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60</v>
      </c>
      <c r="D665">
        <v>11</v>
      </c>
      <c r="E665" s="16" t="s">
        <v>50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60</v>
      </c>
      <c r="D666">
        <v>12</v>
      </c>
      <c r="E666" s="16" t="s">
        <v>51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60</v>
      </c>
      <c r="D667">
        <v>13</v>
      </c>
      <c r="E667" s="16" t="s">
        <v>52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60</v>
      </c>
      <c r="D668">
        <v>14</v>
      </c>
      <c r="E668" s="16" t="s">
        <v>53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60</v>
      </c>
      <c r="D669">
        <v>15</v>
      </c>
      <c r="E669" s="16" t="s">
        <v>54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60</v>
      </c>
      <c r="D670">
        <v>16</v>
      </c>
      <c r="E670" s="16" t="s">
        <v>55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60</v>
      </c>
      <c r="D671">
        <v>17</v>
      </c>
      <c r="E671" s="16" t="s">
        <v>56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60</v>
      </c>
      <c r="D672">
        <v>18</v>
      </c>
      <c r="E672" s="16" t="s">
        <v>57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60</v>
      </c>
      <c r="D673">
        <v>1</v>
      </c>
      <c r="E673" s="16" t="s">
        <v>40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60</v>
      </c>
      <c r="D674">
        <v>2</v>
      </c>
      <c r="E674" s="16" t="s">
        <v>42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60</v>
      </c>
      <c r="D675">
        <v>4</v>
      </c>
      <c r="E675" s="16" t="s">
        <v>44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60</v>
      </c>
      <c r="D676">
        <v>6</v>
      </c>
      <c r="E676" s="16" t="s">
        <v>46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60</v>
      </c>
      <c r="D677">
        <v>7</v>
      </c>
      <c r="E677" s="16" t="s">
        <v>47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60</v>
      </c>
      <c r="D678">
        <v>9</v>
      </c>
      <c r="E678" s="16" t="s">
        <v>49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60</v>
      </c>
      <c r="D679">
        <v>11</v>
      </c>
      <c r="E679" s="16" t="s">
        <v>50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60</v>
      </c>
      <c r="D680">
        <v>12</v>
      </c>
      <c r="E680" s="16" t="s">
        <v>51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60</v>
      </c>
      <c r="D681">
        <v>13</v>
      </c>
      <c r="E681" s="16" t="s">
        <v>52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60</v>
      </c>
      <c r="D682">
        <v>14</v>
      </c>
      <c r="E682" s="16" t="s">
        <v>53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60</v>
      </c>
      <c r="D683">
        <v>15</v>
      </c>
      <c r="E683" s="16" t="s">
        <v>54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60</v>
      </c>
      <c r="D684">
        <v>16</v>
      </c>
      <c r="E684" s="16" t="s">
        <v>55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60</v>
      </c>
      <c r="D685">
        <v>17</v>
      </c>
      <c r="E685" s="16" t="s">
        <v>56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60</v>
      </c>
      <c r="D686">
        <v>18</v>
      </c>
      <c r="E686" s="16" t="s">
        <v>57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60</v>
      </c>
      <c r="D687">
        <v>1</v>
      </c>
      <c r="E687" s="16" t="s">
        <v>40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60</v>
      </c>
      <c r="D688">
        <v>2</v>
      </c>
      <c r="E688" s="16" t="s">
        <v>42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60</v>
      </c>
      <c r="D689">
        <v>4</v>
      </c>
      <c r="E689" s="16" t="s">
        <v>44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60</v>
      </c>
      <c r="D690">
        <v>6</v>
      </c>
      <c r="E690" s="16" t="s">
        <v>46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60</v>
      </c>
      <c r="D691">
        <v>7</v>
      </c>
      <c r="E691" s="16" t="s">
        <v>47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60</v>
      </c>
      <c r="D692">
        <v>9</v>
      </c>
      <c r="E692" s="16" t="s">
        <v>49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60</v>
      </c>
      <c r="D693">
        <v>11</v>
      </c>
      <c r="E693" s="16" t="s">
        <v>50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60</v>
      </c>
      <c r="D694">
        <v>12</v>
      </c>
      <c r="E694" s="16" t="s">
        <v>51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60</v>
      </c>
      <c r="D695">
        <v>13</v>
      </c>
      <c r="E695" s="16" t="s">
        <v>52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60</v>
      </c>
      <c r="D696">
        <v>14</v>
      </c>
      <c r="E696" s="16" t="s">
        <v>53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60</v>
      </c>
      <c r="D697">
        <v>15</v>
      </c>
      <c r="E697" s="16" t="s">
        <v>54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60</v>
      </c>
      <c r="D698">
        <v>16</v>
      </c>
      <c r="E698" s="16" t="s">
        <v>55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60</v>
      </c>
      <c r="D699">
        <v>17</v>
      </c>
      <c r="E699" s="16" t="s">
        <v>56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60</v>
      </c>
      <c r="D700">
        <v>18</v>
      </c>
      <c r="E700" s="16" t="s">
        <v>57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60</v>
      </c>
      <c r="D701">
        <v>1</v>
      </c>
      <c r="E701" s="16" t="s">
        <v>40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60</v>
      </c>
      <c r="D702">
        <v>2</v>
      </c>
      <c r="E702" s="16" t="s">
        <v>42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60</v>
      </c>
      <c r="D703">
        <v>4</v>
      </c>
      <c r="E703" s="16" t="s">
        <v>44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60</v>
      </c>
      <c r="D704">
        <v>6</v>
      </c>
      <c r="E704" s="16" t="s">
        <v>46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60</v>
      </c>
      <c r="D705">
        <v>7</v>
      </c>
      <c r="E705" s="16" t="s">
        <v>47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60</v>
      </c>
      <c r="D706">
        <v>9</v>
      </c>
      <c r="E706" s="16" t="s">
        <v>49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60</v>
      </c>
      <c r="D707">
        <v>11</v>
      </c>
      <c r="E707" s="16" t="s">
        <v>50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60</v>
      </c>
      <c r="D708">
        <v>12</v>
      </c>
      <c r="E708" s="16" t="s">
        <v>51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60</v>
      </c>
      <c r="D709">
        <v>13</v>
      </c>
      <c r="E709" s="16" t="s">
        <v>52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60</v>
      </c>
      <c r="D710">
        <v>14</v>
      </c>
      <c r="E710" s="16" t="s">
        <v>53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60</v>
      </c>
      <c r="D711">
        <v>15</v>
      </c>
      <c r="E711" s="16" t="s">
        <v>54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60</v>
      </c>
      <c r="D712">
        <v>16</v>
      </c>
      <c r="E712" s="16" t="s">
        <v>55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60</v>
      </c>
      <c r="D713">
        <v>17</v>
      </c>
      <c r="E713" s="16" t="s">
        <v>56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60</v>
      </c>
      <c r="D714">
        <v>18</v>
      </c>
      <c r="E714" s="16" t="s">
        <v>57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60</v>
      </c>
      <c r="D715">
        <v>1</v>
      </c>
      <c r="E715" s="16" t="s">
        <v>40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60</v>
      </c>
      <c r="D716">
        <v>2</v>
      </c>
      <c r="E716" s="16" t="s">
        <v>42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60</v>
      </c>
      <c r="D717">
        <v>4</v>
      </c>
      <c r="E717" s="16" t="s">
        <v>44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60</v>
      </c>
      <c r="D718">
        <v>6</v>
      </c>
      <c r="E718" s="16" t="s">
        <v>46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60</v>
      </c>
      <c r="D719">
        <v>7</v>
      </c>
      <c r="E719" s="16" t="s">
        <v>47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60</v>
      </c>
      <c r="D720">
        <v>9</v>
      </c>
      <c r="E720" s="16" t="s">
        <v>49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60</v>
      </c>
      <c r="D721">
        <v>11</v>
      </c>
      <c r="E721" s="16" t="s">
        <v>50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60</v>
      </c>
      <c r="D722">
        <v>12</v>
      </c>
      <c r="E722" s="16" t="s">
        <v>51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60</v>
      </c>
      <c r="D723">
        <v>13</v>
      </c>
      <c r="E723" s="16" t="s">
        <v>52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60</v>
      </c>
      <c r="D724">
        <v>14</v>
      </c>
      <c r="E724" s="16" t="s">
        <v>53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60</v>
      </c>
      <c r="D725">
        <v>15</v>
      </c>
      <c r="E725" s="16" t="s">
        <v>54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60</v>
      </c>
      <c r="D726">
        <v>16</v>
      </c>
      <c r="E726" s="16" t="s">
        <v>55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60</v>
      </c>
      <c r="D727">
        <v>17</v>
      </c>
      <c r="E727" s="16" t="s">
        <v>56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60</v>
      </c>
      <c r="D728">
        <v>18</v>
      </c>
      <c r="E728" s="16" t="s">
        <v>57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60</v>
      </c>
      <c r="D729">
        <v>1</v>
      </c>
      <c r="E729" s="16" t="s">
        <v>40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60</v>
      </c>
      <c r="D730">
        <v>2</v>
      </c>
      <c r="E730" s="16" t="s">
        <v>42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60</v>
      </c>
      <c r="D731">
        <v>4</v>
      </c>
      <c r="E731" s="16" t="s">
        <v>44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60</v>
      </c>
      <c r="D732">
        <v>6</v>
      </c>
      <c r="E732" s="16" t="s">
        <v>46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60</v>
      </c>
      <c r="D733">
        <v>7</v>
      </c>
      <c r="E733" s="16" t="s">
        <v>47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60</v>
      </c>
      <c r="D734">
        <v>9</v>
      </c>
      <c r="E734" s="16" t="s">
        <v>49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60</v>
      </c>
      <c r="D735">
        <v>11</v>
      </c>
      <c r="E735" s="16" t="s">
        <v>50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60</v>
      </c>
      <c r="D736">
        <v>12</v>
      </c>
      <c r="E736" s="16" t="s">
        <v>51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60</v>
      </c>
      <c r="D737">
        <v>13</v>
      </c>
      <c r="E737" s="16" t="s">
        <v>52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60</v>
      </c>
      <c r="D738">
        <v>14</v>
      </c>
      <c r="E738" s="16" t="s">
        <v>53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60</v>
      </c>
      <c r="D739">
        <v>15</v>
      </c>
      <c r="E739" s="16" t="s">
        <v>54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60</v>
      </c>
      <c r="D740">
        <v>16</v>
      </c>
      <c r="E740" s="16" t="s">
        <v>55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60</v>
      </c>
      <c r="D741">
        <v>17</v>
      </c>
      <c r="E741" s="16" t="s">
        <v>56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60</v>
      </c>
      <c r="D742">
        <v>18</v>
      </c>
      <c r="E742" s="16" t="s">
        <v>57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60</v>
      </c>
      <c r="D743">
        <v>1</v>
      </c>
      <c r="E743" s="16" t="s">
        <v>40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60</v>
      </c>
      <c r="D744">
        <v>2</v>
      </c>
      <c r="E744" s="16" t="s">
        <v>42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60</v>
      </c>
      <c r="D745">
        <v>4</v>
      </c>
      <c r="E745" s="16" t="s">
        <v>44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60</v>
      </c>
      <c r="D746">
        <v>6</v>
      </c>
      <c r="E746" s="16" t="s">
        <v>46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60</v>
      </c>
      <c r="D747">
        <v>7</v>
      </c>
      <c r="E747" s="16" t="s">
        <v>47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60</v>
      </c>
      <c r="D748">
        <v>9</v>
      </c>
      <c r="E748" s="16" t="s">
        <v>49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60</v>
      </c>
      <c r="D749">
        <v>11</v>
      </c>
      <c r="E749" s="16" t="s">
        <v>50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60</v>
      </c>
      <c r="D750">
        <v>12</v>
      </c>
      <c r="E750" s="16" t="s">
        <v>51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60</v>
      </c>
      <c r="D751">
        <v>13</v>
      </c>
      <c r="E751" s="16" t="s">
        <v>52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60</v>
      </c>
      <c r="D752">
        <v>14</v>
      </c>
      <c r="E752" s="16" t="s">
        <v>53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60</v>
      </c>
      <c r="D753">
        <v>15</v>
      </c>
      <c r="E753" s="16" t="s">
        <v>54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60</v>
      </c>
      <c r="D754">
        <v>16</v>
      </c>
      <c r="E754" s="16" t="s">
        <v>55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60</v>
      </c>
      <c r="D755">
        <v>17</v>
      </c>
      <c r="E755" s="16" t="s">
        <v>56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60</v>
      </c>
      <c r="D756">
        <v>18</v>
      </c>
      <c r="E756" s="16" t="s">
        <v>57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60</v>
      </c>
      <c r="D757">
        <v>1</v>
      </c>
      <c r="E757" s="16" t="s">
        <v>40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60</v>
      </c>
      <c r="D758">
        <v>2</v>
      </c>
      <c r="E758" s="16" t="s">
        <v>42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60</v>
      </c>
      <c r="D759">
        <v>4</v>
      </c>
      <c r="E759" s="16" t="s">
        <v>44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60</v>
      </c>
      <c r="D760">
        <v>6</v>
      </c>
      <c r="E760" s="16" t="s">
        <v>46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60</v>
      </c>
      <c r="D761">
        <v>7</v>
      </c>
      <c r="E761" s="16" t="s">
        <v>47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60</v>
      </c>
      <c r="D762">
        <v>9</v>
      </c>
      <c r="E762" s="16" t="s">
        <v>49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60</v>
      </c>
      <c r="D763">
        <v>11</v>
      </c>
      <c r="E763" s="16" t="s">
        <v>50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60</v>
      </c>
      <c r="D764">
        <v>12</v>
      </c>
      <c r="E764" s="16" t="s">
        <v>51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60</v>
      </c>
      <c r="D765">
        <v>13</v>
      </c>
      <c r="E765" s="16" t="s">
        <v>52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60</v>
      </c>
      <c r="D766">
        <v>14</v>
      </c>
      <c r="E766" s="16" t="s">
        <v>53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60</v>
      </c>
      <c r="D767">
        <v>15</v>
      </c>
      <c r="E767" s="16" t="s">
        <v>54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60</v>
      </c>
      <c r="D768">
        <v>16</v>
      </c>
      <c r="E768" s="16" t="s">
        <v>55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60</v>
      </c>
      <c r="D769">
        <v>17</v>
      </c>
      <c r="E769" s="16" t="s">
        <v>56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60</v>
      </c>
      <c r="D770">
        <v>18</v>
      </c>
      <c r="E770" s="16" t="s">
        <v>57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60</v>
      </c>
      <c r="D771">
        <v>1</v>
      </c>
      <c r="E771" s="16" t="s">
        <v>40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60</v>
      </c>
      <c r="D772">
        <v>2</v>
      </c>
      <c r="E772" s="16" t="s">
        <v>42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60</v>
      </c>
      <c r="D773">
        <v>4</v>
      </c>
      <c r="E773" s="16" t="s">
        <v>44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60</v>
      </c>
      <c r="D774">
        <v>6</v>
      </c>
      <c r="E774" s="16" t="s">
        <v>46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60</v>
      </c>
      <c r="D775">
        <v>7</v>
      </c>
      <c r="E775" s="16" t="s">
        <v>47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60</v>
      </c>
      <c r="D776">
        <v>9</v>
      </c>
      <c r="E776" s="16" t="s">
        <v>49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60</v>
      </c>
      <c r="D777">
        <v>11</v>
      </c>
      <c r="E777" s="16" t="s">
        <v>50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60</v>
      </c>
      <c r="D778">
        <v>12</v>
      </c>
      <c r="E778" s="16" t="s">
        <v>51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60</v>
      </c>
      <c r="D779">
        <v>13</v>
      </c>
      <c r="E779" s="16" t="s">
        <v>52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60</v>
      </c>
      <c r="D780">
        <v>14</v>
      </c>
      <c r="E780" s="16" t="s">
        <v>53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60</v>
      </c>
      <c r="D781">
        <v>15</v>
      </c>
      <c r="E781" s="16" t="s">
        <v>54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60</v>
      </c>
      <c r="D782">
        <v>16</v>
      </c>
      <c r="E782" s="16" t="s">
        <v>55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60</v>
      </c>
      <c r="D783">
        <v>17</v>
      </c>
      <c r="E783" s="16" t="s">
        <v>56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60</v>
      </c>
      <c r="D784">
        <v>18</v>
      </c>
      <c r="E784" s="16" t="s">
        <v>57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60</v>
      </c>
      <c r="D785">
        <v>1</v>
      </c>
      <c r="E785" s="16" t="s">
        <v>40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60</v>
      </c>
      <c r="D786">
        <v>2</v>
      </c>
      <c r="E786" s="16" t="s">
        <v>42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60</v>
      </c>
      <c r="D787">
        <v>4</v>
      </c>
      <c r="E787" s="16" t="s">
        <v>44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60</v>
      </c>
      <c r="D788">
        <v>6</v>
      </c>
      <c r="E788" s="16" t="s">
        <v>46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60</v>
      </c>
      <c r="D789">
        <v>7</v>
      </c>
      <c r="E789" s="16" t="s">
        <v>47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60</v>
      </c>
      <c r="D790">
        <v>9</v>
      </c>
      <c r="E790" s="16" t="s">
        <v>49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60</v>
      </c>
      <c r="D791">
        <v>11</v>
      </c>
      <c r="E791" s="16" t="s">
        <v>50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60</v>
      </c>
      <c r="D792">
        <v>12</v>
      </c>
      <c r="E792" s="16" t="s">
        <v>51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60</v>
      </c>
      <c r="D793">
        <v>13</v>
      </c>
      <c r="E793" s="16" t="s">
        <v>52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60</v>
      </c>
      <c r="D794">
        <v>14</v>
      </c>
      <c r="E794" s="16" t="s">
        <v>53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60</v>
      </c>
      <c r="D795">
        <v>15</v>
      </c>
      <c r="E795" s="16" t="s">
        <v>54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60</v>
      </c>
      <c r="D796">
        <v>16</v>
      </c>
      <c r="E796" s="16" t="s">
        <v>55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60</v>
      </c>
      <c r="D797">
        <v>17</v>
      </c>
      <c r="E797" s="16" t="s">
        <v>56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60</v>
      </c>
      <c r="D798">
        <v>18</v>
      </c>
      <c r="E798" s="16" t="s">
        <v>57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60</v>
      </c>
      <c r="D799">
        <v>1</v>
      </c>
      <c r="E799" s="16" t="s">
        <v>40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60</v>
      </c>
      <c r="D800">
        <v>2</v>
      </c>
      <c r="E800" s="16" t="s">
        <v>42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60</v>
      </c>
      <c r="D801">
        <v>4</v>
      </c>
      <c r="E801" s="16" t="s">
        <v>44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60</v>
      </c>
      <c r="D802">
        <v>6</v>
      </c>
      <c r="E802" s="16" t="s">
        <v>46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60</v>
      </c>
      <c r="D803">
        <v>7</v>
      </c>
      <c r="E803" s="16" t="s">
        <v>47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60</v>
      </c>
      <c r="D804">
        <v>9</v>
      </c>
      <c r="E804" s="16" t="s">
        <v>49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60</v>
      </c>
      <c r="D805">
        <v>11</v>
      </c>
      <c r="E805" s="16" t="s">
        <v>50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60</v>
      </c>
      <c r="D806">
        <v>12</v>
      </c>
      <c r="E806" s="16" t="s">
        <v>51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60</v>
      </c>
      <c r="D807">
        <v>13</v>
      </c>
      <c r="E807" s="16" t="s">
        <v>52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60</v>
      </c>
      <c r="D808">
        <v>14</v>
      </c>
      <c r="E808" s="16" t="s">
        <v>53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60</v>
      </c>
      <c r="D809">
        <v>15</v>
      </c>
      <c r="E809" s="16" t="s">
        <v>54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60</v>
      </c>
      <c r="D810">
        <v>16</v>
      </c>
      <c r="E810" s="16" t="s">
        <v>55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60</v>
      </c>
      <c r="D811">
        <v>17</v>
      </c>
      <c r="E811" s="16" t="s">
        <v>56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60</v>
      </c>
      <c r="D812">
        <v>18</v>
      </c>
      <c r="E812" s="16" t="s">
        <v>57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60</v>
      </c>
      <c r="D813">
        <v>1</v>
      </c>
      <c r="E813" s="16" t="s">
        <v>40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60</v>
      </c>
      <c r="D814">
        <v>2</v>
      </c>
      <c r="E814" s="16" t="s">
        <v>42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60</v>
      </c>
      <c r="D815">
        <v>4</v>
      </c>
      <c r="E815" s="16" t="s">
        <v>44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60</v>
      </c>
      <c r="D816">
        <v>6</v>
      </c>
      <c r="E816" s="16" t="s">
        <v>46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60</v>
      </c>
      <c r="D817">
        <v>7</v>
      </c>
      <c r="E817" s="16" t="s">
        <v>47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60</v>
      </c>
      <c r="D818">
        <v>9</v>
      </c>
      <c r="E818" s="16" t="s">
        <v>49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60</v>
      </c>
      <c r="D819">
        <v>11</v>
      </c>
      <c r="E819" s="16" t="s">
        <v>50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60</v>
      </c>
      <c r="D820">
        <v>12</v>
      </c>
      <c r="E820" s="16" t="s">
        <v>51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60</v>
      </c>
      <c r="D821">
        <v>13</v>
      </c>
      <c r="E821" s="16" t="s">
        <v>52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60</v>
      </c>
      <c r="D822">
        <v>14</v>
      </c>
      <c r="E822" s="16" t="s">
        <v>53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60</v>
      </c>
      <c r="D823">
        <v>15</v>
      </c>
      <c r="E823" s="16" t="s">
        <v>54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60</v>
      </c>
      <c r="D824">
        <v>16</v>
      </c>
      <c r="E824" s="16" t="s">
        <v>55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60</v>
      </c>
      <c r="D825">
        <v>17</v>
      </c>
      <c r="E825" s="16" t="s">
        <v>56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60</v>
      </c>
      <c r="D826">
        <v>18</v>
      </c>
      <c r="E826" s="16" t="s">
        <v>57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60</v>
      </c>
      <c r="D827">
        <v>1</v>
      </c>
      <c r="E827" s="16" t="s">
        <v>40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60</v>
      </c>
      <c r="D828">
        <v>2</v>
      </c>
      <c r="E828" s="16" t="s">
        <v>42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60</v>
      </c>
      <c r="D829">
        <v>4</v>
      </c>
      <c r="E829" s="16" t="s">
        <v>44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60</v>
      </c>
      <c r="D830">
        <v>6</v>
      </c>
      <c r="E830" s="16" t="s">
        <v>46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60</v>
      </c>
      <c r="D831">
        <v>7</v>
      </c>
      <c r="E831" s="16" t="s">
        <v>47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60</v>
      </c>
      <c r="D832">
        <v>9</v>
      </c>
      <c r="E832" s="16" t="s">
        <v>49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60</v>
      </c>
      <c r="D833">
        <v>11</v>
      </c>
      <c r="E833" s="16" t="s">
        <v>50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60</v>
      </c>
      <c r="D834">
        <v>12</v>
      </c>
      <c r="E834" s="16" t="s">
        <v>51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60</v>
      </c>
      <c r="D835">
        <v>13</v>
      </c>
      <c r="E835" s="16" t="s">
        <v>52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60</v>
      </c>
      <c r="D836">
        <v>14</v>
      </c>
      <c r="E836" s="16" t="s">
        <v>53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60</v>
      </c>
      <c r="D837">
        <v>15</v>
      </c>
      <c r="E837" s="16" t="s">
        <v>54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60</v>
      </c>
      <c r="D838">
        <v>16</v>
      </c>
      <c r="E838" s="16" t="s">
        <v>55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60</v>
      </c>
      <c r="D839">
        <v>17</v>
      </c>
      <c r="E839" s="16" t="s">
        <v>56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60</v>
      </c>
      <c r="D840">
        <v>18</v>
      </c>
      <c r="E840" s="16" t="s">
        <v>57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60</v>
      </c>
      <c r="D841">
        <v>1</v>
      </c>
      <c r="E841" s="16" t="s">
        <v>40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60</v>
      </c>
      <c r="D842">
        <v>2</v>
      </c>
      <c r="E842" s="16" t="s">
        <v>42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60</v>
      </c>
      <c r="D843">
        <v>4</v>
      </c>
      <c r="E843" s="16" t="s">
        <v>44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60</v>
      </c>
      <c r="D844">
        <v>6</v>
      </c>
      <c r="E844" s="16" t="s">
        <v>46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60</v>
      </c>
      <c r="D845">
        <v>7</v>
      </c>
      <c r="E845" s="16" t="s">
        <v>47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60</v>
      </c>
      <c r="D846">
        <v>9</v>
      </c>
      <c r="E846" s="16" t="s">
        <v>49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60</v>
      </c>
      <c r="D847">
        <v>11</v>
      </c>
      <c r="E847" s="16" t="s">
        <v>50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60</v>
      </c>
      <c r="D848">
        <v>12</v>
      </c>
      <c r="E848" s="16" t="s">
        <v>51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60</v>
      </c>
      <c r="D849">
        <v>13</v>
      </c>
      <c r="E849" s="16" t="s">
        <v>52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60</v>
      </c>
      <c r="D850">
        <v>14</v>
      </c>
      <c r="E850" s="16" t="s">
        <v>53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60</v>
      </c>
      <c r="D851">
        <v>15</v>
      </c>
      <c r="E851" s="16" t="s">
        <v>54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60</v>
      </c>
      <c r="D852">
        <v>16</v>
      </c>
      <c r="E852" s="16" t="s">
        <v>55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60</v>
      </c>
      <c r="D853">
        <v>17</v>
      </c>
      <c r="E853" s="16" t="s">
        <v>56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60</v>
      </c>
      <c r="D854">
        <v>18</v>
      </c>
      <c r="E854" s="16" t="s">
        <v>57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60</v>
      </c>
      <c r="D855">
        <v>1</v>
      </c>
      <c r="E855" s="16" t="s">
        <v>40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60</v>
      </c>
      <c r="D856">
        <v>2</v>
      </c>
      <c r="E856" s="16" t="s">
        <v>42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60</v>
      </c>
      <c r="D857">
        <v>4</v>
      </c>
      <c r="E857" s="16" t="s">
        <v>44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60</v>
      </c>
      <c r="D858">
        <v>6</v>
      </c>
      <c r="E858" s="16" t="s">
        <v>46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60</v>
      </c>
      <c r="D859">
        <v>7</v>
      </c>
      <c r="E859" s="16" t="s">
        <v>47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60</v>
      </c>
      <c r="D860">
        <v>9</v>
      </c>
      <c r="E860" s="16" t="s">
        <v>49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60</v>
      </c>
      <c r="D861">
        <v>11</v>
      </c>
      <c r="E861" s="16" t="s">
        <v>50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60</v>
      </c>
      <c r="D862">
        <v>12</v>
      </c>
      <c r="E862" s="16" t="s">
        <v>51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60</v>
      </c>
      <c r="D863">
        <v>13</v>
      </c>
      <c r="E863" s="16" t="s">
        <v>52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60</v>
      </c>
      <c r="D864">
        <v>14</v>
      </c>
      <c r="E864" s="16" t="s">
        <v>53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60</v>
      </c>
      <c r="D865">
        <v>15</v>
      </c>
      <c r="E865" s="16" t="s">
        <v>54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60</v>
      </c>
      <c r="D866">
        <v>16</v>
      </c>
      <c r="E866" s="16" t="s">
        <v>55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60</v>
      </c>
      <c r="D867">
        <v>17</v>
      </c>
      <c r="E867" s="16" t="s">
        <v>56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60</v>
      </c>
      <c r="D868">
        <v>18</v>
      </c>
      <c r="E868" s="16" t="s">
        <v>57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60</v>
      </c>
      <c r="D869">
        <v>1</v>
      </c>
      <c r="E869" s="16" t="s">
        <v>40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60</v>
      </c>
      <c r="D870">
        <v>2</v>
      </c>
      <c r="E870" s="16" t="s">
        <v>42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60</v>
      </c>
      <c r="D871">
        <v>4</v>
      </c>
      <c r="E871" s="16" t="s">
        <v>44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60</v>
      </c>
      <c r="D872">
        <v>6</v>
      </c>
      <c r="E872" s="16" t="s">
        <v>46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60</v>
      </c>
      <c r="D873">
        <v>7</v>
      </c>
      <c r="E873" s="16" t="s">
        <v>47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60</v>
      </c>
      <c r="D874">
        <v>9</v>
      </c>
      <c r="E874" s="16" t="s">
        <v>49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60</v>
      </c>
      <c r="D875">
        <v>11</v>
      </c>
      <c r="E875" s="16" t="s">
        <v>50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60</v>
      </c>
      <c r="D876">
        <v>12</v>
      </c>
      <c r="E876" s="16" t="s">
        <v>51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60</v>
      </c>
      <c r="D877">
        <v>13</v>
      </c>
      <c r="E877" s="16" t="s">
        <v>52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60</v>
      </c>
      <c r="D878">
        <v>14</v>
      </c>
      <c r="E878" s="16" t="s">
        <v>53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60</v>
      </c>
      <c r="D879">
        <v>15</v>
      </c>
      <c r="E879" s="16" t="s">
        <v>54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60</v>
      </c>
      <c r="D880">
        <v>16</v>
      </c>
      <c r="E880" s="16" t="s">
        <v>55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60</v>
      </c>
      <c r="D881">
        <v>17</v>
      </c>
      <c r="E881" s="16" t="s">
        <v>56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60</v>
      </c>
      <c r="D882">
        <v>18</v>
      </c>
      <c r="E882" s="16" t="s">
        <v>57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60</v>
      </c>
      <c r="D883">
        <v>1</v>
      </c>
      <c r="E883" s="16" t="s">
        <v>40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60</v>
      </c>
      <c r="D884">
        <v>2</v>
      </c>
      <c r="E884" s="16" t="s">
        <v>42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60</v>
      </c>
      <c r="D885">
        <v>4</v>
      </c>
      <c r="E885" s="16" t="s">
        <v>44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60</v>
      </c>
      <c r="D886">
        <v>6</v>
      </c>
      <c r="E886" s="16" t="s">
        <v>46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60</v>
      </c>
      <c r="D887">
        <v>7</v>
      </c>
      <c r="E887" s="16" t="s">
        <v>47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60</v>
      </c>
      <c r="D888">
        <v>9</v>
      </c>
      <c r="E888" s="16" t="s">
        <v>49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60</v>
      </c>
      <c r="D889">
        <v>11</v>
      </c>
      <c r="E889" s="16" t="s">
        <v>50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60</v>
      </c>
      <c r="D890">
        <v>12</v>
      </c>
      <c r="E890" s="16" t="s">
        <v>51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60</v>
      </c>
      <c r="D891">
        <v>13</v>
      </c>
      <c r="E891" s="16" t="s">
        <v>52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60</v>
      </c>
      <c r="D892">
        <v>14</v>
      </c>
      <c r="E892" s="16" t="s">
        <v>53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60</v>
      </c>
      <c r="D893">
        <v>15</v>
      </c>
      <c r="E893" s="16" t="s">
        <v>54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60</v>
      </c>
      <c r="D894">
        <v>16</v>
      </c>
      <c r="E894" s="16" t="s">
        <v>55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60</v>
      </c>
      <c r="D895">
        <v>17</v>
      </c>
      <c r="E895" s="16" t="s">
        <v>56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60</v>
      </c>
      <c r="D896">
        <v>18</v>
      </c>
      <c r="E896" s="16" t="s">
        <v>57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60</v>
      </c>
      <c r="D897">
        <v>1</v>
      </c>
      <c r="E897" s="16" t="s">
        <v>40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60</v>
      </c>
      <c r="D898">
        <v>2</v>
      </c>
      <c r="E898" s="16" t="s">
        <v>42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60</v>
      </c>
      <c r="D899">
        <v>4</v>
      </c>
      <c r="E899" s="16" t="s">
        <v>44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60</v>
      </c>
      <c r="D900">
        <v>6</v>
      </c>
      <c r="E900" s="16" t="s">
        <v>46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60</v>
      </c>
      <c r="D901">
        <v>7</v>
      </c>
      <c r="E901" s="16" t="s">
        <v>47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60</v>
      </c>
      <c r="D902">
        <v>9</v>
      </c>
      <c r="E902" s="16" t="s">
        <v>49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60</v>
      </c>
      <c r="D903">
        <v>11</v>
      </c>
      <c r="E903" s="16" t="s">
        <v>50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60</v>
      </c>
      <c r="D904">
        <v>12</v>
      </c>
      <c r="E904" s="16" t="s">
        <v>51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60</v>
      </c>
      <c r="D905">
        <v>13</v>
      </c>
      <c r="E905" s="16" t="s">
        <v>52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60</v>
      </c>
      <c r="D906">
        <v>14</v>
      </c>
      <c r="E906" s="16" t="s">
        <v>53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60</v>
      </c>
      <c r="D907">
        <v>15</v>
      </c>
      <c r="E907" s="16" t="s">
        <v>54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60</v>
      </c>
      <c r="D908">
        <v>16</v>
      </c>
      <c r="E908" s="16" t="s">
        <v>55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60</v>
      </c>
      <c r="D909">
        <v>17</v>
      </c>
      <c r="E909" s="16" t="s">
        <v>56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60</v>
      </c>
      <c r="D910">
        <v>18</v>
      </c>
      <c r="E910" s="16" t="s">
        <v>57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60</v>
      </c>
      <c r="D911">
        <v>1</v>
      </c>
      <c r="E911" s="16" t="s">
        <v>40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60</v>
      </c>
      <c r="D912">
        <v>2</v>
      </c>
      <c r="E912" s="16" t="s">
        <v>42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60</v>
      </c>
      <c r="D913">
        <v>4</v>
      </c>
      <c r="E913" s="16" t="s">
        <v>44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60</v>
      </c>
      <c r="D914">
        <v>6</v>
      </c>
      <c r="E914" s="16" t="s">
        <v>46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60</v>
      </c>
      <c r="D915">
        <v>7</v>
      </c>
      <c r="E915" s="16" t="s">
        <v>47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60</v>
      </c>
      <c r="D916">
        <v>9</v>
      </c>
      <c r="E916" s="16" t="s">
        <v>49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60</v>
      </c>
      <c r="D917">
        <v>11</v>
      </c>
      <c r="E917" s="16" t="s">
        <v>50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60</v>
      </c>
      <c r="D918">
        <v>12</v>
      </c>
      <c r="E918" s="16" t="s">
        <v>51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60</v>
      </c>
      <c r="D919">
        <v>13</v>
      </c>
      <c r="E919" s="16" t="s">
        <v>52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60</v>
      </c>
      <c r="D920">
        <v>14</v>
      </c>
      <c r="E920" s="16" t="s">
        <v>53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60</v>
      </c>
      <c r="D921">
        <v>15</v>
      </c>
      <c r="E921" s="16" t="s">
        <v>54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60</v>
      </c>
      <c r="D922">
        <v>16</v>
      </c>
      <c r="E922" s="16" t="s">
        <v>55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60</v>
      </c>
      <c r="D923">
        <v>17</v>
      </c>
      <c r="E923" s="16" t="s">
        <v>56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60</v>
      </c>
      <c r="D924">
        <v>18</v>
      </c>
      <c r="E924" s="16" t="s">
        <v>57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60</v>
      </c>
      <c r="D925">
        <v>1</v>
      </c>
      <c r="E925" s="16" t="s">
        <v>40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60</v>
      </c>
      <c r="D926">
        <v>2</v>
      </c>
      <c r="E926" s="16" t="s">
        <v>42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60</v>
      </c>
      <c r="D927">
        <v>4</v>
      </c>
      <c r="E927" s="16" t="s">
        <v>44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60</v>
      </c>
      <c r="D928">
        <v>6</v>
      </c>
      <c r="E928" s="16" t="s">
        <v>46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60</v>
      </c>
      <c r="D929">
        <v>7</v>
      </c>
      <c r="E929" s="16" t="s">
        <v>47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60</v>
      </c>
      <c r="D930">
        <v>9</v>
      </c>
      <c r="E930" s="16" t="s">
        <v>49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60</v>
      </c>
      <c r="D931">
        <v>11</v>
      </c>
      <c r="E931" s="16" t="s">
        <v>50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60</v>
      </c>
      <c r="D932">
        <v>12</v>
      </c>
      <c r="E932" s="16" t="s">
        <v>51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60</v>
      </c>
      <c r="D933">
        <v>13</v>
      </c>
      <c r="E933" s="16" t="s">
        <v>52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60</v>
      </c>
      <c r="D934">
        <v>14</v>
      </c>
      <c r="E934" s="16" t="s">
        <v>53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60</v>
      </c>
      <c r="D935">
        <v>15</v>
      </c>
      <c r="E935" s="16" t="s">
        <v>54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60</v>
      </c>
      <c r="D936">
        <v>16</v>
      </c>
      <c r="E936" s="16" t="s">
        <v>55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60</v>
      </c>
      <c r="D937">
        <v>17</v>
      </c>
      <c r="E937" s="16" t="s">
        <v>56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60</v>
      </c>
      <c r="D938">
        <v>18</v>
      </c>
      <c r="E938" s="16" t="s">
        <v>57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61</v>
      </c>
      <c r="D939">
        <v>1</v>
      </c>
      <c r="E939" s="16" t="s">
        <v>40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61</v>
      </c>
      <c r="D940">
        <v>2</v>
      </c>
      <c r="E940" s="16" t="s">
        <v>42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61</v>
      </c>
      <c r="D941">
        <v>3</v>
      </c>
      <c r="E941" s="16" t="s">
        <v>43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61</v>
      </c>
      <c r="D942">
        <v>5</v>
      </c>
      <c r="E942" s="16" t="s">
        <v>45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61</v>
      </c>
      <c r="D943">
        <v>6</v>
      </c>
      <c r="E943" s="16" t="s">
        <v>46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61</v>
      </c>
      <c r="D944">
        <v>8</v>
      </c>
      <c r="E944" s="16" t="s">
        <v>48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61</v>
      </c>
      <c r="D945">
        <v>9</v>
      </c>
      <c r="E945" s="16" t="s">
        <v>49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61</v>
      </c>
      <c r="D946">
        <v>10</v>
      </c>
      <c r="E946" s="16" t="s">
        <v>59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61</v>
      </c>
      <c r="D947">
        <v>11</v>
      </c>
      <c r="E947" s="16" t="s">
        <v>50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61</v>
      </c>
      <c r="D948">
        <v>12</v>
      </c>
      <c r="E948" s="16" t="s">
        <v>51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61</v>
      </c>
      <c r="D949">
        <v>13</v>
      </c>
      <c r="E949" s="16" t="s">
        <v>52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61</v>
      </c>
      <c r="D950">
        <v>14</v>
      </c>
      <c r="E950" s="16" t="s">
        <v>53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61</v>
      </c>
      <c r="D951">
        <v>15</v>
      </c>
      <c r="E951" s="16" t="s">
        <v>54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61</v>
      </c>
      <c r="D952">
        <v>16</v>
      </c>
      <c r="E952" s="16" t="s">
        <v>55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61</v>
      </c>
      <c r="D953">
        <v>17</v>
      </c>
      <c r="E953" s="16" t="s">
        <v>56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61</v>
      </c>
      <c r="D954">
        <v>18</v>
      </c>
      <c r="E954" s="16" t="s">
        <v>57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61</v>
      </c>
      <c r="D955">
        <v>1</v>
      </c>
      <c r="E955" s="16" t="s">
        <v>40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61</v>
      </c>
      <c r="D956">
        <v>2</v>
      </c>
      <c r="E956" s="16" t="s">
        <v>42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61</v>
      </c>
      <c r="D957">
        <v>3</v>
      </c>
      <c r="E957" s="16" t="s">
        <v>43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61</v>
      </c>
      <c r="D958">
        <v>5</v>
      </c>
      <c r="E958" s="16" t="s">
        <v>45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61</v>
      </c>
      <c r="D959">
        <v>6</v>
      </c>
      <c r="E959" s="16" t="s">
        <v>46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61</v>
      </c>
      <c r="D960">
        <v>8</v>
      </c>
      <c r="E960" s="16" t="s">
        <v>48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61</v>
      </c>
      <c r="D961">
        <v>9</v>
      </c>
      <c r="E961" s="16" t="s">
        <v>49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61</v>
      </c>
      <c r="D962">
        <v>10</v>
      </c>
      <c r="E962" s="16" t="s">
        <v>59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61</v>
      </c>
      <c r="D963">
        <v>11</v>
      </c>
      <c r="E963" s="16" t="s">
        <v>50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61</v>
      </c>
      <c r="D964">
        <v>12</v>
      </c>
      <c r="E964" s="16" t="s">
        <v>51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61</v>
      </c>
      <c r="D965">
        <v>13</v>
      </c>
      <c r="E965" s="16" t="s">
        <v>52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61</v>
      </c>
      <c r="D966">
        <v>14</v>
      </c>
      <c r="E966" s="16" t="s">
        <v>53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61</v>
      </c>
      <c r="D967">
        <v>15</v>
      </c>
      <c r="E967" s="16" t="s">
        <v>54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61</v>
      </c>
      <c r="D968">
        <v>16</v>
      </c>
      <c r="E968" s="16" t="s">
        <v>55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61</v>
      </c>
      <c r="D969">
        <v>17</v>
      </c>
      <c r="E969" s="16" t="s">
        <v>56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61</v>
      </c>
      <c r="D970">
        <v>18</v>
      </c>
      <c r="E970" s="16" t="s">
        <v>57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61</v>
      </c>
      <c r="D971">
        <v>1</v>
      </c>
      <c r="E971" s="16" t="s">
        <v>40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61</v>
      </c>
      <c r="D972">
        <v>2</v>
      </c>
      <c r="E972" s="16" t="s">
        <v>42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61</v>
      </c>
      <c r="D973">
        <v>3</v>
      </c>
      <c r="E973" s="16" t="s">
        <v>43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61</v>
      </c>
      <c r="D974">
        <v>5</v>
      </c>
      <c r="E974" s="16" t="s">
        <v>45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61</v>
      </c>
      <c r="D975">
        <v>6</v>
      </c>
      <c r="E975" s="16" t="s">
        <v>46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61</v>
      </c>
      <c r="D976">
        <v>8</v>
      </c>
      <c r="E976" s="16" t="s">
        <v>48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61</v>
      </c>
      <c r="D977">
        <v>9</v>
      </c>
      <c r="E977" s="16" t="s">
        <v>49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61</v>
      </c>
      <c r="D978">
        <v>10</v>
      </c>
      <c r="E978" s="16" t="s">
        <v>59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61</v>
      </c>
      <c r="D979">
        <v>11</v>
      </c>
      <c r="E979" s="16" t="s">
        <v>50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61</v>
      </c>
      <c r="D980">
        <v>12</v>
      </c>
      <c r="E980" s="16" t="s">
        <v>51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61</v>
      </c>
      <c r="D981">
        <v>13</v>
      </c>
      <c r="E981" s="16" t="s">
        <v>52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61</v>
      </c>
      <c r="D982">
        <v>14</v>
      </c>
      <c r="E982" s="16" t="s">
        <v>53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61</v>
      </c>
      <c r="D983">
        <v>15</v>
      </c>
      <c r="E983" s="16" t="s">
        <v>54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61</v>
      </c>
      <c r="D984">
        <v>16</v>
      </c>
      <c r="E984" s="16" t="s">
        <v>55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61</v>
      </c>
      <c r="D985">
        <v>17</v>
      </c>
      <c r="E985" s="16" t="s">
        <v>56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61</v>
      </c>
      <c r="D986">
        <v>18</v>
      </c>
      <c r="E986" s="16" t="s">
        <v>57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61</v>
      </c>
      <c r="D987">
        <v>1</v>
      </c>
      <c r="E987" s="16" t="s">
        <v>40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61</v>
      </c>
      <c r="D988">
        <v>2</v>
      </c>
      <c r="E988" s="16" t="s">
        <v>42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61</v>
      </c>
      <c r="D989">
        <v>3</v>
      </c>
      <c r="E989" s="16" t="s">
        <v>43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61</v>
      </c>
      <c r="D990">
        <v>5</v>
      </c>
      <c r="E990" s="16" t="s">
        <v>45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61</v>
      </c>
      <c r="D991">
        <v>6</v>
      </c>
      <c r="E991" s="16" t="s">
        <v>46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61</v>
      </c>
      <c r="D992">
        <v>8</v>
      </c>
      <c r="E992" s="16" t="s">
        <v>48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61</v>
      </c>
      <c r="D993">
        <v>9</v>
      </c>
      <c r="E993" s="16" t="s">
        <v>49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61</v>
      </c>
      <c r="D994">
        <v>10</v>
      </c>
      <c r="E994" s="16" t="s">
        <v>59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61</v>
      </c>
      <c r="D995">
        <v>11</v>
      </c>
      <c r="E995" s="16" t="s">
        <v>50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61</v>
      </c>
      <c r="D996">
        <v>12</v>
      </c>
      <c r="E996" s="16" t="s">
        <v>51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61</v>
      </c>
      <c r="D997">
        <v>13</v>
      </c>
      <c r="E997" s="16" t="s">
        <v>52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61</v>
      </c>
      <c r="D998">
        <v>14</v>
      </c>
      <c r="E998" s="16" t="s">
        <v>53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61</v>
      </c>
      <c r="D999">
        <v>15</v>
      </c>
      <c r="E999" s="16" t="s">
        <v>54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61</v>
      </c>
      <c r="D1000">
        <v>16</v>
      </c>
      <c r="E1000" s="16" t="s">
        <v>55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61</v>
      </c>
      <c r="D1001">
        <v>17</v>
      </c>
      <c r="E1001" s="16" t="s">
        <v>56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61</v>
      </c>
      <c r="D1002">
        <v>18</v>
      </c>
      <c r="E1002" s="16" t="s">
        <v>57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61</v>
      </c>
      <c r="D1003">
        <v>1</v>
      </c>
      <c r="E1003" s="16" t="s">
        <v>40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61</v>
      </c>
      <c r="D1004">
        <v>2</v>
      </c>
      <c r="E1004" s="16" t="s">
        <v>42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61</v>
      </c>
      <c r="D1005">
        <v>3</v>
      </c>
      <c r="E1005" s="16" t="s">
        <v>43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61</v>
      </c>
      <c r="D1006">
        <v>5</v>
      </c>
      <c r="E1006" s="16" t="s">
        <v>45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61</v>
      </c>
      <c r="D1007">
        <v>6</v>
      </c>
      <c r="E1007" s="16" t="s">
        <v>46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61</v>
      </c>
      <c r="D1008">
        <v>8</v>
      </c>
      <c r="E1008" s="16" t="s">
        <v>48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61</v>
      </c>
      <c r="D1009">
        <v>9</v>
      </c>
      <c r="E1009" s="16" t="s">
        <v>49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61</v>
      </c>
      <c r="D1010">
        <v>10</v>
      </c>
      <c r="E1010" s="16" t="s">
        <v>59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61</v>
      </c>
      <c r="D1011">
        <v>11</v>
      </c>
      <c r="E1011" s="16" t="s">
        <v>50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61</v>
      </c>
      <c r="D1012">
        <v>12</v>
      </c>
      <c r="E1012" s="16" t="s">
        <v>51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61</v>
      </c>
      <c r="D1013">
        <v>13</v>
      </c>
      <c r="E1013" s="16" t="s">
        <v>52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61</v>
      </c>
      <c r="D1014">
        <v>14</v>
      </c>
      <c r="E1014" s="16" t="s">
        <v>53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61</v>
      </c>
      <c r="D1015">
        <v>15</v>
      </c>
      <c r="E1015" s="16" t="s">
        <v>54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61</v>
      </c>
      <c r="D1016">
        <v>16</v>
      </c>
      <c r="E1016" s="16" t="s">
        <v>55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61</v>
      </c>
      <c r="D1017">
        <v>17</v>
      </c>
      <c r="E1017" s="16" t="s">
        <v>56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61</v>
      </c>
      <c r="D1018">
        <v>18</v>
      </c>
      <c r="E1018" s="16" t="s">
        <v>57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61</v>
      </c>
      <c r="D1019">
        <v>1</v>
      </c>
      <c r="E1019" s="16" t="s">
        <v>40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61</v>
      </c>
      <c r="D1020">
        <v>2</v>
      </c>
      <c r="E1020" s="16" t="s">
        <v>42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61</v>
      </c>
      <c r="D1021">
        <v>3</v>
      </c>
      <c r="E1021" s="16" t="s">
        <v>43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61</v>
      </c>
      <c r="D1022">
        <v>5</v>
      </c>
      <c r="E1022" s="16" t="s">
        <v>45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61</v>
      </c>
      <c r="D1023">
        <v>6</v>
      </c>
      <c r="E1023" s="16" t="s">
        <v>46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61</v>
      </c>
      <c r="D1024">
        <v>8</v>
      </c>
      <c r="E1024" s="16" t="s">
        <v>48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61</v>
      </c>
      <c r="D1025">
        <v>9</v>
      </c>
      <c r="E1025" s="16" t="s">
        <v>49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61</v>
      </c>
      <c r="D1026">
        <v>10</v>
      </c>
      <c r="E1026" s="16" t="s">
        <v>59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61</v>
      </c>
      <c r="D1027">
        <v>11</v>
      </c>
      <c r="E1027" s="16" t="s">
        <v>50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61</v>
      </c>
      <c r="D1028">
        <v>12</v>
      </c>
      <c r="E1028" s="16" t="s">
        <v>51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61</v>
      </c>
      <c r="D1029">
        <v>13</v>
      </c>
      <c r="E1029" s="16" t="s">
        <v>52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61</v>
      </c>
      <c r="D1030">
        <v>14</v>
      </c>
      <c r="E1030" s="16" t="s">
        <v>53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61</v>
      </c>
      <c r="D1031">
        <v>15</v>
      </c>
      <c r="E1031" s="16" t="s">
        <v>54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61</v>
      </c>
      <c r="D1032">
        <v>16</v>
      </c>
      <c r="E1032" s="16" t="s">
        <v>55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61</v>
      </c>
      <c r="D1033">
        <v>17</v>
      </c>
      <c r="E1033" s="16" t="s">
        <v>56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61</v>
      </c>
      <c r="D1034">
        <v>18</v>
      </c>
      <c r="E1034" s="16" t="s">
        <v>57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61</v>
      </c>
      <c r="D1035">
        <v>1</v>
      </c>
      <c r="E1035" s="16" t="s">
        <v>40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61</v>
      </c>
      <c r="D1036">
        <v>2</v>
      </c>
      <c r="E1036" s="16" t="s">
        <v>42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61</v>
      </c>
      <c r="D1037">
        <v>3</v>
      </c>
      <c r="E1037" s="16" t="s">
        <v>43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61</v>
      </c>
      <c r="D1038">
        <v>5</v>
      </c>
      <c r="E1038" s="16" t="s">
        <v>45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61</v>
      </c>
      <c r="D1039">
        <v>6</v>
      </c>
      <c r="E1039" s="16" t="s">
        <v>46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61</v>
      </c>
      <c r="D1040">
        <v>8</v>
      </c>
      <c r="E1040" s="16" t="s">
        <v>48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61</v>
      </c>
      <c r="D1041">
        <v>9</v>
      </c>
      <c r="E1041" s="16" t="s">
        <v>49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61</v>
      </c>
      <c r="D1042">
        <v>10</v>
      </c>
      <c r="E1042" s="16" t="s">
        <v>59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61</v>
      </c>
      <c r="D1043">
        <v>11</v>
      </c>
      <c r="E1043" s="16" t="s">
        <v>50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61</v>
      </c>
      <c r="D1044">
        <v>12</v>
      </c>
      <c r="E1044" s="16" t="s">
        <v>51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61</v>
      </c>
      <c r="D1045">
        <v>13</v>
      </c>
      <c r="E1045" s="16" t="s">
        <v>52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61</v>
      </c>
      <c r="D1046">
        <v>14</v>
      </c>
      <c r="E1046" s="16" t="s">
        <v>53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61</v>
      </c>
      <c r="D1047">
        <v>15</v>
      </c>
      <c r="E1047" s="16" t="s">
        <v>54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61</v>
      </c>
      <c r="D1048">
        <v>16</v>
      </c>
      <c r="E1048" s="16" t="s">
        <v>55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61</v>
      </c>
      <c r="D1049">
        <v>17</v>
      </c>
      <c r="E1049" s="16" t="s">
        <v>56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61</v>
      </c>
      <c r="D1050">
        <v>18</v>
      </c>
      <c r="E1050" s="16" t="s">
        <v>57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61</v>
      </c>
      <c r="D1051">
        <v>1</v>
      </c>
      <c r="E1051" s="16" t="s">
        <v>40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61</v>
      </c>
      <c r="D1052">
        <v>2</v>
      </c>
      <c r="E1052" s="16" t="s">
        <v>42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61</v>
      </c>
      <c r="D1053">
        <v>3</v>
      </c>
      <c r="E1053" s="16" t="s">
        <v>43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61</v>
      </c>
      <c r="D1054">
        <v>5</v>
      </c>
      <c r="E1054" s="16" t="s">
        <v>45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61</v>
      </c>
      <c r="D1055">
        <v>6</v>
      </c>
      <c r="E1055" s="16" t="s">
        <v>46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61</v>
      </c>
      <c r="D1056">
        <v>8</v>
      </c>
      <c r="E1056" s="16" t="s">
        <v>48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61</v>
      </c>
      <c r="D1057">
        <v>9</v>
      </c>
      <c r="E1057" s="16" t="s">
        <v>49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61</v>
      </c>
      <c r="D1058">
        <v>10</v>
      </c>
      <c r="E1058" s="16" t="s">
        <v>59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61</v>
      </c>
      <c r="D1059">
        <v>11</v>
      </c>
      <c r="E1059" s="16" t="s">
        <v>50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61</v>
      </c>
      <c r="D1060">
        <v>12</v>
      </c>
      <c r="E1060" s="16" t="s">
        <v>51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61</v>
      </c>
      <c r="D1061">
        <v>13</v>
      </c>
      <c r="E1061" s="16" t="s">
        <v>52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61</v>
      </c>
      <c r="D1062">
        <v>14</v>
      </c>
      <c r="E1062" s="16" t="s">
        <v>53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61</v>
      </c>
      <c r="D1063">
        <v>15</v>
      </c>
      <c r="E1063" s="16" t="s">
        <v>54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61</v>
      </c>
      <c r="D1064">
        <v>16</v>
      </c>
      <c r="E1064" s="16" t="s">
        <v>55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61</v>
      </c>
      <c r="D1065">
        <v>17</v>
      </c>
      <c r="E1065" s="16" t="s">
        <v>56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61</v>
      </c>
      <c r="D1066">
        <v>18</v>
      </c>
      <c r="E1066" s="16" t="s">
        <v>57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61</v>
      </c>
      <c r="D1067">
        <v>1</v>
      </c>
      <c r="E1067" s="16" t="s">
        <v>40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61</v>
      </c>
      <c r="D1068">
        <v>2</v>
      </c>
      <c r="E1068" s="16" t="s">
        <v>42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61</v>
      </c>
      <c r="D1069">
        <v>3</v>
      </c>
      <c r="E1069" s="16" t="s">
        <v>43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61</v>
      </c>
      <c r="D1070">
        <v>5</v>
      </c>
      <c r="E1070" s="16" t="s">
        <v>45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61</v>
      </c>
      <c r="D1071">
        <v>6</v>
      </c>
      <c r="E1071" s="16" t="s">
        <v>46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61</v>
      </c>
      <c r="D1072">
        <v>8</v>
      </c>
      <c r="E1072" s="16" t="s">
        <v>48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61</v>
      </c>
      <c r="D1073">
        <v>9</v>
      </c>
      <c r="E1073" s="16" t="s">
        <v>49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61</v>
      </c>
      <c r="D1074">
        <v>10</v>
      </c>
      <c r="E1074" s="16" t="s">
        <v>59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61</v>
      </c>
      <c r="D1075">
        <v>11</v>
      </c>
      <c r="E1075" s="16" t="s">
        <v>50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61</v>
      </c>
      <c r="D1076">
        <v>12</v>
      </c>
      <c r="E1076" s="16" t="s">
        <v>51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61</v>
      </c>
      <c r="D1077">
        <v>13</v>
      </c>
      <c r="E1077" s="16" t="s">
        <v>52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61</v>
      </c>
      <c r="D1078">
        <v>14</v>
      </c>
      <c r="E1078" s="16" t="s">
        <v>53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61</v>
      </c>
      <c r="D1079">
        <v>15</v>
      </c>
      <c r="E1079" s="16" t="s">
        <v>54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61</v>
      </c>
      <c r="D1080">
        <v>16</v>
      </c>
      <c r="E1080" s="16" t="s">
        <v>55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61</v>
      </c>
      <c r="D1081">
        <v>17</v>
      </c>
      <c r="E1081" s="16" t="s">
        <v>56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61</v>
      </c>
      <c r="D1082">
        <v>18</v>
      </c>
      <c r="E1082" s="16" t="s">
        <v>57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61</v>
      </c>
      <c r="D1083">
        <v>1</v>
      </c>
      <c r="E1083" s="16" t="s">
        <v>40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61</v>
      </c>
      <c r="D1084">
        <v>2</v>
      </c>
      <c r="E1084" s="16" t="s">
        <v>42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61</v>
      </c>
      <c r="D1085">
        <v>3</v>
      </c>
      <c r="E1085" s="16" t="s">
        <v>43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61</v>
      </c>
      <c r="D1086">
        <v>5</v>
      </c>
      <c r="E1086" s="16" t="s">
        <v>45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61</v>
      </c>
      <c r="D1087">
        <v>6</v>
      </c>
      <c r="E1087" s="16" t="s">
        <v>46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61</v>
      </c>
      <c r="D1088">
        <v>8</v>
      </c>
      <c r="E1088" s="16" t="s">
        <v>48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61</v>
      </c>
      <c r="D1089">
        <v>9</v>
      </c>
      <c r="E1089" s="16" t="s">
        <v>49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61</v>
      </c>
      <c r="D1090">
        <v>10</v>
      </c>
      <c r="E1090" s="16" t="s">
        <v>59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61</v>
      </c>
      <c r="D1091">
        <v>11</v>
      </c>
      <c r="E1091" s="16" t="s">
        <v>50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61</v>
      </c>
      <c r="D1092">
        <v>12</v>
      </c>
      <c r="E1092" s="16" t="s">
        <v>51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61</v>
      </c>
      <c r="D1093">
        <v>13</v>
      </c>
      <c r="E1093" s="16" t="s">
        <v>52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61</v>
      </c>
      <c r="D1094">
        <v>14</v>
      </c>
      <c r="E1094" s="16" t="s">
        <v>53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61</v>
      </c>
      <c r="D1095">
        <v>15</v>
      </c>
      <c r="E1095" s="16" t="s">
        <v>54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61</v>
      </c>
      <c r="D1096">
        <v>16</v>
      </c>
      <c r="E1096" s="16" t="s">
        <v>55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61</v>
      </c>
      <c r="D1097">
        <v>17</v>
      </c>
      <c r="E1097" s="16" t="s">
        <v>56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61</v>
      </c>
      <c r="D1098">
        <v>18</v>
      </c>
      <c r="E1098" s="16" t="s">
        <v>57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61</v>
      </c>
      <c r="D1099">
        <v>1</v>
      </c>
      <c r="E1099" s="16" t="s">
        <v>40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61</v>
      </c>
      <c r="D1100">
        <v>2</v>
      </c>
      <c r="E1100" s="16" t="s">
        <v>42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61</v>
      </c>
      <c r="D1101">
        <v>3</v>
      </c>
      <c r="E1101" s="16" t="s">
        <v>43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61</v>
      </c>
      <c r="D1102">
        <v>5</v>
      </c>
      <c r="E1102" s="16" t="s">
        <v>45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61</v>
      </c>
      <c r="D1103">
        <v>6</v>
      </c>
      <c r="E1103" s="16" t="s">
        <v>46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61</v>
      </c>
      <c r="D1104">
        <v>8</v>
      </c>
      <c r="E1104" s="16" t="s">
        <v>48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61</v>
      </c>
      <c r="D1105">
        <v>9</v>
      </c>
      <c r="E1105" s="16" t="s">
        <v>49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61</v>
      </c>
      <c r="D1106">
        <v>10</v>
      </c>
      <c r="E1106" s="16" t="s">
        <v>59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61</v>
      </c>
      <c r="D1107">
        <v>11</v>
      </c>
      <c r="E1107" s="16" t="s">
        <v>50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61</v>
      </c>
      <c r="D1108">
        <v>12</v>
      </c>
      <c r="E1108" s="16" t="s">
        <v>51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61</v>
      </c>
      <c r="D1109">
        <v>13</v>
      </c>
      <c r="E1109" s="16" t="s">
        <v>52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61</v>
      </c>
      <c r="D1110">
        <v>14</v>
      </c>
      <c r="E1110" s="16" t="s">
        <v>53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61</v>
      </c>
      <c r="D1111">
        <v>15</v>
      </c>
      <c r="E1111" s="16" t="s">
        <v>54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61</v>
      </c>
      <c r="D1112">
        <v>16</v>
      </c>
      <c r="E1112" s="16" t="s">
        <v>55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61</v>
      </c>
      <c r="D1113">
        <v>17</v>
      </c>
      <c r="E1113" s="16" t="s">
        <v>56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61</v>
      </c>
      <c r="D1114">
        <v>18</v>
      </c>
      <c r="E1114" s="16" t="s">
        <v>57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61</v>
      </c>
      <c r="D1115">
        <v>1</v>
      </c>
      <c r="E1115" s="16" t="s">
        <v>40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61</v>
      </c>
      <c r="D1116">
        <v>2</v>
      </c>
      <c r="E1116" s="16" t="s">
        <v>42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61</v>
      </c>
      <c r="D1117">
        <v>3</v>
      </c>
      <c r="E1117" s="16" t="s">
        <v>43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61</v>
      </c>
      <c r="D1118">
        <v>5</v>
      </c>
      <c r="E1118" s="16" t="s">
        <v>45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61</v>
      </c>
      <c r="D1119">
        <v>6</v>
      </c>
      <c r="E1119" s="16" t="s">
        <v>46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61</v>
      </c>
      <c r="D1120">
        <v>8</v>
      </c>
      <c r="E1120" s="16" t="s">
        <v>48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61</v>
      </c>
      <c r="D1121">
        <v>9</v>
      </c>
      <c r="E1121" s="16" t="s">
        <v>49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61</v>
      </c>
      <c r="D1122">
        <v>10</v>
      </c>
      <c r="E1122" s="16" t="s">
        <v>59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61</v>
      </c>
      <c r="D1123">
        <v>11</v>
      </c>
      <c r="E1123" s="16" t="s">
        <v>50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61</v>
      </c>
      <c r="D1124">
        <v>12</v>
      </c>
      <c r="E1124" s="16" t="s">
        <v>51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61</v>
      </c>
      <c r="D1125">
        <v>13</v>
      </c>
      <c r="E1125" s="16" t="s">
        <v>52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61</v>
      </c>
      <c r="D1126">
        <v>14</v>
      </c>
      <c r="E1126" s="16" t="s">
        <v>53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61</v>
      </c>
      <c r="D1127">
        <v>15</v>
      </c>
      <c r="E1127" s="16" t="s">
        <v>54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61</v>
      </c>
      <c r="D1128">
        <v>16</v>
      </c>
      <c r="E1128" s="16" t="s">
        <v>55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61</v>
      </c>
      <c r="D1129">
        <v>17</v>
      </c>
      <c r="E1129" s="16" t="s">
        <v>56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61</v>
      </c>
      <c r="D1130">
        <v>18</v>
      </c>
      <c r="E1130" s="16" t="s">
        <v>57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61</v>
      </c>
      <c r="D1131">
        <v>1</v>
      </c>
      <c r="E1131" s="16" t="s">
        <v>40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61</v>
      </c>
      <c r="D1132">
        <v>2</v>
      </c>
      <c r="E1132" s="16" t="s">
        <v>42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61</v>
      </c>
      <c r="D1133">
        <v>3</v>
      </c>
      <c r="E1133" s="16" t="s">
        <v>43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61</v>
      </c>
      <c r="D1134">
        <v>5</v>
      </c>
      <c r="E1134" s="16" t="s">
        <v>45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61</v>
      </c>
      <c r="D1135">
        <v>6</v>
      </c>
      <c r="E1135" s="16" t="s">
        <v>46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61</v>
      </c>
      <c r="D1136">
        <v>8</v>
      </c>
      <c r="E1136" s="16" t="s">
        <v>48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61</v>
      </c>
      <c r="D1137">
        <v>9</v>
      </c>
      <c r="E1137" s="16" t="s">
        <v>49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61</v>
      </c>
      <c r="D1138">
        <v>10</v>
      </c>
      <c r="E1138" s="16" t="s">
        <v>59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61</v>
      </c>
      <c r="D1139">
        <v>11</v>
      </c>
      <c r="E1139" s="16" t="s">
        <v>50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61</v>
      </c>
      <c r="D1140">
        <v>12</v>
      </c>
      <c r="E1140" s="16" t="s">
        <v>51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61</v>
      </c>
      <c r="D1141">
        <v>13</v>
      </c>
      <c r="E1141" s="16" t="s">
        <v>52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61</v>
      </c>
      <c r="D1142">
        <v>14</v>
      </c>
      <c r="E1142" s="16" t="s">
        <v>53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61</v>
      </c>
      <c r="D1143">
        <v>15</v>
      </c>
      <c r="E1143" s="16" t="s">
        <v>54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61</v>
      </c>
      <c r="D1144">
        <v>16</v>
      </c>
      <c r="E1144" s="16" t="s">
        <v>55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61</v>
      </c>
      <c r="D1145">
        <v>17</v>
      </c>
      <c r="E1145" s="16" t="s">
        <v>56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61</v>
      </c>
      <c r="D1146">
        <v>18</v>
      </c>
      <c r="E1146" s="16" t="s">
        <v>57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61</v>
      </c>
      <c r="D1147">
        <v>1</v>
      </c>
      <c r="E1147" s="16" t="s">
        <v>40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61</v>
      </c>
      <c r="D1148">
        <v>2</v>
      </c>
      <c r="E1148" s="16" t="s">
        <v>42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61</v>
      </c>
      <c r="D1149">
        <v>3</v>
      </c>
      <c r="E1149" s="16" t="s">
        <v>43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61</v>
      </c>
      <c r="D1150">
        <v>5</v>
      </c>
      <c r="E1150" s="16" t="s">
        <v>45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61</v>
      </c>
      <c r="D1151">
        <v>6</v>
      </c>
      <c r="E1151" s="16" t="s">
        <v>46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61</v>
      </c>
      <c r="D1152">
        <v>8</v>
      </c>
      <c r="E1152" s="16" t="s">
        <v>48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61</v>
      </c>
      <c r="D1153">
        <v>9</v>
      </c>
      <c r="E1153" s="16" t="s">
        <v>49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61</v>
      </c>
      <c r="D1154">
        <v>10</v>
      </c>
      <c r="E1154" s="16" t="s">
        <v>59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61</v>
      </c>
      <c r="D1155">
        <v>11</v>
      </c>
      <c r="E1155" s="16" t="s">
        <v>50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61</v>
      </c>
      <c r="D1156">
        <v>12</v>
      </c>
      <c r="E1156" s="16" t="s">
        <v>51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61</v>
      </c>
      <c r="D1157">
        <v>13</v>
      </c>
      <c r="E1157" s="16" t="s">
        <v>52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61</v>
      </c>
      <c r="D1158">
        <v>14</v>
      </c>
      <c r="E1158" s="16" t="s">
        <v>53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61</v>
      </c>
      <c r="D1159">
        <v>15</v>
      </c>
      <c r="E1159" s="16" t="s">
        <v>54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61</v>
      </c>
      <c r="D1160">
        <v>16</v>
      </c>
      <c r="E1160" s="16" t="s">
        <v>55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61</v>
      </c>
      <c r="D1161">
        <v>17</v>
      </c>
      <c r="E1161" s="16" t="s">
        <v>56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61</v>
      </c>
      <c r="D1162">
        <v>18</v>
      </c>
      <c r="E1162" s="16" t="s">
        <v>57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61</v>
      </c>
      <c r="D1163">
        <v>1</v>
      </c>
      <c r="E1163" s="16" t="s">
        <v>40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61</v>
      </c>
      <c r="D1164">
        <v>2</v>
      </c>
      <c r="E1164" s="16" t="s">
        <v>42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61</v>
      </c>
      <c r="D1165">
        <v>3</v>
      </c>
      <c r="E1165" s="16" t="s">
        <v>43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61</v>
      </c>
      <c r="D1166">
        <v>5</v>
      </c>
      <c r="E1166" s="16" t="s">
        <v>45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61</v>
      </c>
      <c r="D1167">
        <v>6</v>
      </c>
      <c r="E1167" s="16" t="s">
        <v>46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61</v>
      </c>
      <c r="D1168">
        <v>8</v>
      </c>
      <c r="E1168" s="16" t="s">
        <v>48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61</v>
      </c>
      <c r="D1169">
        <v>9</v>
      </c>
      <c r="E1169" s="16" t="s">
        <v>49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61</v>
      </c>
      <c r="D1170">
        <v>10</v>
      </c>
      <c r="E1170" s="16" t="s">
        <v>59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61</v>
      </c>
      <c r="D1171">
        <v>11</v>
      </c>
      <c r="E1171" s="16" t="s">
        <v>50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61</v>
      </c>
      <c r="D1172">
        <v>12</v>
      </c>
      <c r="E1172" s="16" t="s">
        <v>51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61</v>
      </c>
      <c r="D1173">
        <v>13</v>
      </c>
      <c r="E1173" s="16" t="s">
        <v>52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61</v>
      </c>
      <c r="D1174">
        <v>14</v>
      </c>
      <c r="E1174" s="16" t="s">
        <v>53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61</v>
      </c>
      <c r="D1175">
        <v>15</v>
      </c>
      <c r="E1175" s="16" t="s">
        <v>54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61</v>
      </c>
      <c r="D1176">
        <v>16</v>
      </c>
      <c r="E1176" s="16" t="s">
        <v>55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61</v>
      </c>
      <c r="D1177">
        <v>17</v>
      </c>
      <c r="E1177" s="16" t="s">
        <v>56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61</v>
      </c>
      <c r="D1178">
        <v>18</v>
      </c>
      <c r="E1178" s="16" t="s">
        <v>57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61</v>
      </c>
      <c r="D1179">
        <v>1</v>
      </c>
      <c r="E1179" s="16" t="s">
        <v>40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61</v>
      </c>
      <c r="D1180">
        <v>2</v>
      </c>
      <c r="E1180" s="16" t="s">
        <v>42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61</v>
      </c>
      <c r="D1181">
        <v>3</v>
      </c>
      <c r="E1181" s="16" t="s">
        <v>43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61</v>
      </c>
      <c r="D1182">
        <v>5</v>
      </c>
      <c r="E1182" s="16" t="s">
        <v>45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61</v>
      </c>
      <c r="D1183">
        <v>6</v>
      </c>
      <c r="E1183" s="16" t="s">
        <v>46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61</v>
      </c>
      <c r="D1184">
        <v>8</v>
      </c>
      <c r="E1184" s="16" t="s">
        <v>48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61</v>
      </c>
      <c r="D1185">
        <v>9</v>
      </c>
      <c r="E1185" s="16" t="s">
        <v>49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61</v>
      </c>
      <c r="D1186">
        <v>10</v>
      </c>
      <c r="E1186" s="16" t="s">
        <v>59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61</v>
      </c>
      <c r="D1187">
        <v>11</v>
      </c>
      <c r="E1187" s="16" t="s">
        <v>50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61</v>
      </c>
      <c r="D1188">
        <v>12</v>
      </c>
      <c r="E1188" s="16" t="s">
        <v>51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61</v>
      </c>
      <c r="D1189">
        <v>13</v>
      </c>
      <c r="E1189" s="16" t="s">
        <v>52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61</v>
      </c>
      <c r="D1190">
        <v>14</v>
      </c>
      <c r="E1190" s="16" t="s">
        <v>53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61</v>
      </c>
      <c r="D1191">
        <v>15</v>
      </c>
      <c r="E1191" s="16" t="s">
        <v>54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61</v>
      </c>
      <c r="D1192">
        <v>16</v>
      </c>
      <c r="E1192" s="16" t="s">
        <v>55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61</v>
      </c>
      <c r="D1193">
        <v>17</v>
      </c>
      <c r="E1193" s="16" t="s">
        <v>56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61</v>
      </c>
      <c r="D1194">
        <v>18</v>
      </c>
      <c r="E1194" s="16" t="s">
        <v>57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61</v>
      </c>
      <c r="D1195">
        <v>1</v>
      </c>
      <c r="E1195" s="16" t="s">
        <v>40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61</v>
      </c>
      <c r="D1196">
        <v>2</v>
      </c>
      <c r="E1196" s="16" t="s">
        <v>42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61</v>
      </c>
      <c r="D1197">
        <v>3</v>
      </c>
      <c r="E1197" s="16" t="s">
        <v>43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61</v>
      </c>
      <c r="D1198">
        <v>5</v>
      </c>
      <c r="E1198" s="16" t="s">
        <v>45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61</v>
      </c>
      <c r="D1199">
        <v>6</v>
      </c>
      <c r="E1199" s="16" t="s">
        <v>46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61</v>
      </c>
      <c r="D1200">
        <v>8</v>
      </c>
      <c r="E1200" s="16" t="s">
        <v>48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61</v>
      </c>
      <c r="D1201">
        <v>9</v>
      </c>
      <c r="E1201" s="16" t="s">
        <v>49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61</v>
      </c>
      <c r="D1202">
        <v>10</v>
      </c>
      <c r="E1202" s="16" t="s">
        <v>59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61</v>
      </c>
      <c r="D1203">
        <v>11</v>
      </c>
      <c r="E1203" s="16" t="s">
        <v>50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61</v>
      </c>
      <c r="D1204">
        <v>12</v>
      </c>
      <c r="E1204" s="16" t="s">
        <v>51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61</v>
      </c>
      <c r="D1205">
        <v>13</v>
      </c>
      <c r="E1205" s="16" t="s">
        <v>52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61</v>
      </c>
      <c r="D1206">
        <v>14</v>
      </c>
      <c r="E1206" s="16" t="s">
        <v>53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61</v>
      </c>
      <c r="D1207">
        <v>15</v>
      </c>
      <c r="E1207" s="16" t="s">
        <v>54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61</v>
      </c>
      <c r="D1208">
        <v>16</v>
      </c>
      <c r="E1208" s="16" t="s">
        <v>55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61</v>
      </c>
      <c r="D1209">
        <v>17</v>
      </c>
      <c r="E1209" s="16" t="s">
        <v>56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61</v>
      </c>
      <c r="D1210">
        <v>18</v>
      </c>
      <c r="E1210" s="16" t="s">
        <v>57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61</v>
      </c>
      <c r="D1211">
        <v>1</v>
      </c>
      <c r="E1211" s="16" t="s">
        <v>40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61</v>
      </c>
      <c r="D1212">
        <v>2</v>
      </c>
      <c r="E1212" s="16" t="s">
        <v>42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61</v>
      </c>
      <c r="D1213">
        <v>3</v>
      </c>
      <c r="E1213" s="16" t="s">
        <v>43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61</v>
      </c>
      <c r="D1214">
        <v>5</v>
      </c>
      <c r="E1214" s="16" t="s">
        <v>45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61</v>
      </c>
      <c r="D1215">
        <v>6</v>
      </c>
      <c r="E1215" s="16" t="s">
        <v>46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61</v>
      </c>
      <c r="D1216">
        <v>8</v>
      </c>
      <c r="E1216" s="16" t="s">
        <v>48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61</v>
      </c>
      <c r="D1217">
        <v>9</v>
      </c>
      <c r="E1217" s="16" t="s">
        <v>49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61</v>
      </c>
      <c r="D1218">
        <v>10</v>
      </c>
      <c r="E1218" s="16" t="s">
        <v>59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61</v>
      </c>
      <c r="D1219">
        <v>11</v>
      </c>
      <c r="E1219" s="16" t="s">
        <v>50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61</v>
      </c>
      <c r="D1220">
        <v>12</v>
      </c>
      <c r="E1220" s="16" t="s">
        <v>51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61</v>
      </c>
      <c r="D1221">
        <v>13</v>
      </c>
      <c r="E1221" s="16" t="s">
        <v>52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61</v>
      </c>
      <c r="D1222">
        <v>14</v>
      </c>
      <c r="E1222" s="16" t="s">
        <v>53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61</v>
      </c>
      <c r="D1223">
        <v>15</v>
      </c>
      <c r="E1223" s="16" t="s">
        <v>54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61</v>
      </c>
      <c r="D1224">
        <v>16</v>
      </c>
      <c r="E1224" s="16" t="s">
        <v>55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61</v>
      </c>
      <c r="D1225">
        <v>17</v>
      </c>
      <c r="E1225" s="16" t="s">
        <v>56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61</v>
      </c>
      <c r="D1226">
        <v>18</v>
      </c>
      <c r="E1226" s="16" t="s">
        <v>57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61</v>
      </c>
      <c r="D1227">
        <v>1</v>
      </c>
      <c r="E1227" s="16" t="s">
        <v>40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61</v>
      </c>
      <c r="D1228">
        <v>2</v>
      </c>
      <c r="E1228" s="16" t="s">
        <v>42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61</v>
      </c>
      <c r="D1229">
        <v>3</v>
      </c>
      <c r="E1229" s="16" t="s">
        <v>43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61</v>
      </c>
      <c r="D1230">
        <v>5</v>
      </c>
      <c r="E1230" s="16" t="s">
        <v>45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61</v>
      </c>
      <c r="D1231">
        <v>6</v>
      </c>
      <c r="E1231" s="16" t="s">
        <v>46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61</v>
      </c>
      <c r="D1232">
        <v>8</v>
      </c>
      <c r="E1232" s="16" t="s">
        <v>48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61</v>
      </c>
      <c r="D1233">
        <v>9</v>
      </c>
      <c r="E1233" s="16" t="s">
        <v>49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61</v>
      </c>
      <c r="D1234">
        <v>10</v>
      </c>
      <c r="E1234" s="16" t="s">
        <v>59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61</v>
      </c>
      <c r="D1235">
        <v>11</v>
      </c>
      <c r="E1235" s="16" t="s">
        <v>50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61</v>
      </c>
      <c r="D1236">
        <v>12</v>
      </c>
      <c r="E1236" s="16" t="s">
        <v>51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61</v>
      </c>
      <c r="D1237">
        <v>13</v>
      </c>
      <c r="E1237" s="16" t="s">
        <v>52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61</v>
      </c>
      <c r="D1238">
        <v>14</v>
      </c>
      <c r="E1238" s="16" t="s">
        <v>53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61</v>
      </c>
      <c r="D1239">
        <v>15</v>
      </c>
      <c r="E1239" s="16" t="s">
        <v>54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61</v>
      </c>
      <c r="D1240">
        <v>16</v>
      </c>
      <c r="E1240" s="16" t="s">
        <v>55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61</v>
      </c>
      <c r="D1241">
        <v>17</v>
      </c>
      <c r="E1241" s="16" t="s">
        <v>56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61</v>
      </c>
      <c r="D1242">
        <v>18</v>
      </c>
      <c r="E1242" s="16" t="s">
        <v>57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61</v>
      </c>
      <c r="D1243">
        <v>1</v>
      </c>
      <c r="E1243" s="16" t="s">
        <v>40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61</v>
      </c>
      <c r="D1244">
        <v>2</v>
      </c>
      <c r="E1244" s="16" t="s">
        <v>42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61</v>
      </c>
      <c r="D1245">
        <v>3</v>
      </c>
      <c r="E1245" s="16" t="s">
        <v>43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61</v>
      </c>
      <c r="D1246">
        <v>5</v>
      </c>
      <c r="E1246" s="16" t="s">
        <v>45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61</v>
      </c>
      <c r="D1247">
        <v>6</v>
      </c>
      <c r="E1247" s="16" t="s">
        <v>46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61</v>
      </c>
      <c r="D1248">
        <v>8</v>
      </c>
      <c r="E1248" s="16" t="s">
        <v>48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61</v>
      </c>
      <c r="D1249">
        <v>9</v>
      </c>
      <c r="E1249" s="16" t="s">
        <v>49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61</v>
      </c>
      <c r="D1250">
        <v>10</v>
      </c>
      <c r="E1250" s="16" t="s">
        <v>59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61</v>
      </c>
      <c r="D1251">
        <v>11</v>
      </c>
      <c r="E1251" s="16" t="s">
        <v>50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61</v>
      </c>
      <c r="D1252">
        <v>12</v>
      </c>
      <c r="E1252" s="16" t="s">
        <v>51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61</v>
      </c>
      <c r="D1253">
        <v>13</v>
      </c>
      <c r="E1253" s="16" t="s">
        <v>52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61</v>
      </c>
      <c r="D1254">
        <v>14</v>
      </c>
      <c r="E1254" s="16" t="s">
        <v>53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61</v>
      </c>
      <c r="D1255">
        <v>15</v>
      </c>
      <c r="E1255" s="16" t="s">
        <v>54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61</v>
      </c>
      <c r="D1256">
        <v>16</v>
      </c>
      <c r="E1256" s="16" t="s">
        <v>55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61</v>
      </c>
      <c r="D1257">
        <v>17</v>
      </c>
      <c r="E1257" s="16" t="s">
        <v>56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61</v>
      </c>
      <c r="D1258">
        <v>18</v>
      </c>
      <c r="E1258" s="16" t="s">
        <v>57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62</v>
      </c>
      <c r="D1259">
        <v>1</v>
      </c>
      <c r="E1259" s="16" t="s">
        <v>40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62</v>
      </c>
      <c r="D1260">
        <v>2</v>
      </c>
      <c r="E1260" s="16" t="s">
        <v>42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62</v>
      </c>
      <c r="D1261">
        <v>3</v>
      </c>
      <c r="E1261" s="16" t="s">
        <v>43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62</v>
      </c>
      <c r="D1262">
        <v>4</v>
      </c>
      <c r="E1262" s="16" t="s">
        <v>44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62</v>
      </c>
      <c r="D1263">
        <v>7</v>
      </c>
      <c r="E1263" s="16" t="s">
        <v>47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62</v>
      </c>
      <c r="D1264">
        <v>8</v>
      </c>
      <c r="E1264" s="16" t="s">
        <v>48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62</v>
      </c>
      <c r="D1265">
        <v>10</v>
      </c>
      <c r="E1265" s="16" t="s">
        <v>59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62</v>
      </c>
      <c r="D1266">
        <v>11</v>
      </c>
      <c r="E1266" s="16" t="s">
        <v>50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62</v>
      </c>
      <c r="D1267">
        <v>12</v>
      </c>
      <c r="E1267" s="16" t="s">
        <v>51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62</v>
      </c>
      <c r="D1268">
        <v>13</v>
      </c>
      <c r="E1268" s="16" t="s">
        <v>52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62</v>
      </c>
      <c r="D1269">
        <v>14</v>
      </c>
      <c r="E1269" s="16" t="s">
        <v>53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62</v>
      </c>
      <c r="D1270">
        <v>15</v>
      </c>
      <c r="E1270" s="16" t="s">
        <v>54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62</v>
      </c>
      <c r="D1271">
        <v>16</v>
      </c>
      <c r="E1271" s="16" t="s">
        <v>55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62</v>
      </c>
      <c r="D1272">
        <v>17</v>
      </c>
      <c r="E1272" s="16" t="s">
        <v>56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62</v>
      </c>
      <c r="D1273">
        <v>18</v>
      </c>
      <c r="E1273" s="16" t="s">
        <v>57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62</v>
      </c>
      <c r="D1274">
        <v>12</v>
      </c>
      <c r="E1274" s="16" t="s">
        <v>51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62</v>
      </c>
      <c r="D1275">
        <v>13</v>
      </c>
      <c r="E1275" s="16" t="s">
        <v>52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62</v>
      </c>
      <c r="D1276">
        <v>14</v>
      </c>
      <c r="E1276" s="16" t="s">
        <v>53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62</v>
      </c>
      <c r="D1277">
        <v>15</v>
      </c>
      <c r="E1277" s="16" t="s">
        <v>54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62</v>
      </c>
      <c r="D1278">
        <v>16</v>
      </c>
      <c r="E1278" s="16" t="s">
        <v>55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62</v>
      </c>
      <c r="D1279">
        <v>17</v>
      </c>
      <c r="E1279" s="16" t="s">
        <v>56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62</v>
      </c>
      <c r="D1280">
        <v>18</v>
      </c>
      <c r="E1280" s="16" t="s">
        <v>57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62</v>
      </c>
      <c r="D1281">
        <v>1</v>
      </c>
      <c r="E1281" s="16" t="s">
        <v>40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62</v>
      </c>
      <c r="D1282">
        <v>2</v>
      </c>
      <c r="E1282" s="16" t="s">
        <v>42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62</v>
      </c>
      <c r="D1283">
        <v>3</v>
      </c>
      <c r="E1283" s="16" t="s">
        <v>43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62</v>
      </c>
      <c r="D1284">
        <v>4</v>
      </c>
      <c r="E1284" s="16" t="s">
        <v>44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62</v>
      </c>
      <c r="D1285">
        <v>7</v>
      </c>
      <c r="E1285" s="16" t="s">
        <v>47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62</v>
      </c>
      <c r="D1286">
        <v>8</v>
      </c>
      <c r="E1286" s="16" t="s">
        <v>48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62</v>
      </c>
      <c r="D1287">
        <v>10</v>
      </c>
      <c r="E1287" s="16" t="s">
        <v>59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62</v>
      </c>
      <c r="D1288">
        <v>11</v>
      </c>
      <c r="E1288" s="16" t="s">
        <v>50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62</v>
      </c>
      <c r="D1289">
        <v>1</v>
      </c>
      <c r="E1289" s="16" t="s">
        <v>40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62</v>
      </c>
      <c r="D1290">
        <v>2</v>
      </c>
      <c r="E1290" s="16" t="s">
        <v>42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62</v>
      </c>
      <c r="D1291">
        <v>3</v>
      </c>
      <c r="E1291" s="16" t="s">
        <v>43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62</v>
      </c>
      <c r="D1292">
        <v>4</v>
      </c>
      <c r="E1292" s="16" t="s">
        <v>44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62</v>
      </c>
      <c r="D1293">
        <v>7</v>
      </c>
      <c r="E1293" s="16" t="s">
        <v>47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62</v>
      </c>
      <c r="D1294">
        <v>8</v>
      </c>
      <c r="E1294" s="16" t="s">
        <v>48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62</v>
      </c>
      <c r="D1295">
        <v>10</v>
      </c>
      <c r="E1295" s="16" t="s">
        <v>59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62</v>
      </c>
      <c r="D1296">
        <v>11</v>
      </c>
      <c r="E1296" s="16" t="s">
        <v>50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62</v>
      </c>
      <c r="D1297">
        <v>12</v>
      </c>
      <c r="E1297" s="16" t="s">
        <v>51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62</v>
      </c>
      <c r="D1298">
        <v>13</v>
      </c>
      <c r="E1298" s="16" t="s">
        <v>52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62</v>
      </c>
      <c r="D1299">
        <v>14</v>
      </c>
      <c r="E1299" s="16" t="s">
        <v>53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62</v>
      </c>
      <c r="D1300">
        <v>15</v>
      </c>
      <c r="E1300" s="16" t="s">
        <v>54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62</v>
      </c>
      <c r="D1301">
        <v>16</v>
      </c>
      <c r="E1301" s="16" t="s">
        <v>55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62</v>
      </c>
      <c r="D1302">
        <v>17</v>
      </c>
      <c r="E1302" s="16" t="s">
        <v>56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62</v>
      </c>
      <c r="D1303">
        <v>18</v>
      </c>
      <c r="E1303" s="16" t="s">
        <v>57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62</v>
      </c>
      <c r="D1304">
        <v>11</v>
      </c>
      <c r="E1304" s="16" t="s">
        <v>50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62</v>
      </c>
      <c r="D1305">
        <v>12</v>
      </c>
      <c r="E1305" s="16" t="s">
        <v>51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62</v>
      </c>
      <c r="D1306">
        <v>13</v>
      </c>
      <c r="E1306" s="16" t="s">
        <v>52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62</v>
      </c>
      <c r="D1307">
        <v>14</v>
      </c>
      <c r="E1307" s="16" t="s">
        <v>53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62</v>
      </c>
      <c r="D1308">
        <v>15</v>
      </c>
      <c r="E1308" s="16" t="s">
        <v>54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62</v>
      </c>
      <c r="D1309">
        <v>16</v>
      </c>
      <c r="E1309" s="16" t="s">
        <v>55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62</v>
      </c>
      <c r="D1310">
        <v>17</v>
      </c>
      <c r="E1310" s="16" t="s">
        <v>56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62</v>
      </c>
      <c r="D1311">
        <v>18</v>
      </c>
      <c r="E1311" s="16" t="s">
        <v>57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62</v>
      </c>
      <c r="D1312">
        <v>1</v>
      </c>
      <c r="E1312" s="16" t="s">
        <v>40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62</v>
      </c>
      <c r="D1313">
        <v>2</v>
      </c>
      <c r="E1313" s="16" t="s">
        <v>42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62</v>
      </c>
      <c r="D1314">
        <v>3</v>
      </c>
      <c r="E1314" s="16" t="s">
        <v>43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62</v>
      </c>
      <c r="D1315">
        <v>4</v>
      </c>
      <c r="E1315" s="16" t="s">
        <v>44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62</v>
      </c>
      <c r="D1316">
        <v>7</v>
      </c>
      <c r="E1316" s="16" t="s">
        <v>47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62</v>
      </c>
      <c r="D1317">
        <v>8</v>
      </c>
      <c r="E1317" s="16" t="s">
        <v>48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62</v>
      </c>
      <c r="D1318">
        <v>10</v>
      </c>
      <c r="E1318" s="16" t="s">
        <v>59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62</v>
      </c>
      <c r="D1319">
        <v>1</v>
      </c>
      <c r="E1319" s="16" t="s">
        <v>40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62</v>
      </c>
      <c r="D1320">
        <v>2</v>
      </c>
      <c r="E1320" s="16" t="s">
        <v>42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62</v>
      </c>
      <c r="D1321">
        <v>3</v>
      </c>
      <c r="E1321" s="16" t="s">
        <v>43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62</v>
      </c>
      <c r="D1322">
        <v>4</v>
      </c>
      <c r="E1322" s="16" t="s">
        <v>44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62</v>
      </c>
      <c r="D1323">
        <v>7</v>
      </c>
      <c r="E1323" s="16" t="s">
        <v>47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62</v>
      </c>
      <c r="D1324">
        <v>8</v>
      </c>
      <c r="E1324" s="16" t="s">
        <v>48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62</v>
      </c>
      <c r="D1325">
        <v>10</v>
      </c>
      <c r="E1325" s="16" t="s">
        <v>59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62</v>
      </c>
      <c r="D1326">
        <v>11</v>
      </c>
      <c r="E1326" s="16" t="s">
        <v>50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62</v>
      </c>
      <c r="D1327">
        <v>12</v>
      </c>
      <c r="E1327" s="16" t="s">
        <v>51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62</v>
      </c>
      <c r="D1328">
        <v>13</v>
      </c>
      <c r="E1328" s="16" t="s">
        <v>52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62</v>
      </c>
      <c r="D1329">
        <v>14</v>
      </c>
      <c r="E1329" s="16" t="s">
        <v>53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62</v>
      </c>
      <c r="D1330">
        <v>15</v>
      </c>
      <c r="E1330" s="16" t="s">
        <v>54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62</v>
      </c>
      <c r="D1331">
        <v>16</v>
      </c>
      <c r="E1331" s="16" t="s">
        <v>55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62</v>
      </c>
      <c r="D1332">
        <v>17</v>
      </c>
      <c r="E1332" s="16" t="s">
        <v>56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62</v>
      </c>
      <c r="D1333">
        <v>18</v>
      </c>
      <c r="E1333" s="16" t="s">
        <v>57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62</v>
      </c>
      <c r="D1334">
        <v>11</v>
      </c>
      <c r="E1334" s="16" t="s">
        <v>50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62</v>
      </c>
      <c r="D1335">
        <v>12</v>
      </c>
      <c r="E1335" s="16" t="s">
        <v>51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62</v>
      </c>
      <c r="D1336">
        <v>13</v>
      </c>
      <c r="E1336" s="16" t="s">
        <v>52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62</v>
      </c>
      <c r="D1337">
        <v>14</v>
      </c>
      <c r="E1337" s="16" t="s">
        <v>53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62</v>
      </c>
      <c r="D1338">
        <v>15</v>
      </c>
      <c r="E1338" s="16" t="s">
        <v>54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62</v>
      </c>
      <c r="D1339">
        <v>16</v>
      </c>
      <c r="E1339" s="16" t="s">
        <v>55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62</v>
      </c>
      <c r="D1340">
        <v>17</v>
      </c>
      <c r="E1340" s="16" t="s">
        <v>56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62</v>
      </c>
      <c r="D1341">
        <v>18</v>
      </c>
      <c r="E1341" s="16" t="s">
        <v>57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62</v>
      </c>
      <c r="D1342">
        <v>1</v>
      </c>
      <c r="E1342" s="16" t="s">
        <v>40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62</v>
      </c>
      <c r="D1343">
        <v>2</v>
      </c>
      <c r="E1343" s="16" t="s">
        <v>42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62</v>
      </c>
      <c r="D1344">
        <v>3</v>
      </c>
      <c r="E1344" s="16" t="s">
        <v>43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62</v>
      </c>
      <c r="D1345">
        <v>4</v>
      </c>
      <c r="E1345" s="16" t="s">
        <v>44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62</v>
      </c>
      <c r="D1346">
        <v>7</v>
      </c>
      <c r="E1346" s="16" t="s">
        <v>47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62</v>
      </c>
      <c r="D1347">
        <v>8</v>
      </c>
      <c r="E1347" s="16" t="s">
        <v>48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62</v>
      </c>
      <c r="D1348">
        <v>10</v>
      </c>
      <c r="E1348" s="16" t="s">
        <v>59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62</v>
      </c>
      <c r="D1349">
        <v>1</v>
      </c>
      <c r="E1349" s="16" t="s">
        <v>40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62</v>
      </c>
      <c r="D1350">
        <v>2</v>
      </c>
      <c r="E1350" s="16" t="s">
        <v>42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62</v>
      </c>
      <c r="D1351">
        <v>3</v>
      </c>
      <c r="E1351" s="16" t="s">
        <v>43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62</v>
      </c>
      <c r="D1352">
        <v>4</v>
      </c>
      <c r="E1352" s="16" t="s">
        <v>44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62</v>
      </c>
      <c r="D1353">
        <v>7</v>
      </c>
      <c r="E1353" s="16" t="s">
        <v>47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62</v>
      </c>
      <c r="D1354">
        <v>8</v>
      </c>
      <c r="E1354" s="16" t="s">
        <v>48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62</v>
      </c>
      <c r="D1355">
        <v>10</v>
      </c>
      <c r="E1355" s="16" t="s">
        <v>59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62</v>
      </c>
      <c r="D1356">
        <v>11</v>
      </c>
      <c r="E1356" s="16" t="s">
        <v>50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62</v>
      </c>
      <c r="D1357">
        <v>12</v>
      </c>
      <c r="E1357" s="16" t="s">
        <v>51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62</v>
      </c>
      <c r="D1358">
        <v>13</v>
      </c>
      <c r="E1358" s="16" t="s">
        <v>52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62</v>
      </c>
      <c r="D1359">
        <v>14</v>
      </c>
      <c r="E1359" s="16" t="s">
        <v>53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62</v>
      </c>
      <c r="D1360">
        <v>15</v>
      </c>
      <c r="E1360" s="16" t="s">
        <v>54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62</v>
      </c>
      <c r="D1361">
        <v>16</v>
      </c>
      <c r="E1361" s="16" t="s">
        <v>55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62</v>
      </c>
      <c r="D1362">
        <v>17</v>
      </c>
      <c r="E1362" s="16" t="s">
        <v>56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62</v>
      </c>
      <c r="D1363">
        <v>18</v>
      </c>
      <c r="E1363" s="16" t="s">
        <v>57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62</v>
      </c>
      <c r="D1364">
        <v>11</v>
      </c>
      <c r="E1364" s="16" t="s">
        <v>50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62</v>
      </c>
      <c r="D1365">
        <v>12</v>
      </c>
      <c r="E1365" s="16" t="s">
        <v>51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62</v>
      </c>
      <c r="D1366">
        <v>13</v>
      </c>
      <c r="E1366" s="16" t="s">
        <v>52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62</v>
      </c>
      <c r="D1367">
        <v>14</v>
      </c>
      <c r="E1367" s="16" t="s">
        <v>53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62</v>
      </c>
      <c r="D1368">
        <v>15</v>
      </c>
      <c r="E1368" s="16" t="s">
        <v>54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62</v>
      </c>
      <c r="D1369">
        <v>16</v>
      </c>
      <c r="E1369" s="16" t="s">
        <v>55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62</v>
      </c>
      <c r="D1370">
        <v>17</v>
      </c>
      <c r="E1370" s="16" t="s">
        <v>56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62</v>
      </c>
      <c r="D1371">
        <v>18</v>
      </c>
      <c r="E1371" s="16" t="s">
        <v>57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62</v>
      </c>
      <c r="D1372">
        <v>1</v>
      </c>
      <c r="E1372" s="16" t="s">
        <v>40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62</v>
      </c>
      <c r="D1373">
        <v>2</v>
      </c>
      <c r="E1373" s="16" t="s">
        <v>42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62</v>
      </c>
      <c r="D1374">
        <v>3</v>
      </c>
      <c r="E1374" s="16" t="s">
        <v>43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62</v>
      </c>
      <c r="D1375">
        <v>4</v>
      </c>
      <c r="E1375" s="16" t="s">
        <v>44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62</v>
      </c>
      <c r="D1376">
        <v>7</v>
      </c>
      <c r="E1376" s="16" t="s">
        <v>47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62</v>
      </c>
      <c r="D1377">
        <v>8</v>
      </c>
      <c r="E1377" s="16" t="s">
        <v>48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62</v>
      </c>
      <c r="D1378">
        <v>10</v>
      </c>
      <c r="E1378" s="16" t="s">
        <v>59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62</v>
      </c>
      <c r="D1379">
        <v>1</v>
      </c>
      <c r="E1379" s="16" t="s">
        <v>40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62</v>
      </c>
      <c r="D1380">
        <v>2</v>
      </c>
      <c r="E1380" s="16" t="s">
        <v>42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62</v>
      </c>
      <c r="D1381">
        <v>3</v>
      </c>
      <c r="E1381" s="16" t="s">
        <v>43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62</v>
      </c>
      <c r="D1382">
        <v>4</v>
      </c>
      <c r="E1382" s="16" t="s">
        <v>44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62</v>
      </c>
      <c r="D1383">
        <v>7</v>
      </c>
      <c r="E1383" s="16" t="s">
        <v>47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62</v>
      </c>
      <c r="D1384">
        <v>8</v>
      </c>
      <c r="E1384" s="16" t="s">
        <v>48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62</v>
      </c>
      <c r="D1385">
        <v>10</v>
      </c>
      <c r="E1385" s="16" t="s">
        <v>59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62</v>
      </c>
      <c r="D1386">
        <v>11</v>
      </c>
      <c r="E1386" s="16" t="s">
        <v>50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62</v>
      </c>
      <c r="D1387">
        <v>12</v>
      </c>
      <c r="E1387" s="16" t="s">
        <v>51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62</v>
      </c>
      <c r="D1388">
        <v>13</v>
      </c>
      <c r="E1388" s="16" t="s">
        <v>52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62</v>
      </c>
      <c r="D1389">
        <v>14</v>
      </c>
      <c r="E1389" s="16" t="s">
        <v>53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62</v>
      </c>
      <c r="D1390">
        <v>15</v>
      </c>
      <c r="E1390" s="16" t="s">
        <v>54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62</v>
      </c>
      <c r="D1391">
        <v>16</v>
      </c>
      <c r="E1391" s="16" t="s">
        <v>55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62</v>
      </c>
      <c r="D1392">
        <v>17</v>
      </c>
      <c r="E1392" s="16" t="s">
        <v>56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62</v>
      </c>
      <c r="D1393">
        <v>18</v>
      </c>
      <c r="E1393" s="16" t="s">
        <v>57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62</v>
      </c>
      <c r="D1394">
        <v>11</v>
      </c>
      <c r="E1394" s="16" t="s">
        <v>50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62</v>
      </c>
      <c r="D1395">
        <v>12</v>
      </c>
      <c r="E1395" s="16" t="s">
        <v>51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62</v>
      </c>
      <c r="D1396">
        <v>13</v>
      </c>
      <c r="E1396" s="16" t="s">
        <v>52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62</v>
      </c>
      <c r="D1397">
        <v>14</v>
      </c>
      <c r="E1397" s="16" t="s">
        <v>53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62</v>
      </c>
      <c r="D1398">
        <v>15</v>
      </c>
      <c r="E1398" s="16" t="s">
        <v>54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62</v>
      </c>
      <c r="D1399">
        <v>16</v>
      </c>
      <c r="E1399" s="16" t="s">
        <v>55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62</v>
      </c>
      <c r="D1400">
        <v>17</v>
      </c>
      <c r="E1400" s="16" t="s">
        <v>56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62</v>
      </c>
      <c r="D1401">
        <v>18</v>
      </c>
      <c r="E1401" s="16" t="s">
        <v>57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62</v>
      </c>
      <c r="D1402">
        <v>1</v>
      </c>
      <c r="E1402" s="16" t="s">
        <v>40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62</v>
      </c>
      <c r="D1403">
        <v>2</v>
      </c>
      <c r="E1403" s="16" t="s">
        <v>42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62</v>
      </c>
      <c r="D1404">
        <v>3</v>
      </c>
      <c r="E1404" s="16" t="s">
        <v>43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62</v>
      </c>
      <c r="D1405">
        <v>4</v>
      </c>
      <c r="E1405" s="16" t="s">
        <v>44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62</v>
      </c>
      <c r="D1406">
        <v>7</v>
      </c>
      <c r="E1406" s="16" t="s">
        <v>47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62</v>
      </c>
      <c r="D1407">
        <v>8</v>
      </c>
      <c r="E1407" s="16" t="s">
        <v>48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62</v>
      </c>
      <c r="D1408">
        <v>10</v>
      </c>
      <c r="E1408" s="16" t="s">
        <v>59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62</v>
      </c>
      <c r="D1409">
        <v>1</v>
      </c>
      <c r="E1409" s="16" t="s">
        <v>40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62</v>
      </c>
      <c r="D1410">
        <v>2</v>
      </c>
      <c r="E1410" s="16" t="s">
        <v>42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62</v>
      </c>
      <c r="D1411">
        <v>3</v>
      </c>
      <c r="E1411" s="16" t="s">
        <v>43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62</v>
      </c>
      <c r="D1412">
        <v>4</v>
      </c>
      <c r="E1412" s="16" t="s">
        <v>44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62</v>
      </c>
      <c r="D1413">
        <v>7</v>
      </c>
      <c r="E1413" s="16" t="s">
        <v>47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62</v>
      </c>
      <c r="D1414">
        <v>8</v>
      </c>
      <c r="E1414" s="16" t="s">
        <v>48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62</v>
      </c>
      <c r="D1415">
        <v>10</v>
      </c>
      <c r="E1415" s="16" t="s">
        <v>59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62</v>
      </c>
      <c r="D1416">
        <v>11</v>
      </c>
      <c r="E1416" s="16" t="s">
        <v>50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62</v>
      </c>
      <c r="D1417">
        <v>12</v>
      </c>
      <c r="E1417" s="16" t="s">
        <v>51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62</v>
      </c>
      <c r="D1418">
        <v>13</v>
      </c>
      <c r="E1418" s="16" t="s">
        <v>52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62</v>
      </c>
      <c r="D1419">
        <v>14</v>
      </c>
      <c r="E1419" s="16" t="s">
        <v>53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62</v>
      </c>
      <c r="D1420">
        <v>15</v>
      </c>
      <c r="E1420" s="16" t="s">
        <v>54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62</v>
      </c>
      <c r="D1421">
        <v>16</v>
      </c>
      <c r="E1421" s="16" t="s">
        <v>55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62</v>
      </c>
      <c r="D1422">
        <v>17</v>
      </c>
      <c r="E1422" s="16" t="s">
        <v>56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62</v>
      </c>
      <c r="D1423">
        <v>18</v>
      </c>
      <c r="E1423" s="16" t="s">
        <v>57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62</v>
      </c>
      <c r="D1424">
        <v>11</v>
      </c>
      <c r="E1424" s="16" t="s">
        <v>50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62</v>
      </c>
      <c r="D1425">
        <v>12</v>
      </c>
      <c r="E1425" s="16" t="s">
        <v>51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62</v>
      </c>
      <c r="D1426">
        <v>13</v>
      </c>
      <c r="E1426" s="16" t="s">
        <v>52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62</v>
      </c>
      <c r="D1427">
        <v>14</v>
      </c>
      <c r="E1427" s="16" t="s">
        <v>53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62</v>
      </c>
      <c r="D1428">
        <v>15</v>
      </c>
      <c r="E1428" s="16" t="s">
        <v>54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62</v>
      </c>
      <c r="D1429">
        <v>16</v>
      </c>
      <c r="E1429" s="16" t="s">
        <v>55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62</v>
      </c>
      <c r="D1430">
        <v>17</v>
      </c>
      <c r="E1430" s="16" t="s">
        <v>56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62</v>
      </c>
      <c r="D1431">
        <v>18</v>
      </c>
      <c r="E1431" s="16" t="s">
        <v>57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62</v>
      </c>
      <c r="D1432">
        <v>1</v>
      </c>
      <c r="E1432" s="16" t="s">
        <v>40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62</v>
      </c>
      <c r="D1433">
        <v>2</v>
      </c>
      <c r="E1433" s="16" t="s">
        <v>42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62</v>
      </c>
      <c r="D1434">
        <v>3</v>
      </c>
      <c r="E1434" s="16" t="s">
        <v>43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62</v>
      </c>
      <c r="D1435">
        <v>4</v>
      </c>
      <c r="E1435" s="16" t="s">
        <v>44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62</v>
      </c>
      <c r="D1436">
        <v>7</v>
      </c>
      <c r="E1436" s="16" t="s">
        <v>47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62</v>
      </c>
      <c r="D1437">
        <v>8</v>
      </c>
      <c r="E1437" s="16" t="s">
        <v>48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62</v>
      </c>
      <c r="D1438">
        <v>10</v>
      </c>
      <c r="E1438" s="16" t="s">
        <v>59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62</v>
      </c>
      <c r="D1439">
        <v>1</v>
      </c>
      <c r="E1439" s="16" t="s">
        <v>40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62</v>
      </c>
      <c r="D1440">
        <v>2</v>
      </c>
      <c r="E1440" s="16" t="s">
        <v>42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62</v>
      </c>
      <c r="D1441">
        <v>3</v>
      </c>
      <c r="E1441" s="16" t="s">
        <v>43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62</v>
      </c>
      <c r="D1442">
        <v>4</v>
      </c>
      <c r="E1442" s="16" t="s">
        <v>44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62</v>
      </c>
      <c r="D1443">
        <v>7</v>
      </c>
      <c r="E1443" s="16" t="s">
        <v>47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62</v>
      </c>
      <c r="D1444">
        <v>8</v>
      </c>
      <c r="E1444" s="16" t="s">
        <v>48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62</v>
      </c>
      <c r="D1445">
        <v>10</v>
      </c>
      <c r="E1445" s="16" t="s">
        <v>59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62</v>
      </c>
      <c r="D1446">
        <v>11</v>
      </c>
      <c r="E1446" s="16" t="s">
        <v>50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62</v>
      </c>
      <c r="D1447">
        <v>12</v>
      </c>
      <c r="E1447" s="16" t="s">
        <v>51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62</v>
      </c>
      <c r="D1448">
        <v>13</v>
      </c>
      <c r="E1448" s="16" t="s">
        <v>52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62</v>
      </c>
      <c r="D1449">
        <v>14</v>
      </c>
      <c r="E1449" s="16" t="s">
        <v>53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62</v>
      </c>
      <c r="D1450">
        <v>15</v>
      </c>
      <c r="E1450" s="16" t="s">
        <v>54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62</v>
      </c>
      <c r="D1451">
        <v>16</v>
      </c>
      <c r="E1451" s="16" t="s">
        <v>55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62</v>
      </c>
      <c r="D1452">
        <v>17</v>
      </c>
      <c r="E1452" s="16" t="s">
        <v>56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62</v>
      </c>
      <c r="D1453">
        <v>18</v>
      </c>
      <c r="E1453" s="16" t="s">
        <v>57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62</v>
      </c>
      <c r="D1454">
        <v>11</v>
      </c>
      <c r="E1454" s="16" t="s">
        <v>50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62</v>
      </c>
      <c r="D1455">
        <v>12</v>
      </c>
      <c r="E1455" s="16" t="s">
        <v>51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62</v>
      </c>
      <c r="D1456">
        <v>13</v>
      </c>
      <c r="E1456" s="16" t="s">
        <v>52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62</v>
      </c>
      <c r="D1457">
        <v>14</v>
      </c>
      <c r="E1457" s="16" t="s">
        <v>53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62</v>
      </c>
      <c r="D1458">
        <v>15</v>
      </c>
      <c r="E1458" s="16" t="s">
        <v>54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62</v>
      </c>
      <c r="D1459">
        <v>16</v>
      </c>
      <c r="E1459" s="16" t="s">
        <v>55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62</v>
      </c>
      <c r="D1460">
        <v>17</v>
      </c>
      <c r="E1460" s="16" t="s">
        <v>56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62</v>
      </c>
      <c r="D1461">
        <v>18</v>
      </c>
      <c r="E1461" s="16" t="s">
        <v>57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62</v>
      </c>
      <c r="D1462">
        <v>1</v>
      </c>
      <c r="E1462" s="16" t="s">
        <v>40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62</v>
      </c>
      <c r="D1463">
        <v>2</v>
      </c>
      <c r="E1463" s="16" t="s">
        <v>42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62</v>
      </c>
      <c r="D1464">
        <v>3</v>
      </c>
      <c r="E1464" s="16" t="s">
        <v>43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62</v>
      </c>
      <c r="D1465">
        <v>4</v>
      </c>
      <c r="E1465" s="16" t="s">
        <v>44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62</v>
      </c>
      <c r="D1466">
        <v>7</v>
      </c>
      <c r="E1466" s="16" t="s">
        <v>47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62</v>
      </c>
      <c r="D1467">
        <v>8</v>
      </c>
      <c r="E1467" s="16" t="s">
        <v>48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62</v>
      </c>
      <c r="D1468">
        <v>10</v>
      </c>
      <c r="E1468" s="16" t="s">
        <v>59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62</v>
      </c>
      <c r="D1469">
        <v>1</v>
      </c>
      <c r="E1469" s="16" t="s">
        <v>40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62</v>
      </c>
      <c r="D1470">
        <v>2</v>
      </c>
      <c r="E1470" s="16" t="s">
        <v>42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62</v>
      </c>
      <c r="D1471">
        <v>3</v>
      </c>
      <c r="E1471" s="16" t="s">
        <v>43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62</v>
      </c>
      <c r="D1472">
        <v>4</v>
      </c>
      <c r="E1472" s="16" t="s">
        <v>44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62</v>
      </c>
      <c r="D1473">
        <v>7</v>
      </c>
      <c r="E1473" s="16" t="s">
        <v>47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62</v>
      </c>
      <c r="D1474">
        <v>8</v>
      </c>
      <c r="E1474" s="16" t="s">
        <v>48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62</v>
      </c>
      <c r="D1475">
        <v>10</v>
      </c>
      <c r="E1475" s="16" t="s">
        <v>59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62</v>
      </c>
      <c r="D1476">
        <v>11</v>
      </c>
      <c r="E1476" s="16" t="s">
        <v>50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62</v>
      </c>
      <c r="D1477">
        <v>12</v>
      </c>
      <c r="E1477" s="16" t="s">
        <v>51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62</v>
      </c>
      <c r="D1478">
        <v>13</v>
      </c>
      <c r="E1478" s="16" t="s">
        <v>52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62</v>
      </c>
      <c r="D1479">
        <v>14</v>
      </c>
      <c r="E1479" s="16" t="s">
        <v>53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62</v>
      </c>
      <c r="D1480">
        <v>15</v>
      </c>
      <c r="E1480" s="16" t="s">
        <v>54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62</v>
      </c>
      <c r="D1481">
        <v>16</v>
      </c>
      <c r="E1481" s="16" t="s">
        <v>55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62</v>
      </c>
      <c r="D1482">
        <v>17</v>
      </c>
      <c r="E1482" s="16" t="s">
        <v>56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62</v>
      </c>
      <c r="D1483">
        <v>18</v>
      </c>
      <c r="E1483" s="16" t="s">
        <v>57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62</v>
      </c>
      <c r="D1484">
        <v>11</v>
      </c>
      <c r="E1484" s="16" t="s">
        <v>50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62</v>
      </c>
      <c r="D1485">
        <v>12</v>
      </c>
      <c r="E1485" s="16" t="s">
        <v>51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62</v>
      </c>
      <c r="D1486">
        <v>13</v>
      </c>
      <c r="E1486" s="16" t="s">
        <v>52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62</v>
      </c>
      <c r="D1487">
        <v>14</v>
      </c>
      <c r="E1487" s="16" t="s">
        <v>53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62</v>
      </c>
      <c r="D1488">
        <v>15</v>
      </c>
      <c r="E1488" s="16" t="s">
        <v>54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62</v>
      </c>
      <c r="D1489">
        <v>16</v>
      </c>
      <c r="E1489" s="16" t="s">
        <v>55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62</v>
      </c>
      <c r="D1490">
        <v>17</v>
      </c>
      <c r="E1490" s="16" t="s">
        <v>56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62</v>
      </c>
      <c r="D1491">
        <v>18</v>
      </c>
      <c r="E1491" s="16" t="s">
        <v>57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62</v>
      </c>
      <c r="D1492">
        <v>1</v>
      </c>
      <c r="E1492" s="16" t="s">
        <v>40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62</v>
      </c>
      <c r="D1493">
        <v>2</v>
      </c>
      <c r="E1493" s="16" t="s">
        <v>42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62</v>
      </c>
      <c r="D1494">
        <v>3</v>
      </c>
      <c r="E1494" s="16" t="s">
        <v>43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62</v>
      </c>
      <c r="D1495">
        <v>4</v>
      </c>
      <c r="E1495" s="16" t="s">
        <v>44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62</v>
      </c>
      <c r="D1496">
        <v>7</v>
      </c>
      <c r="E1496" s="16" t="s">
        <v>47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62</v>
      </c>
      <c r="D1497">
        <v>8</v>
      </c>
      <c r="E1497" s="16" t="s">
        <v>48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62</v>
      </c>
      <c r="D1498">
        <v>10</v>
      </c>
      <c r="E1498" s="16" t="s">
        <v>59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62</v>
      </c>
      <c r="D1499">
        <v>1</v>
      </c>
      <c r="E1499" s="16" t="s">
        <v>40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62</v>
      </c>
      <c r="D1500">
        <v>2</v>
      </c>
      <c r="E1500" s="16" t="s">
        <v>42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62</v>
      </c>
      <c r="D1501">
        <v>3</v>
      </c>
      <c r="E1501" s="16" t="s">
        <v>43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62</v>
      </c>
      <c r="D1502">
        <v>4</v>
      </c>
      <c r="E1502" s="16" t="s">
        <v>44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62</v>
      </c>
      <c r="D1503">
        <v>7</v>
      </c>
      <c r="E1503" s="16" t="s">
        <v>47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62</v>
      </c>
      <c r="D1504">
        <v>8</v>
      </c>
      <c r="E1504" s="16" t="s">
        <v>48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62</v>
      </c>
      <c r="D1505">
        <v>10</v>
      </c>
      <c r="E1505" s="16" t="s">
        <v>59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62</v>
      </c>
      <c r="D1506">
        <v>11</v>
      </c>
      <c r="E1506" s="16" t="s">
        <v>50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62</v>
      </c>
      <c r="D1507">
        <v>12</v>
      </c>
      <c r="E1507" s="16" t="s">
        <v>51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62</v>
      </c>
      <c r="D1508">
        <v>13</v>
      </c>
      <c r="E1508" s="16" t="s">
        <v>52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62</v>
      </c>
      <c r="D1509">
        <v>14</v>
      </c>
      <c r="E1509" s="16" t="s">
        <v>53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62</v>
      </c>
      <c r="D1510">
        <v>15</v>
      </c>
      <c r="E1510" s="16" t="s">
        <v>54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62</v>
      </c>
      <c r="D1511">
        <v>16</v>
      </c>
      <c r="E1511" s="16" t="s">
        <v>55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62</v>
      </c>
      <c r="D1512">
        <v>17</v>
      </c>
      <c r="E1512" s="16" t="s">
        <v>56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62</v>
      </c>
      <c r="D1513">
        <v>18</v>
      </c>
      <c r="E1513" s="16" t="s">
        <v>57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62</v>
      </c>
      <c r="D1514">
        <v>11</v>
      </c>
      <c r="E1514" s="16" t="s">
        <v>50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62</v>
      </c>
      <c r="D1515">
        <v>12</v>
      </c>
      <c r="E1515" s="16" t="s">
        <v>51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62</v>
      </c>
      <c r="D1516">
        <v>13</v>
      </c>
      <c r="E1516" s="16" t="s">
        <v>52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62</v>
      </c>
      <c r="D1517">
        <v>14</v>
      </c>
      <c r="E1517" s="16" t="s">
        <v>53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62</v>
      </c>
      <c r="D1518">
        <v>15</v>
      </c>
      <c r="E1518" s="16" t="s">
        <v>54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62</v>
      </c>
      <c r="D1519">
        <v>16</v>
      </c>
      <c r="E1519" s="16" t="s">
        <v>55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62</v>
      </c>
      <c r="D1520">
        <v>17</v>
      </c>
      <c r="E1520" s="16" t="s">
        <v>56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62</v>
      </c>
      <c r="D1521">
        <v>18</v>
      </c>
      <c r="E1521" s="16" t="s">
        <v>57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62</v>
      </c>
      <c r="D1522">
        <v>1</v>
      </c>
      <c r="E1522" s="16" t="s">
        <v>40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62</v>
      </c>
      <c r="D1523">
        <v>2</v>
      </c>
      <c r="E1523" s="16" t="s">
        <v>42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62</v>
      </c>
      <c r="D1524">
        <v>3</v>
      </c>
      <c r="E1524" s="16" t="s">
        <v>43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62</v>
      </c>
      <c r="D1525">
        <v>4</v>
      </c>
      <c r="E1525" s="16" t="s">
        <v>44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62</v>
      </c>
      <c r="D1526">
        <v>7</v>
      </c>
      <c r="E1526" s="16" t="s">
        <v>47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62</v>
      </c>
      <c r="D1527">
        <v>8</v>
      </c>
      <c r="E1527" s="16" t="s">
        <v>48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62</v>
      </c>
      <c r="D1528">
        <v>10</v>
      </c>
      <c r="E1528" s="16" t="s">
        <v>59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62</v>
      </c>
      <c r="D1529">
        <v>1</v>
      </c>
      <c r="E1529" s="16" t="s">
        <v>40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62</v>
      </c>
      <c r="D1530">
        <v>2</v>
      </c>
      <c r="E1530" s="16" t="s">
        <v>42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62</v>
      </c>
      <c r="D1531">
        <v>3</v>
      </c>
      <c r="E1531" s="16" t="s">
        <v>43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62</v>
      </c>
      <c r="D1532">
        <v>4</v>
      </c>
      <c r="E1532" s="16" t="s">
        <v>44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62</v>
      </c>
      <c r="D1533">
        <v>7</v>
      </c>
      <c r="E1533" s="16" t="s">
        <v>47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62</v>
      </c>
      <c r="D1534">
        <v>8</v>
      </c>
      <c r="E1534" s="16" t="s">
        <v>48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62</v>
      </c>
      <c r="D1535">
        <v>10</v>
      </c>
      <c r="E1535" s="16" t="s">
        <v>59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62</v>
      </c>
      <c r="D1536">
        <v>11</v>
      </c>
      <c r="E1536" s="16" t="s">
        <v>50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62</v>
      </c>
      <c r="D1537">
        <v>12</v>
      </c>
      <c r="E1537" s="16" t="s">
        <v>51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62</v>
      </c>
      <c r="D1538">
        <v>13</v>
      </c>
      <c r="E1538" s="16" t="s">
        <v>52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62</v>
      </c>
      <c r="D1539">
        <v>14</v>
      </c>
      <c r="E1539" s="16" t="s">
        <v>53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62</v>
      </c>
      <c r="D1540">
        <v>15</v>
      </c>
      <c r="E1540" s="16" t="s">
        <v>54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62</v>
      </c>
      <c r="D1541">
        <v>16</v>
      </c>
      <c r="E1541" s="16" t="s">
        <v>55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62</v>
      </c>
      <c r="D1542">
        <v>17</v>
      </c>
      <c r="E1542" s="16" t="s">
        <v>56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62</v>
      </c>
      <c r="D1543">
        <v>18</v>
      </c>
      <c r="E1543" s="16" t="s">
        <v>57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62</v>
      </c>
      <c r="D1544">
        <v>11</v>
      </c>
      <c r="E1544" s="16" t="s">
        <v>50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62</v>
      </c>
      <c r="D1545">
        <v>12</v>
      </c>
      <c r="E1545" s="16" t="s">
        <v>51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62</v>
      </c>
      <c r="D1546">
        <v>13</v>
      </c>
      <c r="E1546" s="16" t="s">
        <v>52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62</v>
      </c>
      <c r="D1547">
        <v>14</v>
      </c>
      <c r="E1547" s="16" t="s">
        <v>53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62</v>
      </c>
      <c r="D1548">
        <v>15</v>
      </c>
      <c r="E1548" s="16" t="s">
        <v>54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62</v>
      </c>
      <c r="D1549">
        <v>16</v>
      </c>
      <c r="E1549" s="16" t="s">
        <v>55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62</v>
      </c>
      <c r="D1550">
        <v>17</v>
      </c>
      <c r="E1550" s="16" t="s">
        <v>56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62</v>
      </c>
      <c r="D1551">
        <v>18</v>
      </c>
      <c r="E1551" s="16" t="s">
        <v>57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62</v>
      </c>
      <c r="D1552">
        <v>1</v>
      </c>
      <c r="E1552" s="16" t="s">
        <v>40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62</v>
      </c>
      <c r="D1553">
        <v>2</v>
      </c>
      <c r="E1553" s="16" t="s">
        <v>42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62</v>
      </c>
      <c r="D1554">
        <v>3</v>
      </c>
      <c r="E1554" s="16" t="s">
        <v>43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62</v>
      </c>
      <c r="D1555">
        <v>4</v>
      </c>
      <c r="E1555" s="16" t="s">
        <v>44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62</v>
      </c>
      <c r="D1556">
        <v>7</v>
      </c>
      <c r="E1556" s="16" t="s">
        <v>47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62</v>
      </c>
      <c r="D1557">
        <v>8</v>
      </c>
      <c r="E1557" s="16" t="s">
        <v>48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62</v>
      </c>
      <c r="D1558">
        <v>10</v>
      </c>
      <c r="E1558" s="16" t="s">
        <v>59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63</v>
      </c>
      <c r="D1559">
        <v>1</v>
      </c>
      <c r="E1559" s="16" t="s">
        <v>40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63</v>
      </c>
      <c r="D1560">
        <v>2</v>
      </c>
      <c r="E1560" s="16" t="s">
        <v>42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63</v>
      </c>
      <c r="D1561">
        <v>3</v>
      </c>
      <c r="E1561" s="16" t="s">
        <v>43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63</v>
      </c>
      <c r="D1562">
        <v>4</v>
      </c>
      <c r="E1562" s="16" t="s">
        <v>44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63</v>
      </c>
      <c r="D1563">
        <v>5</v>
      </c>
      <c r="E1563" s="16" t="s">
        <v>45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63</v>
      </c>
      <c r="D1564">
        <v>6</v>
      </c>
      <c r="E1564" s="16" t="s">
        <v>46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63</v>
      </c>
      <c r="D1565">
        <v>7</v>
      </c>
      <c r="E1565" s="16" t="s">
        <v>47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63</v>
      </c>
      <c r="D1566">
        <v>8</v>
      </c>
      <c r="E1566" s="16" t="s">
        <v>48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63</v>
      </c>
      <c r="D1567">
        <v>9</v>
      </c>
      <c r="E1567" s="16" t="s">
        <v>49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63</v>
      </c>
      <c r="D1568">
        <v>10</v>
      </c>
      <c r="E1568" s="16" t="s">
        <v>59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63</v>
      </c>
      <c r="D1569">
        <v>11</v>
      </c>
      <c r="E1569" s="16" t="s">
        <v>50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63</v>
      </c>
      <c r="D1570">
        <v>12</v>
      </c>
      <c r="E1570" s="16" t="s">
        <v>51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63</v>
      </c>
      <c r="D1571">
        <v>13</v>
      </c>
      <c r="E1571" s="16" t="s">
        <v>52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63</v>
      </c>
      <c r="D1572">
        <v>14</v>
      </c>
      <c r="E1572" s="16" t="s">
        <v>53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63</v>
      </c>
      <c r="D1573">
        <v>15</v>
      </c>
      <c r="E1573" s="16" t="s">
        <v>54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63</v>
      </c>
      <c r="D1574">
        <v>16</v>
      </c>
      <c r="E1574" s="16" t="s">
        <v>55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63</v>
      </c>
      <c r="D1575">
        <v>17</v>
      </c>
      <c r="E1575" s="16" t="s">
        <v>56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63</v>
      </c>
      <c r="D1576">
        <v>18</v>
      </c>
      <c r="E1576" s="16" t="s">
        <v>57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63</v>
      </c>
      <c r="D1577">
        <v>1</v>
      </c>
      <c r="E1577" s="16" t="s">
        <v>40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63</v>
      </c>
      <c r="D1578">
        <v>2</v>
      </c>
      <c r="E1578" s="16" t="s">
        <v>42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63</v>
      </c>
      <c r="D1579">
        <v>3</v>
      </c>
      <c r="E1579" s="16" t="s">
        <v>43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63</v>
      </c>
      <c r="D1580">
        <v>4</v>
      </c>
      <c r="E1580" s="16" t="s">
        <v>44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63</v>
      </c>
      <c r="D1581">
        <v>5</v>
      </c>
      <c r="E1581" s="16" t="s">
        <v>45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63</v>
      </c>
      <c r="D1582">
        <v>6</v>
      </c>
      <c r="E1582" s="16" t="s">
        <v>46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63</v>
      </c>
      <c r="D1583">
        <v>7</v>
      </c>
      <c r="E1583" s="16" t="s">
        <v>47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63</v>
      </c>
      <c r="D1584">
        <v>8</v>
      </c>
      <c r="E1584" s="16" t="s">
        <v>48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63</v>
      </c>
      <c r="D1585">
        <v>9</v>
      </c>
      <c r="E1585" s="16" t="s">
        <v>49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63</v>
      </c>
      <c r="D1586">
        <v>10</v>
      </c>
      <c r="E1586" s="16" t="s">
        <v>59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63</v>
      </c>
      <c r="D1587">
        <v>11</v>
      </c>
      <c r="E1587" s="16" t="s">
        <v>50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63</v>
      </c>
      <c r="D1588">
        <v>12</v>
      </c>
      <c r="E1588" s="16" t="s">
        <v>51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63</v>
      </c>
      <c r="D1589">
        <v>13</v>
      </c>
      <c r="E1589" s="16" t="s">
        <v>52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63</v>
      </c>
      <c r="D1590">
        <v>14</v>
      </c>
      <c r="E1590" s="16" t="s">
        <v>53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63</v>
      </c>
      <c r="D1591">
        <v>15</v>
      </c>
      <c r="E1591" s="16" t="s">
        <v>54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63</v>
      </c>
      <c r="D1592">
        <v>16</v>
      </c>
      <c r="E1592" s="16" t="s">
        <v>55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63</v>
      </c>
      <c r="D1593">
        <v>17</v>
      </c>
      <c r="E1593" s="16" t="s">
        <v>56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63</v>
      </c>
      <c r="D1594">
        <v>18</v>
      </c>
      <c r="E1594" s="16" t="s">
        <v>57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63</v>
      </c>
      <c r="D1595">
        <v>1</v>
      </c>
      <c r="E1595" s="16" t="s">
        <v>40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63</v>
      </c>
      <c r="D1596">
        <v>2</v>
      </c>
      <c r="E1596" s="16" t="s">
        <v>42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63</v>
      </c>
      <c r="D1597">
        <v>3</v>
      </c>
      <c r="E1597" s="16" t="s">
        <v>43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63</v>
      </c>
      <c r="D1598">
        <v>4</v>
      </c>
      <c r="E1598" s="16" t="s">
        <v>44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63</v>
      </c>
      <c r="D1599">
        <v>5</v>
      </c>
      <c r="E1599" s="16" t="s">
        <v>45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63</v>
      </c>
      <c r="D1600">
        <v>6</v>
      </c>
      <c r="E1600" s="16" t="s">
        <v>46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63</v>
      </c>
      <c r="D1601">
        <v>7</v>
      </c>
      <c r="E1601" s="16" t="s">
        <v>47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63</v>
      </c>
      <c r="D1602">
        <v>8</v>
      </c>
      <c r="E1602" s="16" t="s">
        <v>48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63</v>
      </c>
      <c r="D1603">
        <v>9</v>
      </c>
      <c r="E1603" s="16" t="s">
        <v>49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63</v>
      </c>
      <c r="D1604">
        <v>10</v>
      </c>
      <c r="E1604" s="16" t="s">
        <v>59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63</v>
      </c>
      <c r="D1605">
        <v>11</v>
      </c>
      <c r="E1605" s="16" t="s">
        <v>50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63</v>
      </c>
      <c r="D1606">
        <v>12</v>
      </c>
      <c r="E1606" s="16" t="s">
        <v>51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63</v>
      </c>
      <c r="D1607">
        <v>13</v>
      </c>
      <c r="E1607" s="16" t="s">
        <v>52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63</v>
      </c>
      <c r="D1608">
        <v>14</v>
      </c>
      <c r="E1608" s="16" t="s">
        <v>53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63</v>
      </c>
      <c r="D1609">
        <v>15</v>
      </c>
      <c r="E1609" s="16" t="s">
        <v>54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63</v>
      </c>
      <c r="D1610">
        <v>16</v>
      </c>
      <c r="E1610" s="16" t="s">
        <v>55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63</v>
      </c>
      <c r="D1611">
        <v>17</v>
      </c>
      <c r="E1611" s="16" t="s">
        <v>56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63</v>
      </c>
      <c r="D1612">
        <v>18</v>
      </c>
      <c r="E1612" s="16" t="s">
        <v>57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63</v>
      </c>
      <c r="D1613">
        <v>1</v>
      </c>
      <c r="E1613" s="16" t="s">
        <v>40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63</v>
      </c>
      <c r="D1614">
        <v>2</v>
      </c>
      <c r="E1614" s="16" t="s">
        <v>42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63</v>
      </c>
      <c r="D1615">
        <v>3</v>
      </c>
      <c r="E1615" s="16" t="s">
        <v>43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63</v>
      </c>
      <c r="D1616">
        <v>4</v>
      </c>
      <c r="E1616" s="16" t="s">
        <v>44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63</v>
      </c>
      <c r="D1617">
        <v>5</v>
      </c>
      <c r="E1617" s="16" t="s">
        <v>45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63</v>
      </c>
      <c r="D1618">
        <v>6</v>
      </c>
      <c r="E1618" s="16" t="s">
        <v>46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63</v>
      </c>
      <c r="D1619">
        <v>7</v>
      </c>
      <c r="E1619" s="16" t="s">
        <v>47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63</v>
      </c>
      <c r="D1620">
        <v>8</v>
      </c>
      <c r="E1620" s="16" t="s">
        <v>48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63</v>
      </c>
      <c r="D1621">
        <v>9</v>
      </c>
      <c r="E1621" s="16" t="s">
        <v>49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63</v>
      </c>
      <c r="D1622">
        <v>10</v>
      </c>
      <c r="E1622" s="16" t="s">
        <v>59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63</v>
      </c>
      <c r="D1623">
        <v>11</v>
      </c>
      <c r="E1623" s="16" t="s">
        <v>50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63</v>
      </c>
      <c r="D1624">
        <v>12</v>
      </c>
      <c r="E1624" s="16" t="s">
        <v>51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63</v>
      </c>
      <c r="D1625">
        <v>13</v>
      </c>
      <c r="E1625" s="16" t="s">
        <v>52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63</v>
      </c>
      <c r="D1626">
        <v>14</v>
      </c>
      <c r="E1626" s="16" t="s">
        <v>53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63</v>
      </c>
      <c r="D1627">
        <v>15</v>
      </c>
      <c r="E1627" s="16" t="s">
        <v>54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63</v>
      </c>
      <c r="D1628">
        <v>16</v>
      </c>
      <c r="E1628" s="16" t="s">
        <v>55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63</v>
      </c>
      <c r="D1629">
        <v>17</v>
      </c>
      <c r="E1629" s="16" t="s">
        <v>56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63</v>
      </c>
      <c r="D1630">
        <v>18</v>
      </c>
      <c r="E1630" s="16" t="s">
        <v>57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63</v>
      </c>
      <c r="D1631">
        <v>1</v>
      </c>
      <c r="E1631" s="16" t="s">
        <v>40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63</v>
      </c>
      <c r="D1632">
        <v>2</v>
      </c>
      <c r="E1632" s="16" t="s">
        <v>42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63</v>
      </c>
      <c r="D1633">
        <v>3</v>
      </c>
      <c r="E1633" s="16" t="s">
        <v>43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63</v>
      </c>
      <c r="D1634">
        <v>4</v>
      </c>
      <c r="E1634" s="16" t="s">
        <v>44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63</v>
      </c>
      <c r="D1635">
        <v>5</v>
      </c>
      <c r="E1635" s="16" t="s">
        <v>45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63</v>
      </c>
      <c r="D1636">
        <v>6</v>
      </c>
      <c r="E1636" s="16" t="s">
        <v>46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63</v>
      </c>
      <c r="D1637">
        <v>7</v>
      </c>
      <c r="E1637" s="16" t="s">
        <v>47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63</v>
      </c>
      <c r="D1638">
        <v>8</v>
      </c>
      <c r="E1638" s="16" t="s">
        <v>48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63</v>
      </c>
      <c r="D1639">
        <v>9</v>
      </c>
      <c r="E1639" s="16" t="s">
        <v>49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63</v>
      </c>
      <c r="D1640">
        <v>10</v>
      </c>
      <c r="E1640" s="16" t="s">
        <v>59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63</v>
      </c>
      <c r="D1641">
        <v>11</v>
      </c>
      <c r="E1641" s="16" t="s">
        <v>50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63</v>
      </c>
      <c r="D1642">
        <v>12</v>
      </c>
      <c r="E1642" s="16" t="s">
        <v>51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63</v>
      </c>
      <c r="D1643">
        <v>13</v>
      </c>
      <c r="E1643" s="16" t="s">
        <v>52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63</v>
      </c>
      <c r="D1644">
        <v>14</v>
      </c>
      <c r="E1644" s="16" t="s">
        <v>53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63</v>
      </c>
      <c r="D1645">
        <v>15</v>
      </c>
      <c r="E1645" s="16" t="s">
        <v>54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63</v>
      </c>
      <c r="D1646">
        <v>16</v>
      </c>
      <c r="E1646" s="16" t="s">
        <v>55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63</v>
      </c>
      <c r="D1647">
        <v>17</v>
      </c>
      <c r="E1647" s="16" t="s">
        <v>56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63</v>
      </c>
      <c r="D1648">
        <v>18</v>
      </c>
      <c r="E1648" s="16" t="s">
        <v>57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63</v>
      </c>
      <c r="D1649">
        <v>1</v>
      </c>
      <c r="E1649" s="16" t="s">
        <v>40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63</v>
      </c>
      <c r="D1650">
        <v>2</v>
      </c>
      <c r="E1650" s="16" t="s">
        <v>42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63</v>
      </c>
      <c r="D1651">
        <v>3</v>
      </c>
      <c r="E1651" s="16" t="s">
        <v>43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63</v>
      </c>
      <c r="D1652">
        <v>4</v>
      </c>
      <c r="E1652" s="16" t="s">
        <v>44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63</v>
      </c>
      <c r="D1653">
        <v>5</v>
      </c>
      <c r="E1653" s="16" t="s">
        <v>45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63</v>
      </c>
      <c r="D1654">
        <v>6</v>
      </c>
      <c r="E1654" s="16" t="s">
        <v>46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63</v>
      </c>
      <c r="D1655">
        <v>7</v>
      </c>
      <c r="E1655" s="16" t="s">
        <v>47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63</v>
      </c>
      <c r="D1656">
        <v>8</v>
      </c>
      <c r="E1656" s="16" t="s">
        <v>48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63</v>
      </c>
      <c r="D1657">
        <v>9</v>
      </c>
      <c r="E1657" s="16" t="s">
        <v>49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63</v>
      </c>
      <c r="D1658">
        <v>10</v>
      </c>
      <c r="E1658" s="16" t="s">
        <v>59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63</v>
      </c>
      <c r="D1659">
        <v>11</v>
      </c>
      <c r="E1659" s="16" t="s">
        <v>50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63</v>
      </c>
      <c r="D1660">
        <v>12</v>
      </c>
      <c r="E1660" s="16" t="s">
        <v>51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63</v>
      </c>
      <c r="D1661">
        <v>13</v>
      </c>
      <c r="E1661" s="16" t="s">
        <v>52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63</v>
      </c>
      <c r="D1662">
        <v>14</v>
      </c>
      <c r="E1662" s="16" t="s">
        <v>53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63</v>
      </c>
      <c r="D1663">
        <v>15</v>
      </c>
      <c r="E1663" s="16" t="s">
        <v>54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63</v>
      </c>
      <c r="D1664">
        <v>16</v>
      </c>
      <c r="E1664" s="16" t="s">
        <v>55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63</v>
      </c>
      <c r="D1665">
        <v>17</v>
      </c>
      <c r="E1665" s="16" t="s">
        <v>56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63</v>
      </c>
      <c r="D1666">
        <v>18</v>
      </c>
      <c r="E1666" s="16" t="s">
        <v>57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63</v>
      </c>
      <c r="D1667">
        <v>1</v>
      </c>
      <c r="E1667" s="16" t="s">
        <v>40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63</v>
      </c>
      <c r="D1668">
        <v>2</v>
      </c>
      <c r="E1668" s="16" t="s">
        <v>42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63</v>
      </c>
      <c r="D1669">
        <v>3</v>
      </c>
      <c r="E1669" s="16" t="s">
        <v>43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63</v>
      </c>
      <c r="D1670">
        <v>4</v>
      </c>
      <c r="E1670" s="16" t="s">
        <v>44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63</v>
      </c>
      <c r="D1671">
        <v>5</v>
      </c>
      <c r="E1671" s="16" t="s">
        <v>45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63</v>
      </c>
      <c r="D1672">
        <v>6</v>
      </c>
      <c r="E1672" s="16" t="s">
        <v>46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63</v>
      </c>
      <c r="D1673">
        <v>7</v>
      </c>
      <c r="E1673" s="16" t="s">
        <v>47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63</v>
      </c>
      <c r="D1674">
        <v>8</v>
      </c>
      <c r="E1674" s="16" t="s">
        <v>48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63</v>
      </c>
      <c r="D1675">
        <v>9</v>
      </c>
      <c r="E1675" s="16" t="s">
        <v>49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63</v>
      </c>
      <c r="D1676">
        <v>10</v>
      </c>
      <c r="E1676" s="16" t="s">
        <v>59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63</v>
      </c>
      <c r="D1677">
        <v>11</v>
      </c>
      <c r="E1677" s="16" t="s">
        <v>50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63</v>
      </c>
      <c r="D1678">
        <v>12</v>
      </c>
      <c r="E1678" s="16" t="s">
        <v>51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63</v>
      </c>
      <c r="D1679">
        <v>13</v>
      </c>
      <c r="E1679" s="16" t="s">
        <v>52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63</v>
      </c>
      <c r="D1680">
        <v>14</v>
      </c>
      <c r="E1680" s="16" t="s">
        <v>53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63</v>
      </c>
      <c r="D1681">
        <v>15</v>
      </c>
      <c r="E1681" s="16" t="s">
        <v>54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63</v>
      </c>
      <c r="D1682">
        <v>16</v>
      </c>
      <c r="E1682" s="16" t="s">
        <v>55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63</v>
      </c>
      <c r="D1683">
        <v>17</v>
      </c>
      <c r="E1683" s="16" t="s">
        <v>56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63</v>
      </c>
      <c r="D1684">
        <v>18</v>
      </c>
      <c r="E1684" s="16" t="s">
        <v>57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63</v>
      </c>
      <c r="D1685">
        <v>1</v>
      </c>
      <c r="E1685" s="16" t="s">
        <v>40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63</v>
      </c>
      <c r="D1686">
        <v>2</v>
      </c>
      <c r="E1686" s="16" t="s">
        <v>42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63</v>
      </c>
      <c r="D1687">
        <v>3</v>
      </c>
      <c r="E1687" s="16" t="s">
        <v>43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63</v>
      </c>
      <c r="D1688">
        <v>4</v>
      </c>
      <c r="E1688" s="16" t="s">
        <v>44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63</v>
      </c>
      <c r="D1689">
        <v>5</v>
      </c>
      <c r="E1689" s="16" t="s">
        <v>45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63</v>
      </c>
      <c r="D1690">
        <v>6</v>
      </c>
      <c r="E1690" s="16" t="s">
        <v>46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63</v>
      </c>
      <c r="D1691">
        <v>7</v>
      </c>
      <c r="E1691" s="16" t="s">
        <v>47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63</v>
      </c>
      <c r="D1692">
        <v>8</v>
      </c>
      <c r="E1692" s="16" t="s">
        <v>48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63</v>
      </c>
      <c r="D1693">
        <v>9</v>
      </c>
      <c r="E1693" s="16" t="s">
        <v>49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63</v>
      </c>
      <c r="D1694">
        <v>10</v>
      </c>
      <c r="E1694" s="16" t="s">
        <v>59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63</v>
      </c>
      <c r="D1695">
        <v>11</v>
      </c>
      <c r="E1695" s="16" t="s">
        <v>50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63</v>
      </c>
      <c r="D1696">
        <v>12</v>
      </c>
      <c r="E1696" s="16" t="s">
        <v>51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63</v>
      </c>
      <c r="D1697">
        <v>13</v>
      </c>
      <c r="E1697" s="16" t="s">
        <v>52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63</v>
      </c>
      <c r="D1698">
        <v>14</v>
      </c>
      <c r="E1698" s="16" t="s">
        <v>53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63</v>
      </c>
      <c r="D1699">
        <v>15</v>
      </c>
      <c r="E1699" s="16" t="s">
        <v>54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63</v>
      </c>
      <c r="D1700">
        <v>16</v>
      </c>
      <c r="E1700" s="16" t="s">
        <v>55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63</v>
      </c>
      <c r="D1701">
        <v>17</v>
      </c>
      <c r="E1701" s="16" t="s">
        <v>56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63</v>
      </c>
      <c r="D1702">
        <v>18</v>
      </c>
      <c r="E1702" s="16" t="s">
        <v>57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63</v>
      </c>
      <c r="D1703">
        <v>1</v>
      </c>
      <c r="E1703" s="16" t="s">
        <v>40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63</v>
      </c>
      <c r="D1704">
        <v>2</v>
      </c>
      <c r="E1704" s="16" t="s">
        <v>42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63</v>
      </c>
      <c r="D1705">
        <v>3</v>
      </c>
      <c r="E1705" s="16" t="s">
        <v>43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63</v>
      </c>
      <c r="D1706">
        <v>4</v>
      </c>
      <c r="E1706" s="16" t="s">
        <v>44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63</v>
      </c>
      <c r="D1707">
        <v>5</v>
      </c>
      <c r="E1707" s="16" t="s">
        <v>45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63</v>
      </c>
      <c r="D1708">
        <v>6</v>
      </c>
      <c r="E1708" s="16" t="s">
        <v>46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63</v>
      </c>
      <c r="D1709">
        <v>7</v>
      </c>
      <c r="E1709" s="16" t="s">
        <v>47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63</v>
      </c>
      <c r="D1710">
        <v>8</v>
      </c>
      <c r="E1710" s="16" t="s">
        <v>48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63</v>
      </c>
      <c r="D1711">
        <v>9</v>
      </c>
      <c r="E1711" s="16" t="s">
        <v>49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63</v>
      </c>
      <c r="D1712">
        <v>10</v>
      </c>
      <c r="E1712" s="16" t="s">
        <v>59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63</v>
      </c>
      <c r="D1713">
        <v>11</v>
      </c>
      <c r="E1713" s="16" t="s">
        <v>50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63</v>
      </c>
      <c r="D1714">
        <v>12</v>
      </c>
      <c r="E1714" s="16" t="s">
        <v>51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63</v>
      </c>
      <c r="D1715">
        <v>13</v>
      </c>
      <c r="E1715" s="16" t="s">
        <v>52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63</v>
      </c>
      <c r="D1716">
        <v>14</v>
      </c>
      <c r="E1716" s="16" t="s">
        <v>53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63</v>
      </c>
      <c r="D1717">
        <v>15</v>
      </c>
      <c r="E1717" s="16" t="s">
        <v>54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63</v>
      </c>
      <c r="D1718">
        <v>16</v>
      </c>
      <c r="E1718" s="16" t="s">
        <v>55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63</v>
      </c>
      <c r="D1719">
        <v>17</v>
      </c>
      <c r="E1719" s="16" t="s">
        <v>56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63</v>
      </c>
      <c r="D1720">
        <v>18</v>
      </c>
      <c r="E1720" s="16" t="s">
        <v>57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63</v>
      </c>
      <c r="D1721">
        <v>1</v>
      </c>
      <c r="E1721" s="16" t="s">
        <v>40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63</v>
      </c>
      <c r="D1722">
        <v>2</v>
      </c>
      <c r="E1722" s="16" t="s">
        <v>42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63</v>
      </c>
      <c r="D1723">
        <v>3</v>
      </c>
      <c r="E1723" s="16" t="s">
        <v>43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63</v>
      </c>
      <c r="D1724">
        <v>4</v>
      </c>
      <c r="E1724" s="16" t="s">
        <v>44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63</v>
      </c>
      <c r="D1725">
        <v>5</v>
      </c>
      <c r="E1725" s="16" t="s">
        <v>45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63</v>
      </c>
      <c r="D1726">
        <v>6</v>
      </c>
      <c r="E1726" s="16" t="s">
        <v>46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63</v>
      </c>
      <c r="D1727">
        <v>7</v>
      </c>
      <c r="E1727" s="16" t="s">
        <v>47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63</v>
      </c>
      <c r="D1728">
        <v>8</v>
      </c>
      <c r="E1728" s="16" t="s">
        <v>48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63</v>
      </c>
      <c r="D1729">
        <v>9</v>
      </c>
      <c r="E1729" s="16" t="s">
        <v>49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63</v>
      </c>
      <c r="D1730">
        <v>10</v>
      </c>
      <c r="E1730" s="16" t="s">
        <v>59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63</v>
      </c>
      <c r="D1731">
        <v>11</v>
      </c>
      <c r="E1731" s="16" t="s">
        <v>50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63</v>
      </c>
      <c r="D1732">
        <v>12</v>
      </c>
      <c r="E1732" s="16" t="s">
        <v>51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63</v>
      </c>
      <c r="D1733">
        <v>13</v>
      </c>
      <c r="E1733" s="16" t="s">
        <v>52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63</v>
      </c>
      <c r="D1734">
        <v>14</v>
      </c>
      <c r="E1734" s="16" t="s">
        <v>53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63</v>
      </c>
      <c r="D1735">
        <v>15</v>
      </c>
      <c r="E1735" s="16" t="s">
        <v>54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63</v>
      </c>
      <c r="D1736">
        <v>16</v>
      </c>
      <c r="E1736" s="16" t="s">
        <v>55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63</v>
      </c>
      <c r="D1737">
        <v>17</v>
      </c>
      <c r="E1737" s="16" t="s">
        <v>56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63</v>
      </c>
      <c r="D1738">
        <v>18</v>
      </c>
      <c r="E1738" s="16" t="s">
        <v>57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63</v>
      </c>
      <c r="D1739">
        <v>1</v>
      </c>
      <c r="E1739" s="16" t="s">
        <v>40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63</v>
      </c>
      <c r="D1740">
        <v>2</v>
      </c>
      <c r="E1740" s="16" t="s">
        <v>42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63</v>
      </c>
      <c r="D1741">
        <v>3</v>
      </c>
      <c r="E1741" s="16" t="s">
        <v>43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63</v>
      </c>
      <c r="D1742">
        <v>4</v>
      </c>
      <c r="E1742" s="16" t="s">
        <v>44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63</v>
      </c>
      <c r="D1743">
        <v>5</v>
      </c>
      <c r="E1743" s="16" t="s">
        <v>45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63</v>
      </c>
      <c r="D1744">
        <v>6</v>
      </c>
      <c r="E1744" s="16" t="s">
        <v>46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63</v>
      </c>
      <c r="D1745">
        <v>7</v>
      </c>
      <c r="E1745" s="16" t="s">
        <v>47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63</v>
      </c>
      <c r="D1746">
        <v>8</v>
      </c>
      <c r="E1746" s="16" t="s">
        <v>48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63</v>
      </c>
      <c r="D1747">
        <v>9</v>
      </c>
      <c r="E1747" s="16" t="s">
        <v>49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63</v>
      </c>
      <c r="D1748">
        <v>10</v>
      </c>
      <c r="E1748" s="16" t="s">
        <v>59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63</v>
      </c>
      <c r="D1749">
        <v>11</v>
      </c>
      <c r="E1749" s="16" t="s">
        <v>50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63</v>
      </c>
      <c r="D1750">
        <v>12</v>
      </c>
      <c r="E1750" s="16" t="s">
        <v>51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63</v>
      </c>
      <c r="D1751">
        <v>13</v>
      </c>
      <c r="E1751" s="16" t="s">
        <v>52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63</v>
      </c>
      <c r="D1752">
        <v>14</v>
      </c>
      <c r="E1752" s="16" t="s">
        <v>53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63</v>
      </c>
      <c r="D1753">
        <v>15</v>
      </c>
      <c r="E1753" s="16" t="s">
        <v>54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63</v>
      </c>
      <c r="D1754">
        <v>16</v>
      </c>
      <c r="E1754" s="16" t="s">
        <v>55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63</v>
      </c>
      <c r="D1755">
        <v>17</v>
      </c>
      <c r="E1755" s="16" t="s">
        <v>56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63</v>
      </c>
      <c r="D1756">
        <v>18</v>
      </c>
      <c r="E1756" s="16" t="s">
        <v>57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63</v>
      </c>
      <c r="D1757">
        <v>1</v>
      </c>
      <c r="E1757" s="16" t="s">
        <v>40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63</v>
      </c>
      <c r="D1758">
        <v>2</v>
      </c>
      <c r="E1758" s="16" t="s">
        <v>42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63</v>
      </c>
      <c r="D1759">
        <v>3</v>
      </c>
      <c r="E1759" s="16" t="s">
        <v>43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63</v>
      </c>
      <c r="D1760">
        <v>4</v>
      </c>
      <c r="E1760" s="16" t="s">
        <v>44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63</v>
      </c>
      <c r="D1761">
        <v>5</v>
      </c>
      <c r="E1761" s="16" t="s">
        <v>45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63</v>
      </c>
      <c r="D1762">
        <v>6</v>
      </c>
      <c r="E1762" s="16" t="s">
        <v>46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63</v>
      </c>
      <c r="D1763">
        <v>7</v>
      </c>
      <c r="E1763" s="16" t="s">
        <v>47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63</v>
      </c>
      <c r="D1764">
        <v>8</v>
      </c>
      <c r="E1764" s="16" t="s">
        <v>48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63</v>
      </c>
      <c r="D1765">
        <v>9</v>
      </c>
      <c r="E1765" s="16" t="s">
        <v>49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63</v>
      </c>
      <c r="D1766">
        <v>10</v>
      </c>
      <c r="E1766" s="16" t="s">
        <v>59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63</v>
      </c>
      <c r="D1767">
        <v>11</v>
      </c>
      <c r="E1767" s="16" t="s">
        <v>50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63</v>
      </c>
      <c r="D1768">
        <v>12</v>
      </c>
      <c r="E1768" s="16" t="s">
        <v>51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63</v>
      </c>
      <c r="D1769">
        <v>13</v>
      </c>
      <c r="E1769" s="16" t="s">
        <v>52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63</v>
      </c>
      <c r="D1770">
        <v>14</v>
      </c>
      <c r="E1770" s="16" t="s">
        <v>53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63</v>
      </c>
      <c r="D1771">
        <v>15</v>
      </c>
      <c r="E1771" s="16" t="s">
        <v>54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63</v>
      </c>
      <c r="D1772">
        <v>16</v>
      </c>
      <c r="E1772" s="16" t="s">
        <v>55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63</v>
      </c>
      <c r="D1773">
        <v>17</v>
      </c>
      <c r="E1773" s="16" t="s">
        <v>56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63</v>
      </c>
      <c r="D1774">
        <v>18</v>
      </c>
      <c r="E1774" s="16" t="s">
        <v>57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63</v>
      </c>
      <c r="D1775">
        <v>1</v>
      </c>
      <c r="E1775" s="16" t="s">
        <v>40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63</v>
      </c>
      <c r="D1776">
        <v>2</v>
      </c>
      <c r="E1776" s="16" t="s">
        <v>42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63</v>
      </c>
      <c r="D1777">
        <v>3</v>
      </c>
      <c r="E1777" s="16" t="s">
        <v>43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63</v>
      </c>
      <c r="D1778">
        <v>4</v>
      </c>
      <c r="E1778" s="16" t="s">
        <v>44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63</v>
      </c>
      <c r="D1779">
        <v>5</v>
      </c>
      <c r="E1779" s="16" t="s">
        <v>45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63</v>
      </c>
      <c r="D1780">
        <v>6</v>
      </c>
      <c r="E1780" s="16" t="s">
        <v>46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63</v>
      </c>
      <c r="D1781">
        <v>7</v>
      </c>
      <c r="E1781" s="16" t="s">
        <v>47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63</v>
      </c>
      <c r="D1782">
        <v>8</v>
      </c>
      <c r="E1782" s="16" t="s">
        <v>48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63</v>
      </c>
      <c r="D1783">
        <v>9</v>
      </c>
      <c r="E1783" s="16" t="s">
        <v>49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63</v>
      </c>
      <c r="D1784">
        <v>10</v>
      </c>
      <c r="E1784" s="16" t="s">
        <v>59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63</v>
      </c>
      <c r="D1785">
        <v>11</v>
      </c>
      <c r="E1785" s="16" t="s">
        <v>50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63</v>
      </c>
      <c r="D1786">
        <v>12</v>
      </c>
      <c r="E1786" s="16" t="s">
        <v>51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63</v>
      </c>
      <c r="D1787">
        <v>13</v>
      </c>
      <c r="E1787" s="16" t="s">
        <v>52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63</v>
      </c>
      <c r="D1788">
        <v>14</v>
      </c>
      <c r="E1788" s="16" t="s">
        <v>53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63</v>
      </c>
      <c r="D1789">
        <v>15</v>
      </c>
      <c r="E1789" s="16" t="s">
        <v>54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63</v>
      </c>
      <c r="D1790">
        <v>16</v>
      </c>
      <c r="E1790" s="16" t="s">
        <v>55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63</v>
      </c>
      <c r="D1791">
        <v>17</v>
      </c>
      <c r="E1791" s="16" t="s">
        <v>56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63</v>
      </c>
      <c r="D1792">
        <v>18</v>
      </c>
      <c r="E1792" s="16" t="s">
        <v>57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63</v>
      </c>
      <c r="D1793">
        <v>1</v>
      </c>
      <c r="E1793" s="16" t="s">
        <v>40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63</v>
      </c>
      <c r="D1794">
        <v>2</v>
      </c>
      <c r="E1794" s="16" t="s">
        <v>42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63</v>
      </c>
      <c r="D1795">
        <v>3</v>
      </c>
      <c r="E1795" s="16" t="s">
        <v>43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63</v>
      </c>
      <c r="D1796">
        <v>4</v>
      </c>
      <c r="E1796" s="16" t="s">
        <v>44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63</v>
      </c>
      <c r="D1797">
        <v>5</v>
      </c>
      <c r="E1797" s="16" t="s">
        <v>45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63</v>
      </c>
      <c r="D1798">
        <v>6</v>
      </c>
      <c r="E1798" s="16" t="s">
        <v>46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63</v>
      </c>
      <c r="D1799">
        <v>7</v>
      </c>
      <c r="E1799" s="16" t="s">
        <v>47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63</v>
      </c>
      <c r="D1800">
        <v>8</v>
      </c>
      <c r="E1800" s="16" t="s">
        <v>48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63</v>
      </c>
      <c r="D1801">
        <v>9</v>
      </c>
      <c r="E1801" s="16" t="s">
        <v>49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63</v>
      </c>
      <c r="D1802">
        <v>10</v>
      </c>
      <c r="E1802" s="16" t="s">
        <v>59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63</v>
      </c>
      <c r="D1803">
        <v>11</v>
      </c>
      <c r="E1803" s="16" t="s">
        <v>50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63</v>
      </c>
      <c r="D1804">
        <v>12</v>
      </c>
      <c r="E1804" s="16" t="s">
        <v>51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63</v>
      </c>
      <c r="D1805">
        <v>13</v>
      </c>
      <c r="E1805" s="16" t="s">
        <v>52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63</v>
      </c>
      <c r="D1806">
        <v>14</v>
      </c>
      <c r="E1806" s="16" t="s">
        <v>53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63</v>
      </c>
      <c r="D1807">
        <v>15</v>
      </c>
      <c r="E1807" s="16" t="s">
        <v>54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63</v>
      </c>
      <c r="D1808">
        <v>16</v>
      </c>
      <c r="E1808" s="16" t="s">
        <v>55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63</v>
      </c>
      <c r="D1809">
        <v>17</v>
      </c>
      <c r="E1809" s="16" t="s">
        <v>56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63</v>
      </c>
      <c r="D1810">
        <v>18</v>
      </c>
      <c r="E1810" s="16" t="s">
        <v>57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63</v>
      </c>
      <c r="D1811">
        <v>1</v>
      </c>
      <c r="E1811" s="16" t="s">
        <v>40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63</v>
      </c>
      <c r="D1812">
        <v>2</v>
      </c>
      <c r="E1812" s="16" t="s">
        <v>42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63</v>
      </c>
      <c r="D1813">
        <v>3</v>
      </c>
      <c r="E1813" s="16" t="s">
        <v>43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63</v>
      </c>
      <c r="D1814">
        <v>4</v>
      </c>
      <c r="E1814" s="16" t="s">
        <v>44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63</v>
      </c>
      <c r="D1815">
        <v>5</v>
      </c>
      <c r="E1815" s="16" t="s">
        <v>45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63</v>
      </c>
      <c r="D1816">
        <v>6</v>
      </c>
      <c r="E1816" s="16" t="s">
        <v>46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63</v>
      </c>
      <c r="D1817">
        <v>7</v>
      </c>
      <c r="E1817" s="16" t="s">
        <v>47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63</v>
      </c>
      <c r="D1818">
        <v>8</v>
      </c>
      <c r="E1818" s="16" t="s">
        <v>48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63</v>
      </c>
      <c r="D1819">
        <v>9</v>
      </c>
      <c r="E1819" s="16" t="s">
        <v>49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63</v>
      </c>
      <c r="D1820">
        <v>10</v>
      </c>
      <c r="E1820" s="16" t="s">
        <v>59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63</v>
      </c>
      <c r="D1821">
        <v>11</v>
      </c>
      <c r="E1821" s="16" t="s">
        <v>50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63</v>
      </c>
      <c r="D1822">
        <v>12</v>
      </c>
      <c r="E1822" s="16" t="s">
        <v>51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63</v>
      </c>
      <c r="D1823">
        <v>13</v>
      </c>
      <c r="E1823" s="16" t="s">
        <v>52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63</v>
      </c>
      <c r="D1824">
        <v>14</v>
      </c>
      <c r="E1824" s="16" t="s">
        <v>53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63</v>
      </c>
      <c r="D1825">
        <v>15</v>
      </c>
      <c r="E1825" s="16" t="s">
        <v>54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63</v>
      </c>
      <c r="D1826">
        <v>16</v>
      </c>
      <c r="E1826" s="16" t="s">
        <v>55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63</v>
      </c>
      <c r="D1827">
        <v>17</v>
      </c>
      <c r="E1827" s="16" t="s">
        <v>56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63</v>
      </c>
      <c r="D1828">
        <v>18</v>
      </c>
      <c r="E1828" s="16" t="s">
        <v>57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63</v>
      </c>
      <c r="D1829">
        <v>1</v>
      </c>
      <c r="E1829" s="16" t="s">
        <v>40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63</v>
      </c>
      <c r="D1830">
        <v>2</v>
      </c>
      <c r="E1830" s="16" t="s">
        <v>42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63</v>
      </c>
      <c r="D1831">
        <v>3</v>
      </c>
      <c r="E1831" s="16" t="s">
        <v>43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63</v>
      </c>
      <c r="D1832">
        <v>4</v>
      </c>
      <c r="E1832" s="16" t="s">
        <v>44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63</v>
      </c>
      <c r="D1833">
        <v>5</v>
      </c>
      <c r="E1833" s="16" t="s">
        <v>45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63</v>
      </c>
      <c r="D1834">
        <v>6</v>
      </c>
      <c r="E1834" s="16" t="s">
        <v>46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63</v>
      </c>
      <c r="D1835">
        <v>7</v>
      </c>
      <c r="E1835" s="16" t="s">
        <v>47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63</v>
      </c>
      <c r="D1836">
        <v>8</v>
      </c>
      <c r="E1836" s="16" t="s">
        <v>48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63</v>
      </c>
      <c r="D1837">
        <v>9</v>
      </c>
      <c r="E1837" s="16" t="s">
        <v>49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63</v>
      </c>
      <c r="D1838">
        <v>10</v>
      </c>
      <c r="E1838" s="16" t="s">
        <v>59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63</v>
      </c>
      <c r="D1839">
        <v>11</v>
      </c>
      <c r="E1839" s="16" t="s">
        <v>50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63</v>
      </c>
      <c r="D1840">
        <v>12</v>
      </c>
      <c r="E1840" s="16" t="s">
        <v>51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63</v>
      </c>
      <c r="D1841">
        <v>13</v>
      </c>
      <c r="E1841" s="16" t="s">
        <v>52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63</v>
      </c>
      <c r="D1842">
        <v>14</v>
      </c>
      <c r="E1842" s="16" t="s">
        <v>53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63</v>
      </c>
      <c r="D1843">
        <v>15</v>
      </c>
      <c r="E1843" s="16" t="s">
        <v>54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63</v>
      </c>
      <c r="D1844">
        <v>16</v>
      </c>
      <c r="E1844" s="16" t="s">
        <v>55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63</v>
      </c>
      <c r="D1845">
        <v>17</v>
      </c>
      <c r="E1845" s="16" t="s">
        <v>56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63</v>
      </c>
      <c r="D1846">
        <v>18</v>
      </c>
      <c r="E1846" s="16" t="s">
        <v>57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63</v>
      </c>
      <c r="D1847">
        <v>1</v>
      </c>
      <c r="E1847" s="16" t="s">
        <v>40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63</v>
      </c>
      <c r="D1848">
        <v>2</v>
      </c>
      <c r="E1848" s="16" t="s">
        <v>42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63</v>
      </c>
      <c r="D1849">
        <v>3</v>
      </c>
      <c r="E1849" s="16" t="s">
        <v>43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63</v>
      </c>
      <c r="D1850">
        <v>4</v>
      </c>
      <c r="E1850" s="16" t="s">
        <v>44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63</v>
      </c>
      <c r="D1851">
        <v>5</v>
      </c>
      <c r="E1851" s="16" t="s">
        <v>45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63</v>
      </c>
      <c r="D1852">
        <v>6</v>
      </c>
      <c r="E1852" s="16" t="s">
        <v>46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63</v>
      </c>
      <c r="D1853">
        <v>7</v>
      </c>
      <c r="E1853" s="16" t="s">
        <v>47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63</v>
      </c>
      <c r="D1854">
        <v>8</v>
      </c>
      <c r="E1854" s="16" t="s">
        <v>48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63</v>
      </c>
      <c r="D1855">
        <v>9</v>
      </c>
      <c r="E1855" s="16" t="s">
        <v>49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63</v>
      </c>
      <c r="D1856">
        <v>10</v>
      </c>
      <c r="E1856" s="16" t="s">
        <v>59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63</v>
      </c>
      <c r="D1857">
        <v>11</v>
      </c>
      <c r="E1857" s="16" t="s">
        <v>50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63</v>
      </c>
      <c r="D1858">
        <v>12</v>
      </c>
      <c r="E1858" s="16" t="s">
        <v>51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63</v>
      </c>
      <c r="D1859">
        <v>13</v>
      </c>
      <c r="E1859" s="16" t="s">
        <v>52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63</v>
      </c>
      <c r="D1860">
        <v>14</v>
      </c>
      <c r="E1860" s="16" t="s">
        <v>53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63</v>
      </c>
      <c r="D1861">
        <v>15</v>
      </c>
      <c r="E1861" s="16" t="s">
        <v>54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63</v>
      </c>
      <c r="D1862">
        <v>16</v>
      </c>
      <c r="E1862" s="16" t="s">
        <v>55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63</v>
      </c>
      <c r="D1863">
        <v>17</v>
      </c>
      <c r="E1863" s="16" t="s">
        <v>56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63</v>
      </c>
      <c r="D1864">
        <v>18</v>
      </c>
      <c r="E1864" s="16" t="s">
        <v>57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63</v>
      </c>
      <c r="D1865">
        <v>1</v>
      </c>
      <c r="E1865" s="16" t="s">
        <v>40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63</v>
      </c>
      <c r="D1866">
        <v>2</v>
      </c>
      <c r="E1866" s="16" t="s">
        <v>42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63</v>
      </c>
      <c r="D1867">
        <v>3</v>
      </c>
      <c r="E1867" s="16" t="s">
        <v>43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63</v>
      </c>
      <c r="D1868">
        <v>4</v>
      </c>
      <c r="E1868" s="16" t="s">
        <v>44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63</v>
      </c>
      <c r="D1869">
        <v>5</v>
      </c>
      <c r="E1869" s="16" t="s">
        <v>45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63</v>
      </c>
      <c r="D1870">
        <v>6</v>
      </c>
      <c r="E1870" s="16" t="s">
        <v>46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63</v>
      </c>
      <c r="D1871">
        <v>7</v>
      </c>
      <c r="E1871" s="16" t="s">
        <v>47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63</v>
      </c>
      <c r="D1872">
        <v>8</v>
      </c>
      <c r="E1872" s="16" t="s">
        <v>48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63</v>
      </c>
      <c r="D1873">
        <v>9</v>
      </c>
      <c r="E1873" s="16" t="s">
        <v>49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63</v>
      </c>
      <c r="D1874">
        <v>10</v>
      </c>
      <c r="E1874" s="16" t="s">
        <v>59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63</v>
      </c>
      <c r="D1875">
        <v>11</v>
      </c>
      <c r="E1875" s="16" t="s">
        <v>50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63</v>
      </c>
      <c r="D1876">
        <v>12</v>
      </c>
      <c r="E1876" s="16" t="s">
        <v>51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63</v>
      </c>
      <c r="D1877">
        <v>13</v>
      </c>
      <c r="E1877" s="16" t="s">
        <v>52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63</v>
      </c>
      <c r="D1878">
        <v>14</v>
      </c>
      <c r="E1878" s="16" t="s">
        <v>53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63</v>
      </c>
      <c r="D1879">
        <v>15</v>
      </c>
      <c r="E1879" s="16" t="s">
        <v>54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63</v>
      </c>
      <c r="D1880">
        <v>16</v>
      </c>
      <c r="E1880" s="16" t="s">
        <v>55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63</v>
      </c>
      <c r="D1881">
        <v>17</v>
      </c>
      <c r="E1881" s="16" t="s">
        <v>56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63</v>
      </c>
      <c r="D1882">
        <v>18</v>
      </c>
      <c r="E1882" s="16" t="s">
        <v>57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63</v>
      </c>
      <c r="D1883">
        <v>1</v>
      </c>
      <c r="E1883" s="16" t="s">
        <v>40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63</v>
      </c>
      <c r="D1884">
        <v>2</v>
      </c>
      <c r="E1884" s="16" t="s">
        <v>42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63</v>
      </c>
      <c r="D1885">
        <v>3</v>
      </c>
      <c r="E1885" s="16" t="s">
        <v>43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63</v>
      </c>
      <c r="D1886">
        <v>4</v>
      </c>
      <c r="E1886" s="16" t="s">
        <v>44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63</v>
      </c>
      <c r="D1887">
        <v>5</v>
      </c>
      <c r="E1887" s="16" t="s">
        <v>45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63</v>
      </c>
      <c r="D1888">
        <v>6</v>
      </c>
      <c r="E1888" s="16" t="s">
        <v>46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63</v>
      </c>
      <c r="D1889">
        <v>7</v>
      </c>
      <c r="E1889" s="16" t="s">
        <v>47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63</v>
      </c>
      <c r="D1890">
        <v>8</v>
      </c>
      <c r="E1890" s="16" t="s">
        <v>48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63</v>
      </c>
      <c r="D1891">
        <v>9</v>
      </c>
      <c r="E1891" s="16" t="s">
        <v>49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63</v>
      </c>
      <c r="D1892">
        <v>10</v>
      </c>
      <c r="E1892" s="16" t="s">
        <v>59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63</v>
      </c>
      <c r="D1893">
        <v>11</v>
      </c>
      <c r="E1893" s="16" t="s">
        <v>50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63</v>
      </c>
      <c r="D1894">
        <v>12</v>
      </c>
      <c r="E1894" s="16" t="s">
        <v>51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63</v>
      </c>
      <c r="D1895">
        <v>13</v>
      </c>
      <c r="E1895" s="16" t="s">
        <v>52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63</v>
      </c>
      <c r="D1896">
        <v>14</v>
      </c>
      <c r="E1896" s="16" t="s">
        <v>53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63</v>
      </c>
      <c r="D1897">
        <v>15</v>
      </c>
      <c r="E1897" s="16" t="s">
        <v>54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63</v>
      </c>
      <c r="D1898">
        <v>16</v>
      </c>
      <c r="E1898" s="16" t="s">
        <v>55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63</v>
      </c>
      <c r="D1899">
        <v>17</v>
      </c>
      <c r="E1899" s="16" t="s">
        <v>56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63</v>
      </c>
      <c r="D1900">
        <v>18</v>
      </c>
      <c r="E1900" s="16" t="s">
        <v>57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63</v>
      </c>
      <c r="D1901">
        <v>1</v>
      </c>
      <c r="E1901" s="16" t="s">
        <v>40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63</v>
      </c>
      <c r="D1902">
        <v>2</v>
      </c>
      <c r="E1902" s="16" t="s">
        <v>42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63</v>
      </c>
      <c r="D1903">
        <v>3</v>
      </c>
      <c r="E1903" s="16" t="s">
        <v>43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63</v>
      </c>
      <c r="D1904">
        <v>4</v>
      </c>
      <c r="E1904" s="16" t="s">
        <v>44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63</v>
      </c>
      <c r="D1905">
        <v>5</v>
      </c>
      <c r="E1905" s="16" t="s">
        <v>45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63</v>
      </c>
      <c r="D1906">
        <v>6</v>
      </c>
      <c r="E1906" s="16" t="s">
        <v>46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63</v>
      </c>
      <c r="D1907">
        <v>7</v>
      </c>
      <c r="E1907" s="16" t="s">
        <v>47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63</v>
      </c>
      <c r="D1908">
        <v>8</v>
      </c>
      <c r="E1908" s="16" t="s">
        <v>48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63</v>
      </c>
      <c r="D1909">
        <v>9</v>
      </c>
      <c r="E1909" s="16" t="s">
        <v>49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63</v>
      </c>
      <c r="D1910">
        <v>10</v>
      </c>
      <c r="E1910" s="16" t="s">
        <v>59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63</v>
      </c>
      <c r="D1911">
        <v>11</v>
      </c>
      <c r="E1911" s="16" t="s">
        <v>50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63</v>
      </c>
      <c r="D1912">
        <v>12</v>
      </c>
      <c r="E1912" s="16" t="s">
        <v>51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63</v>
      </c>
      <c r="D1913">
        <v>13</v>
      </c>
      <c r="E1913" s="16" t="s">
        <v>52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63</v>
      </c>
      <c r="D1914">
        <v>14</v>
      </c>
      <c r="E1914" s="16" t="s">
        <v>53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63</v>
      </c>
      <c r="D1915">
        <v>15</v>
      </c>
      <c r="E1915" s="16" t="s">
        <v>54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63</v>
      </c>
      <c r="D1916">
        <v>16</v>
      </c>
      <c r="E1916" s="16" t="s">
        <v>55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63</v>
      </c>
      <c r="D1917">
        <v>17</v>
      </c>
      <c r="E1917" s="16" t="s">
        <v>56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63</v>
      </c>
      <c r="D1918">
        <v>18</v>
      </c>
      <c r="E1918" s="16" t="s">
        <v>57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64</v>
      </c>
      <c r="D1919">
        <v>1</v>
      </c>
      <c r="E1919" s="16" t="s">
        <v>40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64</v>
      </c>
      <c r="D1920">
        <v>2</v>
      </c>
      <c r="E1920" s="16" t="s">
        <v>42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64</v>
      </c>
      <c r="D1921">
        <v>3</v>
      </c>
      <c r="E1921" s="16" t="s">
        <v>43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64</v>
      </c>
      <c r="D1922">
        <v>4</v>
      </c>
      <c r="E1922" s="16" t="s">
        <v>44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64</v>
      </c>
      <c r="D1923">
        <v>5</v>
      </c>
      <c r="E1923" s="16" t="s">
        <v>45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64</v>
      </c>
      <c r="D1924">
        <v>6</v>
      </c>
      <c r="E1924" s="16" t="s">
        <v>46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64</v>
      </c>
      <c r="D1925">
        <v>7</v>
      </c>
      <c r="E1925" s="16" t="s">
        <v>47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64</v>
      </c>
      <c r="D1926">
        <v>8</v>
      </c>
      <c r="E1926" s="16" t="s">
        <v>48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64</v>
      </c>
      <c r="D1927">
        <v>9</v>
      </c>
      <c r="E1927" s="16" t="s">
        <v>49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64</v>
      </c>
      <c r="D1928">
        <v>10</v>
      </c>
      <c r="E1928" s="16" t="s">
        <v>59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64</v>
      </c>
      <c r="D1929">
        <v>11</v>
      </c>
      <c r="E1929" s="16" t="s">
        <v>50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64</v>
      </c>
      <c r="D1930">
        <v>12</v>
      </c>
      <c r="E1930" s="16" t="s">
        <v>51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64</v>
      </c>
      <c r="D1931">
        <v>13</v>
      </c>
      <c r="E1931" s="16" t="s">
        <v>52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64</v>
      </c>
      <c r="D1932">
        <v>14</v>
      </c>
      <c r="E1932" s="16" t="s">
        <v>53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64</v>
      </c>
      <c r="D1933">
        <v>15</v>
      </c>
      <c r="E1933" s="16" t="s">
        <v>54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64</v>
      </c>
      <c r="D1934">
        <v>16</v>
      </c>
      <c r="E1934" s="16" t="s">
        <v>55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64</v>
      </c>
      <c r="D1935">
        <v>17</v>
      </c>
      <c r="E1935" s="16" t="s">
        <v>56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64</v>
      </c>
      <c r="D1936">
        <v>18</v>
      </c>
      <c r="E1936" s="16" t="s">
        <v>57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64</v>
      </c>
      <c r="D1937">
        <v>1</v>
      </c>
      <c r="E1937" s="16" t="s">
        <v>40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64</v>
      </c>
      <c r="D1938">
        <v>2</v>
      </c>
      <c r="E1938" s="16" t="s">
        <v>42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64</v>
      </c>
      <c r="D1939">
        <v>3</v>
      </c>
      <c r="E1939" s="16" t="s">
        <v>43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64</v>
      </c>
      <c r="D1940">
        <v>4</v>
      </c>
      <c r="E1940" s="16" t="s">
        <v>44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64</v>
      </c>
      <c r="D1941">
        <v>5</v>
      </c>
      <c r="E1941" s="16" t="s">
        <v>45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64</v>
      </c>
      <c r="D1942">
        <v>6</v>
      </c>
      <c r="E1942" s="16" t="s">
        <v>46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64</v>
      </c>
      <c r="D1943">
        <v>7</v>
      </c>
      <c r="E1943" s="16" t="s">
        <v>47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64</v>
      </c>
      <c r="D1944">
        <v>8</v>
      </c>
      <c r="E1944" s="16" t="s">
        <v>48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64</v>
      </c>
      <c r="D1945">
        <v>9</v>
      </c>
      <c r="E1945" s="16" t="s">
        <v>49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64</v>
      </c>
      <c r="D1946">
        <v>10</v>
      </c>
      <c r="E1946" s="16" t="s">
        <v>59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64</v>
      </c>
      <c r="D1947">
        <v>11</v>
      </c>
      <c r="E1947" s="16" t="s">
        <v>50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64</v>
      </c>
      <c r="D1948">
        <v>12</v>
      </c>
      <c r="E1948" s="16" t="s">
        <v>51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64</v>
      </c>
      <c r="D1949">
        <v>13</v>
      </c>
      <c r="E1949" s="16" t="s">
        <v>52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64</v>
      </c>
      <c r="D1950">
        <v>14</v>
      </c>
      <c r="E1950" s="16" t="s">
        <v>53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64</v>
      </c>
      <c r="D1951">
        <v>15</v>
      </c>
      <c r="E1951" s="16" t="s">
        <v>54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64</v>
      </c>
      <c r="D1952">
        <v>16</v>
      </c>
      <c r="E1952" s="16" t="s">
        <v>55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64</v>
      </c>
      <c r="D1953">
        <v>17</v>
      </c>
      <c r="E1953" s="16" t="s">
        <v>56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64</v>
      </c>
      <c r="D1954">
        <v>18</v>
      </c>
      <c r="E1954" s="16" t="s">
        <v>57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64</v>
      </c>
      <c r="D1955">
        <v>1</v>
      </c>
      <c r="E1955" s="16" t="s">
        <v>40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64</v>
      </c>
      <c r="D1956">
        <v>2</v>
      </c>
      <c r="E1956" s="16" t="s">
        <v>42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64</v>
      </c>
      <c r="D1957">
        <v>3</v>
      </c>
      <c r="E1957" s="16" t="s">
        <v>43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64</v>
      </c>
      <c r="D1958">
        <v>4</v>
      </c>
      <c r="E1958" s="16" t="s">
        <v>44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64</v>
      </c>
      <c r="D1959">
        <v>5</v>
      </c>
      <c r="E1959" s="16" t="s">
        <v>45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64</v>
      </c>
      <c r="D1960">
        <v>6</v>
      </c>
      <c r="E1960" s="16" t="s">
        <v>46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64</v>
      </c>
      <c r="D1961">
        <v>7</v>
      </c>
      <c r="E1961" s="16" t="s">
        <v>47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64</v>
      </c>
      <c r="D1962">
        <v>8</v>
      </c>
      <c r="E1962" s="16" t="s">
        <v>48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64</v>
      </c>
      <c r="D1963">
        <v>9</v>
      </c>
      <c r="E1963" s="16" t="s">
        <v>49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64</v>
      </c>
      <c r="D1964">
        <v>10</v>
      </c>
      <c r="E1964" s="16" t="s">
        <v>59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64</v>
      </c>
      <c r="D1965">
        <v>11</v>
      </c>
      <c r="E1965" s="16" t="s">
        <v>50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64</v>
      </c>
      <c r="D1966">
        <v>12</v>
      </c>
      <c r="E1966" s="16" t="s">
        <v>51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64</v>
      </c>
      <c r="D1967">
        <v>13</v>
      </c>
      <c r="E1967" s="16" t="s">
        <v>52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64</v>
      </c>
      <c r="D1968">
        <v>14</v>
      </c>
      <c r="E1968" s="16" t="s">
        <v>53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64</v>
      </c>
      <c r="D1969">
        <v>15</v>
      </c>
      <c r="E1969" s="16" t="s">
        <v>54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64</v>
      </c>
      <c r="D1970">
        <v>16</v>
      </c>
      <c r="E1970" s="16" t="s">
        <v>55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64</v>
      </c>
      <c r="D1971">
        <v>17</v>
      </c>
      <c r="E1971" s="16" t="s">
        <v>56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64</v>
      </c>
      <c r="D1972">
        <v>18</v>
      </c>
      <c r="E1972" s="16" t="s">
        <v>57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64</v>
      </c>
      <c r="D1973">
        <v>1</v>
      </c>
      <c r="E1973" s="16" t="s">
        <v>40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64</v>
      </c>
      <c r="D1974">
        <v>2</v>
      </c>
      <c r="E1974" s="16" t="s">
        <v>42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64</v>
      </c>
      <c r="D1975">
        <v>3</v>
      </c>
      <c r="E1975" s="16" t="s">
        <v>43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64</v>
      </c>
      <c r="D1976">
        <v>4</v>
      </c>
      <c r="E1976" s="16" t="s">
        <v>44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64</v>
      </c>
      <c r="D1977">
        <v>5</v>
      </c>
      <c r="E1977" s="16" t="s">
        <v>45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64</v>
      </c>
      <c r="D1978">
        <v>6</v>
      </c>
      <c r="E1978" s="16" t="s">
        <v>46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64</v>
      </c>
      <c r="D1979">
        <v>7</v>
      </c>
      <c r="E1979" s="16" t="s">
        <v>47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64</v>
      </c>
      <c r="D1980">
        <v>8</v>
      </c>
      <c r="E1980" s="16" t="s">
        <v>48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64</v>
      </c>
      <c r="D1981">
        <v>9</v>
      </c>
      <c r="E1981" s="16" t="s">
        <v>49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64</v>
      </c>
      <c r="D1982">
        <v>10</v>
      </c>
      <c r="E1982" s="16" t="s">
        <v>59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64</v>
      </c>
      <c r="D1983">
        <v>11</v>
      </c>
      <c r="E1983" s="16" t="s">
        <v>50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64</v>
      </c>
      <c r="D1984">
        <v>12</v>
      </c>
      <c r="E1984" s="16" t="s">
        <v>51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64</v>
      </c>
      <c r="D1985">
        <v>13</v>
      </c>
      <c r="E1985" s="16" t="s">
        <v>52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64</v>
      </c>
      <c r="D1986">
        <v>14</v>
      </c>
      <c r="E1986" s="16" t="s">
        <v>53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64</v>
      </c>
      <c r="D1987">
        <v>15</v>
      </c>
      <c r="E1987" s="16" t="s">
        <v>54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64</v>
      </c>
      <c r="D1988">
        <v>16</v>
      </c>
      <c r="E1988" s="16" t="s">
        <v>55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64</v>
      </c>
      <c r="D1989">
        <v>17</v>
      </c>
      <c r="E1989" s="16" t="s">
        <v>56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64</v>
      </c>
      <c r="D1990">
        <v>18</v>
      </c>
      <c r="E1990" s="16" t="s">
        <v>57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64</v>
      </c>
      <c r="D1991">
        <v>1</v>
      </c>
      <c r="E1991" s="16" t="s">
        <v>40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64</v>
      </c>
      <c r="D1992">
        <v>2</v>
      </c>
      <c r="E1992" s="16" t="s">
        <v>42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64</v>
      </c>
      <c r="D1993">
        <v>3</v>
      </c>
      <c r="E1993" s="16" t="s">
        <v>43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64</v>
      </c>
      <c r="D1994">
        <v>4</v>
      </c>
      <c r="E1994" s="16" t="s">
        <v>44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64</v>
      </c>
      <c r="D1995">
        <v>5</v>
      </c>
      <c r="E1995" s="16" t="s">
        <v>45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64</v>
      </c>
      <c r="D1996">
        <v>6</v>
      </c>
      <c r="E1996" s="16" t="s">
        <v>46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64</v>
      </c>
      <c r="D1997">
        <v>7</v>
      </c>
      <c r="E1997" s="16" t="s">
        <v>47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64</v>
      </c>
      <c r="D1998">
        <v>8</v>
      </c>
      <c r="E1998" s="16" t="s">
        <v>48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64</v>
      </c>
      <c r="D1999">
        <v>9</v>
      </c>
      <c r="E1999" s="16" t="s">
        <v>49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64</v>
      </c>
      <c r="D2000">
        <v>10</v>
      </c>
      <c r="E2000" s="16" t="s">
        <v>59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64</v>
      </c>
      <c r="D2001">
        <v>11</v>
      </c>
      <c r="E2001" s="16" t="s">
        <v>50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64</v>
      </c>
      <c r="D2002">
        <v>12</v>
      </c>
      <c r="E2002" s="16" t="s">
        <v>51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64</v>
      </c>
      <c r="D2003">
        <v>13</v>
      </c>
      <c r="E2003" s="16" t="s">
        <v>52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64</v>
      </c>
      <c r="D2004">
        <v>14</v>
      </c>
      <c r="E2004" s="16" t="s">
        <v>53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64</v>
      </c>
      <c r="D2005">
        <v>15</v>
      </c>
      <c r="E2005" s="16" t="s">
        <v>54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64</v>
      </c>
      <c r="D2006">
        <v>16</v>
      </c>
      <c r="E2006" s="16" t="s">
        <v>55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64</v>
      </c>
      <c r="D2007">
        <v>17</v>
      </c>
      <c r="E2007" s="16" t="s">
        <v>56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64</v>
      </c>
      <c r="D2008">
        <v>18</v>
      </c>
      <c r="E2008" s="16" t="s">
        <v>57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64</v>
      </c>
      <c r="D2009">
        <v>1</v>
      </c>
      <c r="E2009" s="16" t="s">
        <v>40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64</v>
      </c>
      <c r="D2010">
        <v>2</v>
      </c>
      <c r="E2010" s="16" t="s">
        <v>42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64</v>
      </c>
      <c r="D2011">
        <v>3</v>
      </c>
      <c r="E2011" s="16" t="s">
        <v>43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64</v>
      </c>
      <c r="D2012">
        <v>4</v>
      </c>
      <c r="E2012" s="16" t="s">
        <v>44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64</v>
      </c>
      <c r="D2013">
        <v>5</v>
      </c>
      <c r="E2013" s="16" t="s">
        <v>45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64</v>
      </c>
      <c r="D2014">
        <v>6</v>
      </c>
      <c r="E2014" s="16" t="s">
        <v>46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64</v>
      </c>
      <c r="D2015">
        <v>7</v>
      </c>
      <c r="E2015" s="16" t="s">
        <v>47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64</v>
      </c>
      <c r="D2016">
        <v>8</v>
      </c>
      <c r="E2016" s="16" t="s">
        <v>48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64</v>
      </c>
      <c r="D2017">
        <v>9</v>
      </c>
      <c r="E2017" s="16" t="s">
        <v>49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64</v>
      </c>
      <c r="D2018">
        <v>10</v>
      </c>
      <c r="E2018" s="16" t="s">
        <v>59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64</v>
      </c>
      <c r="D2019">
        <v>11</v>
      </c>
      <c r="E2019" s="16" t="s">
        <v>50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64</v>
      </c>
      <c r="D2020">
        <v>12</v>
      </c>
      <c r="E2020" s="16" t="s">
        <v>51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64</v>
      </c>
      <c r="D2021">
        <v>13</v>
      </c>
      <c r="E2021" s="16" t="s">
        <v>52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64</v>
      </c>
      <c r="D2022">
        <v>14</v>
      </c>
      <c r="E2022" s="16" t="s">
        <v>53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64</v>
      </c>
      <c r="D2023">
        <v>15</v>
      </c>
      <c r="E2023" s="16" t="s">
        <v>54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64</v>
      </c>
      <c r="D2024">
        <v>16</v>
      </c>
      <c r="E2024" s="16" t="s">
        <v>55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64</v>
      </c>
      <c r="D2025">
        <v>17</v>
      </c>
      <c r="E2025" s="16" t="s">
        <v>56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64</v>
      </c>
      <c r="D2026">
        <v>18</v>
      </c>
      <c r="E2026" s="16" t="s">
        <v>57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64</v>
      </c>
      <c r="D2027">
        <v>1</v>
      </c>
      <c r="E2027" s="16" t="s">
        <v>40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64</v>
      </c>
      <c r="D2028">
        <v>2</v>
      </c>
      <c r="E2028" s="16" t="s">
        <v>42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64</v>
      </c>
      <c r="D2029">
        <v>3</v>
      </c>
      <c r="E2029" s="16" t="s">
        <v>43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64</v>
      </c>
      <c r="D2030">
        <v>4</v>
      </c>
      <c r="E2030" s="16" t="s">
        <v>44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64</v>
      </c>
      <c r="D2031">
        <v>5</v>
      </c>
      <c r="E2031" s="16" t="s">
        <v>45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64</v>
      </c>
      <c r="D2032">
        <v>6</v>
      </c>
      <c r="E2032" s="16" t="s">
        <v>46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64</v>
      </c>
      <c r="D2033">
        <v>7</v>
      </c>
      <c r="E2033" s="16" t="s">
        <v>47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64</v>
      </c>
      <c r="D2034">
        <v>8</v>
      </c>
      <c r="E2034" s="16" t="s">
        <v>48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64</v>
      </c>
      <c r="D2035">
        <v>9</v>
      </c>
      <c r="E2035" s="16" t="s">
        <v>49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64</v>
      </c>
      <c r="D2036">
        <v>10</v>
      </c>
      <c r="E2036" s="16" t="s">
        <v>59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64</v>
      </c>
      <c r="D2037">
        <v>11</v>
      </c>
      <c r="E2037" s="16" t="s">
        <v>50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64</v>
      </c>
      <c r="D2038">
        <v>12</v>
      </c>
      <c r="E2038" s="16" t="s">
        <v>51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64</v>
      </c>
      <c r="D2039">
        <v>13</v>
      </c>
      <c r="E2039" s="16" t="s">
        <v>52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64</v>
      </c>
      <c r="D2040">
        <v>14</v>
      </c>
      <c r="E2040" s="16" t="s">
        <v>53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64</v>
      </c>
      <c r="D2041">
        <v>15</v>
      </c>
      <c r="E2041" s="16" t="s">
        <v>54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64</v>
      </c>
      <c r="D2042">
        <v>16</v>
      </c>
      <c r="E2042" s="16" t="s">
        <v>55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64</v>
      </c>
      <c r="D2043">
        <v>17</v>
      </c>
      <c r="E2043" s="16" t="s">
        <v>56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64</v>
      </c>
      <c r="D2044">
        <v>18</v>
      </c>
      <c r="E2044" s="16" t="s">
        <v>57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64</v>
      </c>
      <c r="D2045">
        <v>1</v>
      </c>
      <c r="E2045" s="16" t="s">
        <v>40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64</v>
      </c>
      <c r="D2046">
        <v>2</v>
      </c>
      <c r="E2046" s="16" t="s">
        <v>42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64</v>
      </c>
      <c r="D2047">
        <v>3</v>
      </c>
      <c r="E2047" s="16" t="s">
        <v>43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64</v>
      </c>
      <c r="D2048">
        <v>4</v>
      </c>
      <c r="E2048" s="16" t="s">
        <v>44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64</v>
      </c>
      <c r="D2049">
        <v>5</v>
      </c>
      <c r="E2049" s="16" t="s">
        <v>45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64</v>
      </c>
      <c r="D2050">
        <v>6</v>
      </c>
      <c r="E2050" s="16" t="s">
        <v>46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64</v>
      </c>
      <c r="D2051">
        <v>7</v>
      </c>
      <c r="E2051" s="16" t="s">
        <v>47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64</v>
      </c>
      <c r="D2052">
        <v>8</v>
      </c>
      <c r="E2052" s="16" t="s">
        <v>48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64</v>
      </c>
      <c r="D2053">
        <v>9</v>
      </c>
      <c r="E2053" s="16" t="s">
        <v>49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64</v>
      </c>
      <c r="D2054">
        <v>10</v>
      </c>
      <c r="E2054" s="16" t="s">
        <v>59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64</v>
      </c>
      <c r="D2055">
        <v>11</v>
      </c>
      <c r="E2055" s="16" t="s">
        <v>50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64</v>
      </c>
      <c r="D2056">
        <v>12</v>
      </c>
      <c r="E2056" s="16" t="s">
        <v>51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64</v>
      </c>
      <c r="D2057">
        <v>13</v>
      </c>
      <c r="E2057" s="16" t="s">
        <v>52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64</v>
      </c>
      <c r="D2058">
        <v>14</v>
      </c>
      <c r="E2058" s="16" t="s">
        <v>53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64</v>
      </c>
      <c r="D2059">
        <v>15</v>
      </c>
      <c r="E2059" s="16" t="s">
        <v>54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64</v>
      </c>
      <c r="D2060">
        <v>16</v>
      </c>
      <c r="E2060" s="16" t="s">
        <v>55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64</v>
      </c>
      <c r="D2061">
        <v>17</v>
      </c>
      <c r="E2061" s="16" t="s">
        <v>56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64</v>
      </c>
      <c r="D2062">
        <v>18</v>
      </c>
      <c r="E2062" s="16" t="s">
        <v>57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64</v>
      </c>
      <c r="D2063">
        <v>1</v>
      </c>
      <c r="E2063" s="16" t="s">
        <v>40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64</v>
      </c>
      <c r="D2064">
        <v>2</v>
      </c>
      <c r="E2064" s="16" t="s">
        <v>42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64</v>
      </c>
      <c r="D2065">
        <v>3</v>
      </c>
      <c r="E2065" s="16" t="s">
        <v>43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64</v>
      </c>
      <c r="D2066">
        <v>4</v>
      </c>
      <c r="E2066" s="16" t="s">
        <v>44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64</v>
      </c>
      <c r="D2067">
        <v>5</v>
      </c>
      <c r="E2067" s="16" t="s">
        <v>45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64</v>
      </c>
      <c r="D2068">
        <v>6</v>
      </c>
      <c r="E2068" s="16" t="s">
        <v>46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64</v>
      </c>
      <c r="D2069">
        <v>7</v>
      </c>
      <c r="E2069" s="16" t="s">
        <v>47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64</v>
      </c>
      <c r="D2070">
        <v>8</v>
      </c>
      <c r="E2070" s="16" t="s">
        <v>48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64</v>
      </c>
      <c r="D2071">
        <v>9</v>
      </c>
      <c r="E2071" s="16" t="s">
        <v>49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64</v>
      </c>
      <c r="D2072">
        <v>10</v>
      </c>
      <c r="E2072" s="16" t="s">
        <v>59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64</v>
      </c>
      <c r="D2073">
        <v>11</v>
      </c>
      <c r="E2073" s="16" t="s">
        <v>50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64</v>
      </c>
      <c r="D2074">
        <v>12</v>
      </c>
      <c r="E2074" s="16" t="s">
        <v>51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64</v>
      </c>
      <c r="D2075">
        <v>13</v>
      </c>
      <c r="E2075" s="16" t="s">
        <v>52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64</v>
      </c>
      <c r="D2076">
        <v>14</v>
      </c>
      <c r="E2076" s="16" t="s">
        <v>53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64</v>
      </c>
      <c r="D2077">
        <v>15</v>
      </c>
      <c r="E2077" s="16" t="s">
        <v>54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64</v>
      </c>
      <c r="D2078">
        <v>16</v>
      </c>
      <c r="E2078" s="16" t="s">
        <v>55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64</v>
      </c>
      <c r="D2079">
        <v>17</v>
      </c>
      <c r="E2079" s="16" t="s">
        <v>56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64</v>
      </c>
      <c r="D2080">
        <v>18</v>
      </c>
      <c r="E2080" s="16" t="s">
        <v>57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64</v>
      </c>
      <c r="D2081">
        <v>1</v>
      </c>
      <c r="E2081" s="16" t="s">
        <v>40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64</v>
      </c>
      <c r="D2082">
        <v>2</v>
      </c>
      <c r="E2082" s="16" t="s">
        <v>42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64</v>
      </c>
      <c r="D2083">
        <v>3</v>
      </c>
      <c r="E2083" s="16" t="s">
        <v>43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64</v>
      </c>
      <c r="D2084">
        <v>4</v>
      </c>
      <c r="E2084" s="16" t="s">
        <v>44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64</v>
      </c>
      <c r="D2085">
        <v>5</v>
      </c>
      <c r="E2085" s="16" t="s">
        <v>45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64</v>
      </c>
      <c r="D2086">
        <v>6</v>
      </c>
      <c r="E2086" s="16" t="s">
        <v>46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64</v>
      </c>
      <c r="D2087">
        <v>7</v>
      </c>
      <c r="E2087" s="16" t="s">
        <v>47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64</v>
      </c>
      <c r="D2088">
        <v>8</v>
      </c>
      <c r="E2088" s="16" t="s">
        <v>48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64</v>
      </c>
      <c r="D2089">
        <v>9</v>
      </c>
      <c r="E2089" s="16" t="s">
        <v>49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64</v>
      </c>
      <c r="D2090">
        <v>10</v>
      </c>
      <c r="E2090" s="16" t="s">
        <v>59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64</v>
      </c>
      <c r="D2091">
        <v>11</v>
      </c>
      <c r="E2091" s="16" t="s">
        <v>50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64</v>
      </c>
      <c r="D2092">
        <v>12</v>
      </c>
      <c r="E2092" s="16" t="s">
        <v>51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64</v>
      </c>
      <c r="D2093">
        <v>13</v>
      </c>
      <c r="E2093" s="16" t="s">
        <v>52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64</v>
      </c>
      <c r="D2094">
        <v>14</v>
      </c>
      <c r="E2094" s="16" t="s">
        <v>53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64</v>
      </c>
      <c r="D2095">
        <v>15</v>
      </c>
      <c r="E2095" s="16" t="s">
        <v>54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64</v>
      </c>
      <c r="D2096">
        <v>16</v>
      </c>
      <c r="E2096" s="16" t="s">
        <v>55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64</v>
      </c>
      <c r="D2097">
        <v>17</v>
      </c>
      <c r="E2097" s="16" t="s">
        <v>56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64</v>
      </c>
      <c r="D2098">
        <v>18</v>
      </c>
      <c r="E2098" s="16" t="s">
        <v>57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64</v>
      </c>
      <c r="D2099">
        <v>1</v>
      </c>
      <c r="E2099" s="16" t="s">
        <v>40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64</v>
      </c>
      <c r="D2100">
        <v>2</v>
      </c>
      <c r="E2100" s="16" t="s">
        <v>42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64</v>
      </c>
      <c r="D2101">
        <v>3</v>
      </c>
      <c r="E2101" s="16" t="s">
        <v>43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64</v>
      </c>
      <c r="D2102">
        <v>4</v>
      </c>
      <c r="E2102" s="16" t="s">
        <v>44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64</v>
      </c>
      <c r="D2103">
        <v>5</v>
      </c>
      <c r="E2103" s="16" t="s">
        <v>45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64</v>
      </c>
      <c r="D2104">
        <v>6</v>
      </c>
      <c r="E2104" s="16" t="s">
        <v>46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64</v>
      </c>
      <c r="D2105">
        <v>7</v>
      </c>
      <c r="E2105" s="16" t="s">
        <v>47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64</v>
      </c>
      <c r="D2106">
        <v>8</v>
      </c>
      <c r="E2106" s="16" t="s">
        <v>48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64</v>
      </c>
      <c r="D2107">
        <v>9</v>
      </c>
      <c r="E2107" s="16" t="s">
        <v>49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64</v>
      </c>
      <c r="D2108">
        <v>10</v>
      </c>
      <c r="E2108" s="16" t="s">
        <v>59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64</v>
      </c>
      <c r="D2109">
        <v>11</v>
      </c>
      <c r="E2109" s="16" t="s">
        <v>50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64</v>
      </c>
      <c r="D2110">
        <v>12</v>
      </c>
      <c r="E2110" s="16" t="s">
        <v>51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64</v>
      </c>
      <c r="D2111">
        <v>13</v>
      </c>
      <c r="E2111" s="16" t="s">
        <v>52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64</v>
      </c>
      <c r="D2112">
        <v>14</v>
      </c>
      <c r="E2112" s="16" t="s">
        <v>53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64</v>
      </c>
      <c r="D2113">
        <v>15</v>
      </c>
      <c r="E2113" s="16" t="s">
        <v>54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64</v>
      </c>
      <c r="D2114">
        <v>16</v>
      </c>
      <c r="E2114" s="16" t="s">
        <v>55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64</v>
      </c>
      <c r="D2115">
        <v>17</v>
      </c>
      <c r="E2115" s="16" t="s">
        <v>56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64</v>
      </c>
      <c r="D2116">
        <v>18</v>
      </c>
      <c r="E2116" s="16" t="s">
        <v>57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64</v>
      </c>
      <c r="D2117">
        <v>1</v>
      </c>
      <c r="E2117" s="16" t="s">
        <v>40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64</v>
      </c>
      <c r="D2118">
        <v>2</v>
      </c>
      <c r="E2118" s="16" t="s">
        <v>42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64</v>
      </c>
      <c r="D2119">
        <v>3</v>
      </c>
      <c r="E2119" s="16" t="s">
        <v>43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64</v>
      </c>
      <c r="D2120">
        <v>4</v>
      </c>
      <c r="E2120" s="16" t="s">
        <v>44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64</v>
      </c>
      <c r="D2121">
        <v>5</v>
      </c>
      <c r="E2121" s="16" t="s">
        <v>45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64</v>
      </c>
      <c r="D2122">
        <v>6</v>
      </c>
      <c r="E2122" s="16" t="s">
        <v>46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64</v>
      </c>
      <c r="D2123">
        <v>7</v>
      </c>
      <c r="E2123" s="16" t="s">
        <v>47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64</v>
      </c>
      <c r="D2124">
        <v>8</v>
      </c>
      <c r="E2124" s="16" t="s">
        <v>48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64</v>
      </c>
      <c r="D2125">
        <v>9</v>
      </c>
      <c r="E2125" s="16" t="s">
        <v>49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64</v>
      </c>
      <c r="D2126">
        <v>10</v>
      </c>
      <c r="E2126" s="16" t="s">
        <v>59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64</v>
      </c>
      <c r="D2127">
        <v>11</v>
      </c>
      <c r="E2127" s="16" t="s">
        <v>50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64</v>
      </c>
      <c r="D2128">
        <v>12</v>
      </c>
      <c r="E2128" s="16" t="s">
        <v>51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64</v>
      </c>
      <c r="D2129">
        <v>13</v>
      </c>
      <c r="E2129" s="16" t="s">
        <v>52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64</v>
      </c>
      <c r="D2130">
        <v>14</v>
      </c>
      <c r="E2130" s="16" t="s">
        <v>53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64</v>
      </c>
      <c r="D2131">
        <v>15</v>
      </c>
      <c r="E2131" s="16" t="s">
        <v>54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64</v>
      </c>
      <c r="D2132">
        <v>16</v>
      </c>
      <c r="E2132" s="16" t="s">
        <v>55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64</v>
      </c>
      <c r="D2133">
        <v>17</v>
      </c>
      <c r="E2133" s="16" t="s">
        <v>56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64</v>
      </c>
      <c r="D2134">
        <v>18</v>
      </c>
      <c r="E2134" s="16" t="s">
        <v>57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64</v>
      </c>
      <c r="D2135">
        <v>1</v>
      </c>
      <c r="E2135" s="16" t="s">
        <v>40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64</v>
      </c>
      <c r="D2136">
        <v>2</v>
      </c>
      <c r="E2136" s="16" t="s">
        <v>42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64</v>
      </c>
      <c r="D2137">
        <v>3</v>
      </c>
      <c r="E2137" s="16" t="s">
        <v>43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64</v>
      </c>
      <c r="D2138">
        <v>4</v>
      </c>
      <c r="E2138" s="16" t="s">
        <v>44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64</v>
      </c>
      <c r="D2139">
        <v>5</v>
      </c>
      <c r="E2139" s="16" t="s">
        <v>45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64</v>
      </c>
      <c r="D2140">
        <v>6</v>
      </c>
      <c r="E2140" s="16" t="s">
        <v>46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64</v>
      </c>
      <c r="D2141">
        <v>7</v>
      </c>
      <c r="E2141" s="16" t="s">
        <v>47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64</v>
      </c>
      <c r="D2142">
        <v>8</v>
      </c>
      <c r="E2142" s="16" t="s">
        <v>48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64</v>
      </c>
      <c r="D2143">
        <v>9</v>
      </c>
      <c r="E2143" s="16" t="s">
        <v>49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64</v>
      </c>
      <c r="D2144">
        <v>10</v>
      </c>
      <c r="E2144" s="16" t="s">
        <v>59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64</v>
      </c>
      <c r="D2145">
        <v>11</v>
      </c>
      <c r="E2145" s="16" t="s">
        <v>50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64</v>
      </c>
      <c r="D2146">
        <v>12</v>
      </c>
      <c r="E2146" s="16" t="s">
        <v>51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64</v>
      </c>
      <c r="D2147">
        <v>13</v>
      </c>
      <c r="E2147" s="16" t="s">
        <v>52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64</v>
      </c>
      <c r="D2148">
        <v>14</v>
      </c>
      <c r="E2148" s="16" t="s">
        <v>53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64</v>
      </c>
      <c r="D2149">
        <v>15</v>
      </c>
      <c r="E2149" s="16" t="s">
        <v>54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64</v>
      </c>
      <c r="D2150">
        <v>16</v>
      </c>
      <c r="E2150" s="16" t="s">
        <v>55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64</v>
      </c>
      <c r="D2151">
        <v>17</v>
      </c>
      <c r="E2151" s="16" t="s">
        <v>56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64</v>
      </c>
      <c r="D2152">
        <v>18</v>
      </c>
      <c r="E2152" s="16" t="s">
        <v>57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64</v>
      </c>
      <c r="D2153">
        <v>1</v>
      </c>
      <c r="E2153" s="16" t="s">
        <v>40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64</v>
      </c>
      <c r="D2154">
        <v>2</v>
      </c>
      <c r="E2154" s="16" t="s">
        <v>42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64</v>
      </c>
      <c r="D2155">
        <v>3</v>
      </c>
      <c r="E2155" s="16" t="s">
        <v>43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64</v>
      </c>
      <c r="D2156">
        <v>4</v>
      </c>
      <c r="E2156" s="16" t="s">
        <v>44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64</v>
      </c>
      <c r="D2157">
        <v>5</v>
      </c>
      <c r="E2157" s="16" t="s">
        <v>45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64</v>
      </c>
      <c r="D2158">
        <v>6</v>
      </c>
      <c r="E2158" s="16" t="s">
        <v>46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64</v>
      </c>
      <c r="D2159">
        <v>7</v>
      </c>
      <c r="E2159" s="16" t="s">
        <v>47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64</v>
      </c>
      <c r="D2160">
        <v>8</v>
      </c>
      <c r="E2160" s="16" t="s">
        <v>48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64</v>
      </c>
      <c r="D2161">
        <v>9</v>
      </c>
      <c r="E2161" s="16" t="s">
        <v>49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64</v>
      </c>
      <c r="D2162">
        <v>10</v>
      </c>
      <c r="E2162" s="16" t="s">
        <v>59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64</v>
      </c>
      <c r="D2163">
        <v>11</v>
      </c>
      <c r="E2163" s="16" t="s">
        <v>50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64</v>
      </c>
      <c r="D2164">
        <v>12</v>
      </c>
      <c r="E2164" s="16" t="s">
        <v>51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64</v>
      </c>
      <c r="D2165">
        <v>13</v>
      </c>
      <c r="E2165" s="16" t="s">
        <v>52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64</v>
      </c>
      <c r="D2166">
        <v>14</v>
      </c>
      <c r="E2166" s="16" t="s">
        <v>53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64</v>
      </c>
      <c r="D2167">
        <v>15</v>
      </c>
      <c r="E2167" s="16" t="s">
        <v>54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64</v>
      </c>
      <c r="D2168">
        <v>16</v>
      </c>
      <c r="E2168" s="16" t="s">
        <v>55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64</v>
      </c>
      <c r="D2169">
        <v>17</v>
      </c>
      <c r="E2169" s="16" t="s">
        <v>56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64</v>
      </c>
      <c r="D2170">
        <v>18</v>
      </c>
      <c r="E2170" s="16" t="s">
        <v>57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64</v>
      </c>
      <c r="D2171">
        <v>1</v>
      </c>
      <c r="E2171" s="16" t="s">
        <v>40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64</v>
      </c>
      <c r="D2172">
        <v>2</v>
      </c>
      <c r="E2172" s="16" t="s">
        <v>42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64</v>
      </c>
      <c r="D2173">
        <v>3</v>
      </c>
      <c r="E2173" s="16" t="s">
        <v>43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64</v>
      </c>
      <c r="D2174">
        <v>4</v>
      </c>
      <c r="E2174" s="16" t="s">
        <v>44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64</v>
      </c>
      <c r="D2175">
        <v>5</v>
      </c>
      <c r="E2175" s="16" t="s">
        <v>45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64</v>
      </c>
      <c r="D2176">
        <v>6</v>
      </c>
      <c r="E2176" s="16" t="s">
        <v>46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64</v>
      </c>
      <c r="D2177">
        <v>7</v>
      </c>
      <c r="E2177" s="16" t="s">
        <v>47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64</v>
      </c>
      <c r="D2178">
        <v>8</v>
      </c>
      <c r="E2178" s="16" t="s">
        <v>48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64</v>
      </c>
      <c r="D2179">
        <v>9</v>
      </c>
      <c r="E2179" s="16" t="s">
        <v>49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64</v>
      </c>
      <c r="D2180">
        <v>10</v>
      </c>
      <c r="E2180" s="16" t="s">
        <v>59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64</v>
      </c>
      <c r="D2181">
        <v>11</v>
      </c>
      <c r="E2181" s="16" t="s">
        <v>50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64</v>
      </c>
      <c r="D2182">
        <v>12</v>
      </c>
      <c r="E2182" s="16" t="s">
        <v>51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64</v>
      </c>
      <c r="D2183">
        <v>13</v>
      </c>
      <c r="E2183" s="16" t="s">
        <v>52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64</v>
      </c>
      <c r="D2184">
        <v>14</v>
      </c>
      <c r="E2184" s="16" t="s">
        <v>53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64</v>
      </c>
      <c r="D2185">
        <v>15</v>
      </c>
      <c r="E2185" s="16" t="s">
        <v>54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64</v>
      </c>
      <c r="D2186">
        <v>16</v>
      </c>
      <c r="E2186" s="16" t="s">
        <v>55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64</v>
      </c>
      <c r="D2187">
        <v>17</v>
      </c>
      <c r="E2187" s="16" t="s">
        <v>56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64</v>
      </c>
      <c r="D2188">
        <v>18</v>
      </c>
      <c r="E2188" s="16" t="s">
        <v>57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64</v>
      </c>
      <c r="D2189">
        <v>1</v>
      </c>
      <c r="E2189" s="16" t="s">
        <v>40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64</v>
      </c>
      <c r="D2190">
        <v>2</v>
      </c>
      <c r="E2190" s="16" t="s">
        <v>42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64</v>
      </c>
      <c r="D2191">
        <v>3</v>
      </c>
      <c r="E2191" s="16" t="s">
        <v>43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64</v>
      </c>
      <c r="D2192">
        <v>4</v>
      </c>
      <c r="E2192" s="16" t="s">
        <v>44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64</v>
      </c>
      <c r="D2193">
        <v>5</v>
      </c>
      <c r="E2193" s="16" t="s">
        <v>45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64</v>
      </c>
      <c r="D2194">
        <v>6</v>
      </c>
      <c r="E2194" s="16" t="s">
        <v>46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64</v>
      </c>
      <c r="D2195">
        <v>7</v>
      </c>
      <c r="E2195" s="16" t="s">
        <v>47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64</v>
      </c>
      <c r="D2196">
        <v>8</v>
      </c>
      <c r="E2196" s="16" t="s">
        <v>48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64</v>
      </c>
      <c r="D2197">
        <v>9</v>
      </c>
      <c r="E2197" s="16" t="s">
        <v>49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64</v>
      </c>
      <c r="D2198">
        <v>10</v>
      </c>
      <c r="E2198" s="16" t="s">
        <v>59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64</v>
      </c>
      <c r="D2199">
        <v>11</v>
      </c>
      <c r="E2199" s="16" t="s">
        <v>50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64</v>
      </c>
      <c r="D2200">
        <v>12</v>
      </c>
      <c r="E2200" s="16" t="s">
        <v>51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64</v>
      </c>
      <c r="D2201">
        <v>13</v>
      </c>
      <c r="E2201" s="16" t="s">
        <v>52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64</v>
      </c>
      <c r="D2202">
        <v>14</v>
      </c>
      <c r="E2202" s="16" t="s">
        <v>53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64</v>
      </c>
      <c r="D2203">
        <v>15</v>
      </c>
      <c r="E2203" s="16" t="s">
        <v>54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64</v>
      </c>
      <c r="D2204">
        <v>16</v>
      </c>
      <c r="E2204" s="16" t="s">
        <v>55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64</v>
      </c>
      <c r="D2205">
        <v>17</v>
      </c>
      <c r="E2205" s="16" t="s">
        <v>56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64</v>
      </c>
      <c r="D2206">
        <v>18</v>
      </c>
      <c r="E2206" s="16" t="s">
        <v>57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64</v>
      </c>
      <c r="D2207">
        <v>1</v>
      </c>
      <c r="E2207" s="16" t="s">
        <v>40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64</v>
      </c>
      <c r="D2208">
        <v>2</v>
      </c>
      <c r="E2208" s="16" t="s">
        <v>42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64</v>
      </c>
      <c r="D2209">
        <v>3</v>
      </c>
      <c r="E2209" s="16" t="s">
        <v>43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64</v>
      </c>
      <c r="D2210">
        <v>4</v>
      </c>
      <c r="E2210" s="16" t="s">
        <v>44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64</v>
      </c>
      <c r="D2211">
        <v>5</v>
      </c>
      <c r="E2211" s="16" t="s">
        <v>45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64</v>
      </c>
      <c r="D2212">
        <v>6</v>
      </c>
      <c r="E2212" s="16" t="s">
        <v>46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64</v>
      </c>
      <c r="D2213">
        <v>7</v>
      </c>
      <c r="E2213" s="16" t="s">
        <v>47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64</v>
      </c>
      <c r="D2214">
        <v>8</v>
      </c>
      <c r="E2214" s="16" t="s">
        <v>48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64</v>
      </c>
      <c r="D2215">
        <v>9</v>
      </c>
      <c r="E2215" s="16" t="s">
        <v>49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64</v>
      </c>
      <c r="D2216">
        <v>10</v>
      </c>
      <c r="E2216" s="16" t="s">
        <v>59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64</v>
      </c>
      <c r="D2217">
        <v>11</v>
      </c>
      <c r="E2217" s="16" t="s">
        <v>50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64</v>
      </c>
      <c r="D2218">
        <v>12</v>
      </c>
      <c r="E2218" s="16" t="s">
        <v>51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64</v>
      </c>
      <c r="D2219">
        <v>13</v>
      </c>
      <c r="E2219" s="16" t="s">
        <v>52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64</v>
      </c>
      <c r="D2220">
        <v>14</v>
      </c>
      <c r="E2220" s="16" t="s">
        <v>53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64</v>
      </c>
      <c r="D2221">
        <v>15</v>
      </c>
      <c r="E2221" s="16" t="s">
        <v>54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64</v>
      </c>
      <c r="D2222">
        <v>16</v>
      </c>
      <c r="E2222" s="16" t="s">
        <v>55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64</v>
      </c>
      <c r="D2223">
        <v>17</v>
      </c>
      <c r="E2223" s="16" t="s">
        <v>56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64</v>
      </c>
      <c r="D2224">
        <v>18</v>
      </c>
      <c r="E2224" s="16" t="s">
        <v>57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64</v>
      </c>
      <c r="D2225">
        <v>1</v>
      </c>
      <c r="E2225" s="16" t="s">
        <v>40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64</v>
      </c>
      <c r="D2226">
        <v>2</v>
      </c>
      <c r="E2226" s="16" t="s">
        <v>42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64</v>
      </c>
      <c r="D2227">
        <v>3</v>
      </c>
      <c r="E2227" s="16" t="s">
        <v>43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64</v>
      </c>
      <c r="D2228">
        <v>4</v>
      </c>
      <c r="E2228" s="16" t="s">
        <v>44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64</v>
      </c>
      <c r="D2229">
        <v>5</v>
      </c>
      <c r="E2229" s="16" t="s">
        <v>45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64</v>
      </c>
      <c r="D2230">
        <v>6</v>
      </c>
      <c r="E2230" s="16" t="s">
        <v>46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64</v>
      </c>
      <c r="D2231">
        <v>7</v>
      </c>
      <c r="E2231" s="16" t="s">
        <v>47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64</v>
      </c>
      <c r="D2232">
        <v>8</v>
      </c>
      <c r="E2232" s="16" t="s">
        <v>48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64</v>
      </c>
      <c r="D2233">
        <v>9</v>
      </c>
      <c r="E2233" s="16" t="s">
        <v>49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64</v>
      </c>
      <c r="D2234">
        <v>10</v>
      </c>
      <c r="E2234" s="16" t="s">
        <v>59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64</v>
      </c>
      <c r="D2235">
        <v>11</v>
      </c>
      <c r="E2235" s="16" t="s">
        <v>50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64</v>
      </c>
      <c r="D2236">
        <v>12</v>
      </c>
      <c r="E2236" s="16" t="s">
        <v>51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64</v>
      </c>
      <c r="D2237">
        <v>13</v>
      </c>
      <c r="E2237" s="16" t="s">
        <v>52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64</v>
      </c>
      <c r="D2238">
        <v>14</v>
      </c>
      <c r="E2238" s="16" t="s">
        <v>53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64</v>
      </c>
      <c r="D2239">
        <v>15</v>
      </c>
      <c r="E2239" s="16" t="s">
        <v>54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64</v>
      </c>
      <c r="D2240">
        <v>16</v>
      </c>
      <c r="E2240" s="16" t="s">
        <v>55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64</v>
      </c>
      <c r="D2241">
        <v>17</v>
      </c>
      <c r="E2241" s="16" t="s">
        <v>56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64</v>
      </c>
      <c r="D2242">
        <v>18</v>
      </c>
      <c r="E2242" s="16" t="s">
        <v>57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64</v>
      </c>
      <c r="D2243">
        <v>1</v>
      </c>
      <c r="E2243" s="16" t="s">
        <v>40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64</v>
      </c>
      <c r="D2244">
        <v>2</v>
      </c>
      <c r="E2244" s="16" t="s">
        <v>42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64</v>
      </c>
      <c r="D2245">
        <v>3</v>
      </c>
      <c r="E2245" s="16" t="s">
        <v>43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64</v>
      </c>
      <c r="D2246">
        <v>4</v>
      </c>
      <c r="E2246" s="16" t="s">
        <v>44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64</v>
      </c>
      <c r="D2247">
        <v>5</v>
      </c>
      <c r="E2247" s="16" t="s">
        <v>45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64</v>
      </c>
      <c r="D2248">
        <v>6</v>
      </c>
      <c r="E2248" s="16" t="s">
        <v>46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64</v>
      </c>
      <c r="D2249">
        <v>7</v>
      </c>
      <c r="E2249" s="16" t="s">
        <v>47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64</v>
      </c>
      <c r="D2250">
        <v>8</v>
      </c>
      <c r="E2250" s="16" t="s">
        <v>48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64</v>
      </c>
      <c r="D2251">
        <v>9</v>
      </c>
      <c r="E2251" s="16" t="s">
        <v>49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64</v>
      </c>
      <c r="D2252">
        <v>10</v>
      </c>
      <c r="E2252" s="16" t="s">
        <v>59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64</v>
      </c>
      <c r="D2253">
        <v>11</v>
      </c>
      <c r="E2253" s="16" t="s">
        <v>50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64</v>
      </c>
      <c r="D2254">
        <v>12</v>
      </c>
      <c r="E2254" s="16" t="s">
        <v>51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64</v>
      </c>
      <c r="D2255">
        <v>13</v>
      </c>
      <c r="E2255" s="16" t="s">
        <v>52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64</v>
      </c>
      <c r="D2256">
        <v>14</v>
      </c>
      <c r="E2256" s="16" t="s">
        <v>53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64</v>
      </c>
      <c r="D2257">
        <v>15</v>
      </c>
      <c r="E2257" s="16" t="s">
        <v>54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64</v>
      </c>
      <c r="D2258">
        <v>16</v>
      </c>
      <c r="E2258" s="16" t="s">
        <v>55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64</v>
      </c>
      <c r="D2259">
        <v>17</v>
      </c>
      <c r="E2259" s="16" t="s">
        <v>56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64</v>
      </c>
      <c r="D2260">
        <v>18</v>
      </c>
      <c r="E2260" s="16" t="s">
        <v>57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64</v>
      </c>
      <c r="D2261">
        <v>1</v>
      </c>
      <c r="E2261" s="16" t="s">
        <v>40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64</v>
      </c>
      <c r="D2262">
        <v>2</v>
      </c>
      <c r="E2262" s="16" t="s">
        <v>42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64</v>
      </c>
      <c r="D2263">
        <v>3</v>
      </c>
      <c r="E2263" s="16" t="s">
        <v>43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64</v>
      </c>
      <c r="D2264">
        <v>4</v>
      </c>
      <c r="E2264" s="16" t="s">
        <v>44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64</v>
      </c>
      <c r="D2265">
        <v>5</v>
      </c>
      <c r="E2265" s="16" t="s">
        <v>45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64</v>
      </c>
      <c r="D2266">
        <v>6</v>
      </c>
      <c r="E2266" s="16" t="s">
        <v>46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64</v>
      </c>
      <c r="D2267">
        <v>7</v>
      </c>
      <c r="E2267" s="16" t="s">
        <v>47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64</v>
      </c>
      <c r="D2268">
        <v>8</v>
      </c>
      <c r="E2268" s="16" t="s">
        <v>48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64</v>
      </c>
      <c r="D2269">
        <v>9</v>
      </c>
      <c r="E2269" s="16" t="s">
        <v>49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64</v>
      </c>
      <c r="D2270">
        <v>10</v>
      </c>
      <c r="E2270" s="16" t="s">
        <v>59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64</v>
      </c>
      <c r="D2271">
        <v>11</v>
      </c>
      <c r="E2271" s="16" t="s">
        <v>50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64</v>
      </c>
      <c r="D2272">
        <v>12</v>
      </c>
      <c r="E2272" s="16" t="s">
        <v>51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64</v>
      </c>
      <c r="D2273">
        <v>13</v>
      </c>
      <c r="E2273" s="16" t="s">
        <v>52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64</v>
      </c>
      <c r="D2274">
        <v>14</v>
      </c>
      <c r="E2274" s="16" t="s">
        <v>53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64</v>
      </c>
      <c r="D2275">
        <v>15</v>
      </c>
      <c r="E2275" s="16" t="s">
        <v>54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64</v>
      </c>
      <c r="D2276">
        <v>16</v>
      </c>
      <c r="E2276" s="16" t="s">
        <v>55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64</v>
      </c>
      <c r="D2277">
        <v>17</v>
      </c>
      <c r="E2277" s="16" t="s">
        <v>56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64</v>
      </c>
      <c r="D2278">
        <v>18</v>
      </c>
      <c r="E2278" s="16" t="s">
        <v>57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65</v>
      </c>
      <c r="D2279">
        <v>1</v>
      </c>
      <c r="E2279" s="16" t="s">
        <v>40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65</v>
      </c>
      <c r="D2280">
        <v>2</v>
      </c>
      <c r="E2280" s="16" t="s">
        <v>42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65</v>
      </c>
      <c r="D2281">
        <v>3</v>
      </c>
      <c r="E2281" s="16" t="s">
        <v>43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65</v>
      </c>
      <c r="D2282">
        <v>4</v>
      </c>
      <c r="E2282" s="16" t="s">
        <v>44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65</v>
      </c>
      <c r="D2283">
        <v>5</v>
      </c>
      <c r="E2283" s="16" t="s">
        <v>45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65</v>
      </c>
      <c r="D2284">
        <v>6</v>
      </c>
      <c r="E2284" s="16" t="s">
        <v>46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65</v>
      </c>
      <c r="D2285">
        <v>7</v>
      </c>
      <c r="E2285" s="16" t="s">
        <v>47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65</v>
      </c>
      <c r="D2286">
        <v>8</v>
      </c>
      <c r="E2286" s="16" t="s">
        <v>48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65</v>
      </c>
      <c r="D2287">
        <v>9</v>
      </c>
      <c r="E2287" s="16" t="s">
        <v>49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65</v>
      </c>
      <c r="D2288">
        <v>10</v>
      </c>
      <c r="E2288" s="16" t="s">
        <v>59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65</v>
      </c>
      <c r="D2289">
        <v>11</v>
      </c>
      <c r="E2289" s="16" t="s">
        <v>50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65</v>
      </c>
      <c r="D2290">
        <v>12</v>
      </c>
      <c r="E2290" s="16" t="s">
        <v>51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65</v>
      </c>
      <c r="D2291">
        <v>13</v>
      </c>
      <c r="E2291" s="16" t="s">
        <v>52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65</v>
      </c>
      <c r="D2292">
        <v>14</v>
      </c>
      <c r="E2292" s="16" t="s">
        <v>53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65</v>
      </c>
      <c r="D2293">
        <v>15</v>
      </c>
      <c r="E2293" s="16" t="s">
        <v>54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65</v>
      </c>
      <c r="D2294">
        <v>16</v>
      </c>
      <c r="E2294" s="16" t="s">
        <v>55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65</v>
      </c>
      <c r="D2295">
        <v>17</v>
      </c>
      <c r="E2295" s="16" t="s">
        <v>56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65</v>
      </c>
      <c r="D2296">
        <v>18</v>
      </c>
      <c r="E2296" s="16" t="s">
        <v>57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65</v>
      </c>
      <c r="D2297">
        <v>1</v>
      </c>
      <c r="E2297" s="16" t="s">
        <v>40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65</v>
      </c>
      <c r="D2298">
        <v>2</v>
      </c>
      <c r="E2298" s="16" t="s">
        <v>42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65</v>
      </c>
      <c r="D2299">
        <v>3</v>
      </c>
      <c r="E2299" s="16" t="s">
        <v>43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65</v>
      </c>
      <c r="D2300">
        <v>4</v>
      </c>
      <c r="E2300" s="16" t="s">
        <v>44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65</v>
      </c>
      <c r="D2301">
        <v>5</v>
      </c>
      <c r="E2301" s="16" t="s">
        <v>45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65</v>
      </c>
      <c r="D2302">
        <v>6</v>
      </c>
      <c r="E2302" s="16" t="s">
        <v>46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65</v>
      </c>
      <c r="D2303">
        <v>7</v>
      </c>
      <c r="E2303" s="16" t="s">
        <v>47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65</v>
      </c>
      <c r="D2304">
        <v>8</v>
      </c>
      <c r="E2304" s="16" t="s">
        <v>48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65</v>
      </c>
      <c r="D2305">
        <v>9</v>
      </c>
      <c r="E2305" s="16" t="s">
        <v>49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65</v>
      </c>
      <c r="D2306">
        <v>10</v>
      </c>
      <c r="E2306" s="16" t="s">
        <v>59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65</v>
      </c>
      <c r="D2307">
        <v>11</v>
      </c>
      <c r="E2307" s="16" t="s">
        <v>50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65</v>
      </c>
      <c r="D2308">
        <v>12</v>
      </c>
      <c r="E2308" s="16" t="s">
        <v>51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65</v>
      </c>
      <c r="D2309">
        <v>13</v>
      </c>
      <c r="E2309" s="16" t="s">
        <v>52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65</v>
      </c>
      <c r="D2310">
        <v>14</v>
      </c>
      <c r="E2310" s="16" t="s">
        <v>53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65</v>
      </c>
      <c r="D2311">
        <v>15</v>
      </c>
      <c r="E2311" s="16" t="s">
        <v>54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65</v>
      </c>
      <c r="D2312">
        <v>16</v>
      </c>
      <c r="E2312" s="16" t="s">
        <v>55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65</v>
      </c>
      <c r="D2313">
        <v>17</v>
      </c>
      <c r="E2313" s="16" t="s">
        <v>56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65</v>
      </c>
      <c r="D2314">
        <v>18</v>
      </c>
      <c r="E2314" s="16" t="s">
        <v>57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65</v>
      </c>
      <c r="D2315">
        <v>1</v>
      </c>
      <c r="E2315" s="16" t="s">
        <v>40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65</v>
      </c>
      <c r="D2316">
        <v>2</v>
      </c>
      <c r="E2316" s="16" t="s">
        <v>42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65</v>
      </c>
      <c r="D2317">
        <v>3</v>
      </c>
      <c r="E2317" s="16" t="s">
        <v>43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65</v>
      </c>
      <c r="D2318">
        <v>4</v>
      </c>
      <c r="E2318" s="16" t="s">
        <v>44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65</v>
      </c>
      <c r="D2319">
        <v>5</v>
      </c>
      <c r="E2319" s="16" t="s">
        <v>45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65</v>
      </c>
      <c r="D2320">
        <v>6</v>
      </c>
      <c r="E2320" s="16" t="s">
        <v>46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65</v>
      </c>
      <c r="D2321">
        <v>7</v>
      </c>
      <c r="E2321" s="16" t="s">
        <v>47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65</v>
      </c>
      <c r="D2322">
        <v>8</v>
      </c>
      <c r="E2322" s="16" t="s">
        <v>48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65</v>
      </c>
      <c r="D2323">
        <v>9</v>
      </c>
      <c r="E2323" s="16" t="s">
        <v>49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65</v>
      </c>
      <c r="D2324">
        <v>10</v>
      </c>
      <c r="E2324" s="16" t="s">
        <v>59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65</v>
      </c>
      <c r="D2325">
        <v>11</v>
      </c>
      <c r="E2325" s="16" t="s">
        <v>50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65</v>
      </c>
      <c r="D2326">
        <v>12</v>
      </c>
      <c r="E2326" s="16" t="s">
        <v>51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65</v>
      </c>
      <c r="D2327">
        <v>13</v>
      </c>
      <c r="E2327" s="16" t="s">
        <v>52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65</v>
      </c>
      <c r="D2328">
        <v>14</v>
      </c>
      <c r="E2328" s="16" t="s">
        <v>53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65</v>
      </c>
      <c r="D2329">
        <v>15</v>
      </c>
      <c r="E2329" s="16" t="s">
        <v>54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65</v>
      </c>
      <c r="D2330">
        <v>16</v>
      </c>
      <c r="E2330" s="16" t="s">
        <v>55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65</v>
      </c>
      <c r="D2331">
        <v>17</v>
      </c>
      <c r="E2331" s="16" t="s">
        <v>56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65</v>
      </c>
      <c r="D2332">
        <v>18</v>
      </c>
      <c r="E2332" s="16" t="s">
        <v>57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65</v>
      </c>
      <c r="D2333">
        <v>1</v>
      </c>
      <c r="E2333" s="16" t="s">
        <v>40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65</v>
      </c>
      <c r="D2334">
        <v>2</v>
      </c>
      <c r="E2334" s="16" t="s">
        <v>42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65</v>
      </c>
      <c r="D2335">
        <v>3</v>
      </c>
      <c r="E2335" s="16" t="s">
        <v>43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65</v>
      </c>
      <c r="D2336">
        <v>4</v>
      </c>
      <c r="E2336" s="16" t="s">
        <v>44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65</v>
      </c>
      <c r="D2337">
        <v>5</v>
      </c>
      <c r="E2337" s="16" t="s">
        <v>45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65</v>
      </c>
      <c r="D2338">
        <v>6</v>
      </c>
      <c r="E2338" s="16" t="s">
        <v>46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65</v>
      </c>
      <c r="D2339">
        <v>7</v>
      </c>
      <c r="E2339" s="16" t="s">
        <v>47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65</v>
      </c>
      <c r="D2340">
        <v>8</v>
      </c>
      <c r="E2340" s="16" t="s">
        <v>48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65</v>
      </c>
      <c r="D2341">
        <v>9</v>
      </c>
      <c r="E2341" s="16" t="s">
        <v>49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65</v>
      </c>
      <c r="D2342">
        <v>10</v>
      </c>
      <c r="E2342" s="16" t="s">
        <v>59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65</v>
      </c>
      <c r="D2343">
        <v>11</v>
      </c>
      <c r="E2343" s="16" t="s">
        <v>50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65</v>
      </c>
      <c r="D2344">
        <v>12</v>
      </c>
      <c r="E2344" s="16" t="s">
        <v>51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65</v>
      </c>
      <c r="D2345">
        <v>13</v>
      </c>
      <c r="E2345" s="16" t="s">
        <v>52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65</v>
      </c>
      <c r="D2346">
        <v>14</v>
      </c>
      <c r="E2346" s="16" t="s">
        <v>53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65</v>
      </c>
      <c r="D2347">
        <v>15</v>
      </c>
      <c r="E2347" s="16" t="s">
        <v>54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65</v>
      </c>
      <c r="D2348">
        <v>16</v>
      </c>
      <c r="E2348" s="16" t="s">
        <v>55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65</v>
      </c>
      <c r="D2349">
        <v>17</v>
      </c>
      <c r="E2349" s="16" t="s">
        <v>56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65</v>
      </c>
      <c r="D2350">
        <v>18</v>
      </c>
      <c r="E2350" s="16" t="s">
        <v>57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65</v>
      </c>
      <c r="D2351">
        <v>1</v>
      </c>
      <c r="E2351" s="16" t="s">
        <v>40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65</v>
      </c>
      <c r="D2352">
        <v>2</v>
      </c>
      <c r="E2352" s="16" t="s">
        <v>42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65</v>
      </c>
      <c r="D2353">
        <v>3</v>
      </c>
      <c r="E2353" s="16" t="s">
        <v>43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65</v>
      </c>
      <c r="D2354">
        <v>4</v>
      </c>
      <c r="E2354" s="16" t="s">
        <v>44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65</v>
      </c>
      <c r="D2355">
        <v>5</v>
      </c>
      <c r="E2355" s="16" t="s">
        <v>45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65</v>
      </c>
      <c r="D2356">
        <v>6</v>
      </c>
      <c r="E2356" s="16" t="s">
        <v>46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65</v>
      </c>
      <c r="D2357">
        <v>7</v>
      </c>
      <c r="E2357" s="16" t="s">
        <v>47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65</v>
      </c>
      <c r="D2358">
        <v>8</v>
      </c>
      <c r="E2358" s="16" t="s">
        <v>48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65</v>
      </c>
      <c r="D2359">
        <v>9</v>
      </c>
      <c r="E2359" s="16" t="s">
        <v>49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65</v>
      </c>
      <c r="D2360">
        <v>10</v>
      </c>
      <c r="E2360" s="16" t="s">
        <v>59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65</v>
      </c>
      <c r="D2361">
        <v>11</v>
      </c>
      <c r="E2361" s="16" t="s">
        <v>50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65</v>
      </c>
      <c r="D2362">
        <v>12</v>
      </c>
      <c r="E2362" s="16" t="s">
        <v>51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65</v>
      </c>
      <c r="D2363">
        <v>13</v>
      </c>
      <c r="E2363" s="16" t="s">
        <v>52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65</v>
      </c>
      <c r="D2364">
        <v>14</v>
      </c>
      <c r="E2364" s="16" t="s">
        <v>53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65</v>
      </c>
      <c r="D2365">
        <v>15</v>
      </c>
      <c r="E2365" s="16" t="s">
        <v>54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65</v>
      </c>
      <c r="D2366">
        <v>16</v>
      </c>
      <c r="E2366" s="16" t="s">
        <v>55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65</v>
      </c>
      <c r="D2367">
        <v>17</v>
      </c>
      <c r="E2367" s="16" t="s">
        <v>56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65</v>
      </c>
      <c r="D2368">
        <v>18</v>
      </c>
      <c r="E2368" s="16" t="s">
        <v>57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65</v>
      </c>
      <c r="D2369">
        <v>1</v>
      </c>
      <c r="E2369" s="16" t="s">
        <v>40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65</v>
      </c>
      <c r="D2370">
        <v>2</v>
      </c>
      <c r="E2370" s="16" t="s">
        <v>42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65</v>
      </c>
      <c r="D2371">
        <v>3</v>
      </c>
      <c r="E2371" s="16" t="s">
        <v>43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65</v>
      </c>
      <c r="D2372">
        <v>4</v>
      </c>
      <c r="E2372" s="16" t="s">
        <v>44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65</v>
      </c>
      <c r="D2373">
        <v>5</v>
      </c>
      <c r="E2373" s="16" t="s">
        <v>45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65</v>
      </c>
      <c r="D2374">
        <v>6</v>
      </c>
      <c r="E2374" s="16" t="s">
        <v>46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65</v>
      </c>
      <c r="D2375">
        <v>7</v>
      </c>
      <c r="E2375" s="16" t="s">
        <v>47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65</v>
      </c>
      <c r="D2376">
        <v>8</v>
      </c>
      <c r="E2376" s="16" t="s">
        <v>48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65</v>
      </c>
      <c r="D2377">
        <v>9</v>
      </c>
      <c r="E2377" s="16" t="s">
        <v>49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65</v>
      </c>
      <c r="D2378">
        <v>10</v>
      </c>
      <c r="E2378" s="16" t="s">
        <v>59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65</v>
      </c>
      <c r="D2379">
        <v>11</v>
      </c>
      <c r="E2379" s="16" t="s">
        <v>50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65</v>
      </c>
      <c r="D2380">
        <v>12</v>
      </c>
      <c r="E2380" s="16" t="s">
        <v>51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65</v>
      </c>
      <c r="D2381">
        <v>13</v>
      </c>
      <c r="E2381" s="16" t="s">
        <v>52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65</v>
      </c>
      <c r="D2382">
        <v>14</v>
      </c>
      <c r="E2382" s="16" t="s">
        <v>53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65</v>
      </c>
      <c r="D2383">
        <v>15</v>
      </c>
      <c r="E2383" s="16" t="s">
        <v>54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65</v>
      </c>
      <c r="D2384">
        <v>16</v>
      </c>
      <c r="E2384" s="16" t="s">
        <v>55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65</v>
      </c>
      <c r="D2385">
        <v>17</v>
      </c>
      <c r="E2385" s="16" t="s">
        <v>56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65</v>
      </c>
      <c r="D2386">
        <v>18</v>
      </c>
      <c r="E2386" s="16" t="s">
        <v>57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65</v>
      </c>
      <c r="D2387">
        <v>1</v>
      </c>
      <c r="E2387" s="16" t="s">
        <v>40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65</v>
      </c>
      <c r="D2388">
        <v>2</v>
      </c>
      <c r="E2388" s="16" t="s">
        <v>42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65</v>
      </c>
      <c r="D2389">
        <v>3</v>
      </c>
      <c r="E2389" s="16" t="s">
        <v>43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65</v>
      </c>
      <c r="D2390">
        <v>4</v>
      </c>
      <c r="E2390" s="16" t="s">
        <v>44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65</v>
      </c>
      <c r="D2391">
        <v>5</v>
      </c>
      <c r="E2391" s="16" t="s">
        <v>45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65</v>
      </c>
      <c r="D2392">
        <v>6</v>
      </c>
      <c r="E2392" s="16" t="s">
        <v>46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65</v>
      </c>
      <c r="D2393">
        <v>7</v>
      </c>
      <c r="E2393" s="16" t="s">
        <v>47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65</v>
      </c>
      <c r="D2394">
        <v>8</v>
      </c>
      <c r="E2394" s="16" t="s">
        <v>48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65</v>
      </c>
      <c r="D2395">
        <v>9</v>
      </c>
      <c r="E2395" s="16" t="s">
        <v>49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65</v>
      </c>
      <c r="D2396">
        <v>10</v>
      </c>
      <c r="E2396" s="16" t="s">
        <v>59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65</v>
      </c>
      <c r="D2397">
        <v>11</v>
      </c>
      <c r="E2397" s="16" t="s">
        <v>50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65</v>
      </c>
      <c r="D2398">
        <v>12</v>
      </c>
      <c r="E2398" s="16" t="s">
        <v>51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65</v>
      </c>
      <c r="D2399">
        <v>13</v>
      </c>
      <c r="E2399" s="16" t="s">
        <v>52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65</v>
      </c>
      <c r="D2400">
        <v>14</v>
      </c>
      <c r="E2400" s="16" t="s">
        <v>53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65</v>
      </c>
      <c r="D2401">
        <v>15</v>
      </c>
      <c r="E2401" s="16" t="s">
        <v>54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65</v>
      </c>
      <c r="D2402">
        <v>16</v>
      </c>
      <c r="E2402" s="16" t="s">
        <v>55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65</v>
      </c>
      <c r="D2403">
        <v>17</v>
      </c>
      <c r="E2403" s="16" t="s">
        <v>56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65</v>
      </c>
      <c r="D2404">
        <v>18</v>
      </c>
      <c r="E2404" s="16" t="s">
        <v>57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65</v>
      </c>
      <c r="D2405">
        <v>1</v>
      </c>
      <c r="E2405" s="16" t="s">
        <v>40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65</v>
      </c>
      <c r="D2406">
        <v>2</v>
      </c>
      <c r="E2406" s="16" t="s">
        <v>42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65</v>
      </c>
      <c r="D2407">
        <v>3</v>
      </c>
      <c r="E2407" s="16" t="s">
        <v>43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65</v>
      </c>
      <c r="D2408">
        <v>4</v>
      </c>
      <c r="E2408" s="16" t="s">
        <v>44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65</v>
      </c>
      <c r="D2409">
        <v>5</v>
      </c>
      <c r="E2409" s="16" t="s">
        <v>45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65</v>
      </c>
      <c r="D2410">
        <v>6</v>
      </c>
      <c r="E2410" s="16" t="s">
        <v>46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65</v>
      </c>
      <c r="D2411">
        <v>7</v>
      </c>
      <c r="E2411" s="16" t="s">
        <v>47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65</v>
      </c>
      <c r="D2412">
        <v>8</v>
      </c>
      <c r="E2412" s="16" t="s">
        <v>48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65</v>
      </c>
      <c r="D2413">
        <v>9</v>
      </c>
      <c r="E2413" s="16" t="s">
        <v>49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65</v>
      </c>
      <c r="D2414">
        <v>10</v>
      </c>
      <c r="E2414" s="16" t="s">
        <v>59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65</v>
      </c>
      <c r="D2415">
        <v>11</v>
      </c>
      <c r="E2415" s="16" t="s">
        <v>50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65</v>
      </c>
      <c r="D2416">
        <v>12</v>
      </c>
      <c r="E2416" s="16" t="s">
        <v>51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65</v>
      </c>
      <c r="D2417">
        <v>13</v>
      </c>
      <c r="E2417" s="16" t="s">
        <v>52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65</v>
      </c>
      <c r="D2418">
        <v>14</v>
      </c>
      <c r="E2418" s="16" t="s">
        <v>53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65</v>
      </c>
      <c r="D2419">
        <v>15</v>
      </c>
      <c r="E2419" s="16" t="s">
        <v>54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65</v>
      </c>
      <c r="D2420">
        <v>16</v>
      </c>
      <c r="E2420" s="16" t="s">
        <v>55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65</v>
      </c>
      <c r="D2421">
        <v>17</v>
      </c>
      <c r="E2421" s="16" t="s">
        <v>56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65</v>
      </c>
      <c r="D2422">
        <v>18</v>
      </c>
      <c r="E2422" s="16" t="s">
        <v>57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65</v>
      </c>
      <c r="D2423">
        <v>1</v>
      </c>
      <c r="E2423" s="16" t="s">
        <v>40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65</v>
      </c>
      <c r="D2424">
        <v>2</v>
      </c>
      <c r="E2424" s="16" t="s">
        <v>42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65</v>
      </c>
      <c r="D2425">
        <v>3</v>
      </c>
      <c r="E2425" s="16" t="s">
        <v>43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65</v>
      </c>
      <c r="D2426">
        <v>4</v>
      </c>
      <c r="E2426" s="16" t="s">
        <v>44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65</v>
      </c>
      <c r="D2427">
        <v>5</v>
      </c>
      <c r="E2427" s="16" t="s">
        <v>45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65</v>
      </c>
      <c r="D2428">
        <v>6</v>
      </c>
      <c r="E2428" s="16" t="s">
        <v>46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65</v>
      </c>
      <c r="D2429">
        <v>7</v>
      </c>
      <c r="E2429" s="16" t="s">
        <v>47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65</v>
      </c>
      <c r="D2430">
        <v>8</v>
      </c>
      <c r="E2430" s="16" t="s">
        <v>48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65</v>
      </c>
      <c r="D2431">
        <v>9</v>
      </c>
      <c r="E2431" s="16" t="s">
        <v>49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65</v>
      </c>
      <c r="D2432">
        <v>10</v>
      </c>
      <c r="E2432" s="16" t="s">
        <v>59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65</v>
      </c>
      <c r="D2433">
        <v>11</v>
      </c>
      <c r="E2433" s="16" t="s">
        <v>50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65</v>
      </c>
      <c r="D2434">
        <v>12</v>
      </c>
      <c r="E2434" s="16" t="s">
        <v>51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65</v>
      </c>
      <c r="D2435">
        <v>13</v>
      </c>
      <c r="E2435" s="16" t="s">
        <v>52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65</v>
      </c>
      <c r="D2436">
        <v>14</v>
      </c>
      <c r="E2436" s="16" t="s">
        <v>53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65</v>
      </c>
      <c r="D2437">
        <v>15</v>
      </c>
      <c r="E2437" s="16" t="s">
        <v>54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65</v>
      </c>
      <c r="D2438">
        <v>16</v>
      </c>
      <c r="E2438" s="16" t="s">
        <v>55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65</v>
      </c>
      <c r="D2439">
        <v>17</v>
      </c>
      <c r="E2439" s="16" t="s">
        <v>56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65</v>
      </c>
      <c r="D2440">
        <v>18</v>
      </c>
      <c r="E2440" s="16" t="s">
        <v>57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65</v>
      </c>
      <c r="D2441">
        <v>1</v>
      </c>
      <c r="E2441" s="16" t="s">
        <v>40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65</v>
      </c>
      <c r="D2442">
        <v>2</v>
      </c>
      <c r="E2442" s="16" t="s">
        <v>42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65</v>
      </c>
      <c r="D2443">
        <v>3</v>
      </c>
      <c r="E2443" s="16" t="s">
        <v>43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65</v>
      </c>
      <c r="D2444">
        <v>4</v>
      </c>
      <c r="E2444" s="16" t="s">
        <v>44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65</v>
      </c>
      <c r="D2445">
        <v>5</v>
      </c>
      <c r="E2445" s="16" t="s">
        <v>45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65</v>
      </c>
      <c r="D2446">
        <v>6</v>
      </c>
      <c r="E2446" s="16" t="s">
        <v>46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65</v>
      </c>
      <c r="D2447">
        <v>7</v>
      </c>
      <c r="E2447" s="16" t="s">
        <v>47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65</v>
      </c>
      <c r="D2448">
        <v>8</v>
      </c>
      <c r="E2448" s="16" t="s">
        <v>48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65</v>
      </c>
      <c r="D2449">
        <v>9</v>
      </c>
      <c r="E2449" s="16" t="s">
        <v>49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65</v>
      </c>
      <c r="D2450">
        <v>10</v>
      </c>
      <c r="E2450" s="16" t="s">
        <v>59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65</v>
      </c>
      <c r="D2451">
        <v>11</v>
      </c>
      <c r="E2451" s="16" t="s">
        <v>50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65</v>
      </c>
      <c r="D2452">
        <v>12</v>
      </c>
      <c r="E2452" s="16" t="s">
        <v>51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65</v>
      </c>
      <c r="D2453">
        <v>13</v>
      </c>
      <c r="E2453" s="16" t="s">
        <v>52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65</v>
      </c>
      <c r="D2454">
        <v>14</v>
      </c>
      <c r="E2454" s="16" t="s">
        <v>53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65</v>
      </c>
      <c r="D2455">
        <v>15</v>
      </c>
      <c r="E2455" s="16" t="s">
        <v>54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65</v>
      </c>
      <c r="D2456">
        <v>16</v>
      </c>
      <c r="E2456" s="16" t="s">
        <v>55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65</v>
      </c>
      <c r="D2457">
        <v>17</v>
      </c>
      <c r="E2457" s="16" t="s">
        <v>56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65</v>
      </c>
      <c r="D2458">
        <v>18</v>
      </c>
      <c r="E2458" s="16" t="s">
        <v>57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65</v>
      </c>
      <c r="D2459">
        <v>1</v>
      </c>
      <c r="E2459" s="16" t="s">
        <v>40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65</v>
      </c>
      <c r="D2460">
        <v>2</v>
      </c>
      <c r="E2460" s="16" t="s">
        <v>42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65</v>
      </c>
      <c r="D2461">
        <v>3</v>
      </c>
      <c r="E2461" s="16" t="s">
        <v>43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65</v>
      </c>
      <c r="D2462">
        <v>4</v>
      </c>
      <c r="E2462" s="16" t="s">
        <v>44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65</v>
      </c>
      <c r="D2463">
        <v>5</v>
      </c>
      <c r="E2463" s="16" t="s">
        <v>45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65</v>
      </c>
      <c r="D2464">
        <v>6</v>
      </c>
      <c r="E2464" s="16" t="s">
        <v>46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65</v>
      </c>
      <c r="D2465">
        <v>7</v>
      </c>
      <c r="E2465" s="16" t="s">
        <v>47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65</v>
      </c>
      <c r="D2466">
        <v>8</v>
      </c>
      <c r="E2466" s="16" t="s">
        <v>48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65</v>
      </c>
      <c r="D2467">
        <v>9</v>
      </c>
      <c r="E2467" s="16" t="s">
        <v>49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65</v>
      </c>
      <c r="D2468">
        <v>10</v>
      </c>
      <c r="E2468" s="16" t="s">
        <v>59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65</v>
      </c>
      <c r="D2469">
        <v>11</v>
      </c>
      <c r="E2469" s="16" t="s">
        <v>50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65</v>
      </c>
      <c r="D2470">
        <v>12</v>
      </c>
      <c r="E2470" s="16" t="s">
        <v>51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65</v>
      </c>
      <c r="D2471">
        <v>13</v>
      </c>
      <c r="E2471" s="16" t="s">
        <v>52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65</v>
      </c>
      <c r="D2472">
        <v>14</v>
      </c>
      <c r="E2472" s="16" t="s">
        <v>53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65</v>
      </c>
      <c r="D2473">
        <v>15</v>
      </c>
      <c r="E2473" s="16" t="s">
        <v>54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65</v>
      </c>
      <c r="D2474">
        <v>16</v>
      </c>
      <c r="E2474" s="16" t="s">
        <v>55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65</v>
      </c>
      <c r="D2475">
        <v>17</v>
      </c>
      <c r="E2475" s="16" t="s">
        <v>56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65</v>
      </c>
      <c r="D2476">
        <v>18</v>
      </c>
      <c r="E2476" s="16" t="s">
        <v>57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65</v>
      </c>
      <c r="D2477">
        <v>1</v>
      </c>
      <c r="E2477" s="16" t="s">
        <v>40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65</v>
      </c>
      <c r="D2478">
        <v>2</v>
      </c>
      <c r="E2478" s="16" t="s">
        <v>42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65</v>
      </c>
      <c r="D2479">
        <v>3</v>
      </c>
      <c r="E2479" s="16" t="s">
        <v>43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65</v>
      </c>
      <c r="D2480">
        <v>4</v>
      </c>
      <c r="E2480" s="16" t="s">
        <v>44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65</v>
      </c>
      <c r="D2481">
        <v>5</v>
      </c>
      <c r="E2481" s="16" t="s">
        <v>45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65</v>
      </c>
      <c r="D2482">
        <v>6</v>
      </c>
      <c r="E2482" s="16" t="s">
        <v>46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65</v>
      </c>
      <c r="D2483">
        <v>7</v>
      </c>
      <c r="E2483" s="16" t="s">
        <v>47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65</v>
      </c>
      <c r="D2484">
        <v>8</v>
      </c>
      <c r="E2484" s="16" t="s">
        <v>48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65</v>
      </c>
      <c r="D2485">
        <v>9</v>
      </c>
      <c r="E2485" s="16" t="s">
        <v>49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65</v>
      </c>
      <c r="D2486">
        <v>10</v>
      </c>
      <c r="E2486" s="16" t="s">
        <v>59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65</v>
      </c>
      <c r="D2487">
        <v>11</v>
      </c>
      <c r="E2487" s="16" t="s">
        <v>50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65</v>
      </c>
      <c r="D2488">
        <v>12</v>
      </c>
      <c r="E2488" s="16" t="s">
        <v>51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65</v>
      </c>
      <c r="D2489">
        <v>13</v>
      </c>
      <c r="E2489" s="16" t="s">
        <v>52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65</v>
      </c>
      <c r="D2490">
        <v>14</v>
      </c>
      <c r="E2490" s="16" t="s">
        <v>53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65</v>
      </c>
      <c r="D2491">
        <v>15</v>
      </c>
      <c r="E2491" s="16" t="s">
        <v>54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65</v>
      </c>
      <c r="D2492">
        <v>16</v>
      </c>
      <c r="E2492" s="16" t="s">
        <v>55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65</v>
      </c>
      <c r="D2493">
        <v>17</v>
      </c>
      <c r="E2493" s="16" t="s">
        <v>56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65</v>
      </c>
      <c r="D2494">
        <v>18</v>
      </c>
      <c r="E2494" s="16" t="s">
        <v>57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65</v>
      </c>
      <c r="D2495">
        <v>1</v>
      </c>
      <c r="E2495" s="16" t="s">
        <v>40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65</v>
      </c>
      <c r="D2496">
        <v>2</v>
      </c>
      <c r="E2496" s="16" t="s">
        <v>42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65</v>
      </c>
      <c r="D2497">
        <v>3</v>
      </c>
      <c r="E2497" s="16" t="s">
        <v>43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65</v>
      </c>
      <c r="D2498">
        <v>4</v>
      </c>
      <c r="E2498" s="16" t="s">
        <v>44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65</v>
      </c>
      <c r="D2499">
        <v>5</v>
      </c>
      <c r="E2499" s="16" t="s">
        <v>45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65</v>
      </c>
      <c r="D2500">
        <v>6</v>
      </c>
      <c r="E2500" s="16" t="s">
        <v>46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65</v>
      </c>
      <c r="D2501">
        <v>7</v>
      </c>
      <c r="E2501" s="16" t="s">
        <v>47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65</v>
      </c>
      <c r="D2502">
        <v>8</v>
      </c>
      <c r="E2502" s="16" t="s">
        <v>48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65</v>
      </c>
      <c r="D2503">
        <v>9</v>
      </c>
      <c r="E2503" s="16" t="s">
        <v>49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65</v>
      </c>
      <c r="D2504">
        <v>10</v>
      </c>
      <c r="E2504" s="16" t="s">
        <v>59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65</v>
      </c>
      <c r="D2505">
        <v>11</v>
      </c>
      <c r="E2505" s="16" t="s">
        <v>50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65</v>
      </c>
      <c r="D2506">
        <v>12</v>
      </c>
      <c r="E2506" s="16" t="s">
        <v>51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65</v>
      </c>
      <c r="D2507">
        <v>13</v>
      </c>
      <c r="E2507" s="16" t="s">
        <v>52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65</v>
      </c>
      <c r="D2508">
        <v>14</v>
      </c>
      <c r="E2508" s="16" t="s">
        <v>53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65</v>
      </c>
      <c r="D2509">
        <v>15</v>
      </c>
      <c r="E2509" s="16" t="s">
        <v>54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65</v>
      </c>
      <c r="D2510">
        <v>16</v>
      </c>
      <c r="E2510" s="16" t="s">
        <v>55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65</v>
      </c>
      <c r="D2511">
        <v>17</v>
      </c>
      <c r="E2511" s="16" t="s">
        <v>56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65</v>
      </c>
      <c r="D2512">
        <v>18</v>
      </c>
      <c r="E2512" s="16" t="s">
        <v>57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65</v>
      </c>
      <c r="D2513">
        <v>1</v>
      </c>
      <c r="E2513" s="16" t="s">
        <v>40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65</v>
      </c>
      <c r="D2514">
        <v>2</v>
      </c>
      <c r="E2514" s="16" t="s">
        <v>42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65</v>
      </c>
      <c r="D2515">
        <v>3</v>
      </c>
      <c r="E2515" s="16" t="s">
        <v>43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65</v>
      </c>
      <c r="D2516">
        <v>4</v>
      </c>
      <c r="E2516" s="16" t="s">
        <v>44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65</v>
      </c>
      <c r="D2517">
        <v>5</v>
      </c>
      <c r="E2517" s="16" t="s">
        <v>45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65</v>
      </c>
      <c r="D2518">
        <v>6</v>
      </c>
      <c r="E2518" s="16" t="s">
        <v>46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65</v>
      </c>
      <c r="D2519">
        <v>7</v>
      </c>
      <c r="E2519" s="16" t="s">
        <v>47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65</v>
      </c>
      <c r="D2520">
        <v>8</v>
      </c>
      <c r="E2520" s="16" t="s">
        <v>48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65</v>
      </c>
      <c r="D2521">
        <v>9</v>
      </c>
      <c r="E2521" s="16" t="s">
        <v>49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65</v>
      </c>
      <c r="D2522">
        <v>10</v>
      </c>
      <c r="E2522" s="16" t="s">
        <v>59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65</v>
      </c>
      <c r="D2523">
        <v>11</v>
      </c>
      <c r="E2523" s="16" t="s">
        <v>50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65</v>
      </c>
      <c r="D2524">
        <v>12</v>
      </c>
      <c r="E2524" s="16" t="s">
        <v>51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65</v>
      </c>
      <c r="D2525">
        <v>13</v>
      </c>
      <c r="E2525" s="16" t="s">
        <v>52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65</v>
      </c>
      <c r="D2526">
        <v>14</v>
      </c>
      <c r="E2526" s="16" t="s">
        <v>53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65</v>
      </c>
      <c r="D2527">
        <v>15</v>
      </c>
      <c r="E2527" s="16" t="s">
        <v>54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65</v>
      </c>
      <c r="D2528">
        <v>16</v>
      </c>
      <c r="E2528" s="16" t="s">
        <v>55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65</v>
      </c>
      <c r="D2529">
        <v>17</v>
      </c>
      <c r="E2529" s="16" t="s">
        <v>56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65</v>
      </c>
      <c r="D2530">
        <v>18</v>
      </c>
      <c r="E2530" s="16" t="s">
        <v>57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65</v>
      </c>
      <c r="D2531">
        <v>1</v>
      </c>
      <c r="E2531" s="16" t="s">
        <v>40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65</v>
      </c>
      <c r="D2532">
        <v>2</v>
      </c>
      <c r="E2532" s="16" t="s">
        <v>42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65</v>
      </c>
      <c r="D2533">
        <v>3</v>
      </c>
      <c r="E2533" s="16" t="s">
        <v>43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65</v>
      </c>
      <c r="D2534">
        <v>4</v>
      </c>
      <c r="E2534" s="16" t="s">
        <v>44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65</v>
      </c>
      <c r="D2535">
        <v>5</v>
      </c>
      <c r="E2535" s="16" t="s">
        <v>45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65</v>
      </c>
      <c r="D2536">
        <v>6</v>
      </c>
      <c r="E2536" s="16" t="s">
        <v>46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65</v>
      </c>
      <c r="D2537">
        <v>7</v>
      </c>
      <c r="E2537" s="16" t="s">
        <v>47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65</v>
      </c>
      <c r="D2538">
        <v>8</v>
      </c>
      <c r="E2538" s="16" t="s">
        <v>48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65</v>
      </c>
      <c r="D2539">
        <v>9</v>
      </c>
      <c r="E2539" s="16" t="s">
        <v>49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65</v>
      </c>
      <c r="D2540">
        <v>10</v>
      </c>
      <c r="E2540" s="16" t="s">
        <v>59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65</v>
      </c>
      <c r="D2541">
        <v>11</v>
      </c>
      <c r="E2541" s="16" t="s">
        <v>50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65</v>
      </c>
      <c r="D2542">
        <v>12</v>
      </c>
      <c r="E2542" s="16" t="s">
        <v>51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65</v>
      </c>
      <c r="D2543">
        <v>13</v>
      </c>
      <c r="E2543" s="16" t="s">
        <v>52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65</v>
      </c>
      <c r="D2544">
        <v>14</v>
      </c>
      <c r="E2544" s="16" t="s">
        <v>53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65</v>
      </c>
      <c r="D2545">
        <v>15</v>
      </c>
      <c r="E2545" s="16" t="s">
        <v>54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65</v>
      </c>
      <c r="D2546">
        <v>16</v>
      </c>
      <c r="E2546" s="16" t="s">
        <v>55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65</v>
      </c>
      <c r="D2547">
        <v>17</v>
      </c>
      <c r="E2547" s="16" t="s">
        <v>56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65</v>
      </c>
      <c r="D2548">
        <v>18</v>
      </c>
      <c r="E2548" s="16" t="s">
        <v>57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65</v>
      </c>
      <c r="D2549">
        <v>1</v>
      </c>
      <c r="E2549" s="16" t="s">
        <v>40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65</v>
      </c>
      <c r="D2550">
        <v>2</v>
      </c>
      <c r="E2550" s="16" t="s">
        <v>42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65</v>
      </c>
      <c r="D2551">
        <v>3</v>
      </c>
      <c r="E2551" s="16" t="s">
        <v>43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65</v>
      </c>
      <c r="D2552">
        <v>4</v>
      </c>
      <c r="E2552" s="16" t="s">
        <v>44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65</v>
      </c>
      <c r="D2553">
        <v>5</v>
      </c>
      <c r="E2553" s="16" t="s">
        <v>45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65</v>
      </c>
      <c r="D2554">
        <v>6</v>
      </c>
      <c r="E2554" s="16" t="s">
        <v>46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65</v>
      </c>
      <c r="D2555">
        <v>7</v>
      </c>
      <c r="E2555" s="16" t="s">
        <v>47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65</v>
      </c>
      <c r="D2556">
        <v>8</v>
      </c>
      <c r="E2556" s="16" t="s">
        <v>48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65</v>
      </c>
      <c r="D2557">
        <v>9</v>
      </c>
      <c r="E2557" s="16" t="s">
        <v>49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65</v>
      </c>
      <c r="D2558">
        <v>10</v>
      </c>
      <c r="E2558" s="16" t="s">
        <v>59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65</v>
      </c>
      <c r="D2559">
        <v>11</v>
      </c>
      <c r="E2559" s="16" t="s">
        <v>50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65</v>
      </c>
      <c r="D2560">
        <v>12</v>
      </c>
      <c r="E2560" s="16" t="s">
        <v>51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65</v>
      </c>
      <c r="D2561">
        <v>13</v>
      </c>
      <c r="E2561" s="16" t="s">
        <v>52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65</v>
      </c>
      <c r="D2562">
        <v>14</v>
      </c>
      <c r="E2562" s="16" t="s">
        <v>53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65</v>
      </c>
      <c r="D2563">
        <v>15</v>
      </c>
      <c r="E2563" s="16" t="s">
        <v>54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65</v>
      </c>
      <c r="D2564">
        <v>16</v>
      </c>
      <c r="E2564" s="16" t="s">
        <v>55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65</v>
      </c>
      <c r="D2565">
        <v>17</v>
      </c>
      <c r="E2565" s="16" t="s">
        <v>56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65</v>
      </c>
      <c r="D2566">
        <v>18</v>
      </c>
      <c r="E2566" s="16" t="s">
        <v>57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65</v>
      </c>
      <c r="D2567">
        <v>1</v>
      </c>
      <c r="E2567" s="16" t="s">
        <v>40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65</v>
      </c>
      <c r="D2568">
        <v>2</v>
      </c>
      <c r="E2568" s="16" t="s">
        <v>42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65</v>
      </c>
      <c r="D2569">
        <v>3</v>
      </c>
      <c r="E2569" s="16" t="s">
        <v>43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65</v>
      </c>
      <c r="D2570">
        <v>4</v>
      </c>
      <c r="E2570" s="16" t="s">
        <v>44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65</v>
      </c>
      <c r="D2571">
        <v>5</v>
      </c>
      <c r="E2571" s="16" t="s">
        <v>45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65</v>
      </c>
      <c r="D2572">
        <v>6</v>
      </c>
      <c r="E2572" s="16" t="s">
        <v>46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65</v>
      </c>
      <c r="D2573">
        <v>7</v>
      </c>
      <c r="E2573" s="16" t="s">
        <v>47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65</v>
      </c>
      <c r="D2574">
        <v>8</v>
      </c>
      <c r="E2574" s="16" t="s">
        <v>48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65</v>
      </c>
      <c r="D2575">
        <v>9</v>
      </c>
      <c r="E2575" s="16" t="s">
        <v>49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65</v>
      </c>
      <c r="D2576">
        <v>10</v>
      </c>
      <c r="E2576" s="16" t="s">
        <v>59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65</v>
      </c>
      <c r="D2577">
        <v>11</v>
      </c>
      <c r="E2577" s="16" t="s">
        <v>50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65</v>
      </c>
      <c r="D2578">
        <v>12</v>
      </c>
      <c r="E2578" s="16" t="s">
        <v>51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65</v>
      </c>
      <c r="D2579">
        <v>13</v>
      </c>
      <c r="E2579" s="16" t="s">
        <v>52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65</v>
      </c>
      <c r="D2580">
        <v>14</v>
      </c>
      <c r="E2580" s="16" t="s">
        <v>53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65</v>
      </c>
      <c r="D2581">
        <v>15</v>
      </c>
      <c r="E2581" s="16" t="s">
        <v>54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65</v>
      </c>
      <c r="D2582">
        <v>16</v>
      </c>
      <c r="E2582" s="16" t="s">
        <v>55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65</v>
      </c>
      <c r="D2583">
        <v>17</v>
      </c>
      <c r="E2583" s="16" t="s">
        <v>56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65</v>
      </c>
      <c r="D2584">
        <v>18</v>
      </c>
      <c r="E2584" s="16" t="s">
        <v>57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65</v>
      </c>
      <c r="D2585">
        <v>1</v>
      </c>
      <c r="E2585" s="16" t="s">
        <v>40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65</v>
      </c>
      <c r="D2586">
        <v>2</v>
      </c>
      <c r="E2586" s="16" t="s">
        <v>42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65</v>
      </c>
      <c r="D2587">
        <v>3</v>
      </c>
      <c r="E2587" s="16" t="s">
        <v>43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65</v>
      </c>
      <c r="D2588">
        <v>4</v>
      </c>
      <c r="E2588" s="16" t="s">
        <v>44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65</v>
      </c>
      <c r="D2589">
        <v>5</v>
      </c>
      <c r="E2589" s="16" t="s">
        <v>45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65</v>
      </c>
      <c r="D2590">
        <v>6</v>
      </c>
      <c r="E2590" s="16" t="s">
        <v>46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65</v>
      </c>
      <c r="D2591">
        <v>7</v>
      </c>
      <c r="E2591" s="16" t="s">
        <v>47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65</v>
      </c>
      <c r="D2592">
        <v>8</v>
      </c>
      <c r="E2592" s="16" t="s">
        <v>48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65</v>
      </c>
      <c r="D2593">
        <v>9</v>
      </c>
      <c r="E2593" s="16" t="s">
        <v>49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65</v>
      </c>
      <c r="D2594">
        <v>10</v>
      </c>
      <c r="E2594" s="16" t="s">
        <v>59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65</v>
      </c>
      <c r="D2595">
        <v>11</v>
      </c>
      <c r="E2595" s="16" t="s">
        <v>50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65</v>
      </c>
      <c r="D2596">
        <v>12</v>
      </c>
      <c r="E2596" s="16" t="s">
        <v>51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65</v>
      </c>
      <c r="D2597">
        <v>13</v>
      </c>
      <c r="E2597" s="16" t="s">
        <v>52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65</v>
      </c>
      <c r="D2598">
        <v>14</v>
      </c>
      <c r="E2598" s="16" t="s">
        <v>53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65</v>
      </c>
      <c r="D2599">
        <v>15</v>
      </c>
      <c r="E2599" s="16" t="s">
        <v>54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65</v>
      </c>
      <c r="D2600">
        <v>16</v>
      </c>
      <c r="E2600" s="16" t="s">
        <v>55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65</v>
      </c>
      <c r="D2601">
        <v>17</v>
      </c>
      <c r="E2601" s="16" t="s">
        <v>56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65</v>
      </c>
      <c r="D2602">
        <v>18</v>
      </c>
      <c r="E2602" s="16" t="s">
        <v>57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65</v>
      </c>
      <c r="D2603">
        <v>1</v>
      </c>
      <c r="E2603" s="16" t="s">
        <v>40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65</v>
      </c>
      <c r="D2604">
        <v>2</v>
      </c>
      <c r="E2604" s="16" t="s">
        <v>42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65</v>
      </c>
      <c r="D2605">
        <v>3</v>
      </c>
      <c r="E2605" s="16" t="s">
        <v>43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65</v>
      </c>
      <c r="D2606">
        <v>4</v>
      </c>
      <c r="E2606" s="16" t="s">
        <v>44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65</v>
      </c>
      <c r="D2607">
        <v>5</v>
      </c>
      <c r="E2607" s="16" t="s">
        <v>45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65</v>
      </c>
      <c r="D2608">
        <v>6</v>
      </c>
      <c r="E2608" s="16" t="s">
        <v>46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65</v>
      </c>
      <c r="D2609">
        <v>7</v>
      </c>
      <c r="E2609" s="16" t="s">
        <v>47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65</v>
      </c>
      <c r="D2610">
        <v>8</v>
      </c>
      <c r="E2610" s="16" t="s">
        <v>48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65</v>
      </c>
      <c r="D2611">
        <v>9</v>
      </c>
      <c r="E2611" s="16" t="s">
        <v>49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65</v>
      </c>
      <c r="D2612">
        <v>10</v>
      </c>
      <c r="E2612" s="16" t="s">
        <v>59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65</v>
      </c>
      <c r="D2613">
        <v>11</v>
      </c>
      <c r="E2613" s="16" t="s">
        <v>50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65</v>
      </c>
      <c r="D2614">
        <v>12</v>
      </c>
      <c r="E2614" s="16" t="s">
        <v>51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65</v>
      </c>
      <c r="D2615">
        <v>13</v>
      </c>
      <c r="E2615" s="16" t="s">
        <v>52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65</v>
      </c>
      <c r="D2616">
        <v>14</v>
      </c>
      <c r="E2616" s="16" t="s">
        <v>53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65</v>
      </c>
      <c r="D2617">
        <v>15</v>
      </c>
      <c r="E2617" s="16" t="s">
        <v>54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65</v>
      </c>
      <c r="D2618">
        <v>16</v>
      </c>
      <c r="E2618" s="16" t="s">
        <v>55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65</v>
      </c>
      <c r="D2619">
        <v>17</v>
      </c>
      <c r="E2619" s="16" t="s">
        <v>56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65</v>
      </c>
      <c r="D2620">
        <v>18</v>
      </c>
      <c r="E2620" s="16" t="s">
        <v>57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65</v>
      </c>
      <c r="D2621">
        <v>1</v>
      </c>
      <c r="E2621" s="16" t="s">
        <v>40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65</v>
      </c>
      <c r="D2622">
        <v>2</v>
      </c>
      <c r="E2622" s="16" t="s">
        <v>42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65</v>
      </c>
      <c r="D2623">
        <v>3</v>
      </c>
      <c r="E2623" s="16" t="s">
        <v>43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65</v>
      </c>
      <c r="D2624">
        <v>4</v>
      </c>
      <c r="E2624" s="16" t="s">
        <v>44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65</v>
      </c>
      <c r="D2625">
        <v>5</v>
      </c>
      <c r="E2625" s="16" t="s">
        <v>45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65</v>
      </c>
      <c r="D2626">
        <v>6</v>
      </c>
      <c r="E2626" s="16" t="s">
        <v>46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65</v>
      </c>
      <c r="D2627">
        <v>7</v>
      </c>
      <c r="E2627" s="16" t="s">
        <v>47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65</v>
      </c>
      <c r="D2628">
        <v>8</v>
      </c>
      <c r="E2628" s="16" t="s">
        <v>48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65</v>
      </c>
      <c r="D2629">
        <v>9</v>
      </c>
      <c r="E2629" s="16" t="s">
        <v>49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65</v>
      </c>
      <c r="D2630">
        <v>10</v>
      </c>
      <c r="E2630" s="16" t="s">
        <v>59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65</v>
      </c>
      <c r="D2631">
        <v>11</v>
      </c>
      <c r="E2631" s="16" t="s">
        <v>50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65</v>
      </c>
      <c r="D2632">
        <v>12</v>
      </c>
      <c r="E2632" s="16" t="s">
        <v>51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65</v>
      </c>
      <c r="D2633">
        <v>13</v>
      </c>
      <c r="E2633" s="16" t="s">
        <v>52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65</v>
      </c>
      <c r="D2634">
        <v>14</v>
      </c>
      <c r="E2634" s="16" t="s">
        <v>53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65</v>
      </c>
      <c r="D2635">
        <v>15</v>
      </c>
      <c r="E2635" s="16" t="s">
        <v>54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65</v>
      </c>
      <c r="D2636">
        <v>16</v>
      </c>
      <c r="E2636" s="16" t="s">
        <v>55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65</v>
      </c>
      <c r="D2637">
        <v>17</v>
      </c>
      <c r="E2637" s="16" t="s">
        <v>56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65</v>
      </c>
      <c r="D2638">
        <v>18</v>
      </c>
      <c r="E2638" s="16" t="s">
        <v>57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28</v>
      </c>
      <c r="B1" s="15" t="s">
        <v>29</v>
      </c>
      <c r="C1" s="11" t="s">
        <v>66</v>
      </c>
      <c r="D1" s="10" t="s">
        <v>73</v>
      </c>
      <c r="E1" s="15" t="s">
        <v>74</v>
      </c>
      <c r="F1" s="15" t="s">
        <v>75</v>
      </c>
      <c r="G1" s="21" t="s">
        <v>76</v>
      </c>
      <c r="H1" s="17" t="s">
        <v>77</v>
      </c>
      <c r="I1" s="17" t="s">
        <v>78</v>
      </c>
      <c r="J1" s="17" t="s">
        <v>79</v>
      </c>
      <c r="K1" s="17" t="s">
        <v>80</v>
      </c>
      <c r="L1" s="21" t="s">
        <v>81</v>
      </c>
    </row>
    <row r="2" spans="1:14" x14ac:dyDescent="0.2">
      <c r="A2">
        <v>1</v>
      </c>
      <c r="B2" s="16" t="s">
        <v>39</v>
      </c>
      <c r="C2" s="9">
        <v>45689</v>
      </c>
      <c r="D2">
        <v>1</v>
      </c>
      <c r="E2" s="16" t="s">
        <v>82</v>
      </c>
      <c r="F2" s="16" t="s">
        <v>83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187</v>
      </c>
    </row>
    <row r="3" spans="1:14" x14ac:dyDescent="0.2">
      <c r="A3">
        <v>1</v>
      </c>
      <c r="B3" s="16" t="s">
        <v>39</v>
      </c>
      <c r="C3" s="9">
        <v>45717</v>
      </c>
      <c r="D3">
        <v>1</v>
      </c>
      <c r="E3" s="16" t="s">
        <v>82</v>
      </c>
      <c r="F3" s="16" t="s">
        <v>83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39</v>
      </c>
      <c r="C4" s="9">
        <v>45748</v>
      </c>
      <c r="D4">
        <v>1</v>
      </c>
      <c r="E4" s="16" t="s">
        <v>82</v>
      </c>
      <c r="F4" s="16" t="s">
        <v>83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39</v>
      </c>
      <c r="C5" s="9">
        <v>45778</v>
      </c>
      <c r="D5">
        <v>1</v>
      </c>
      <c r="E5" s="16" t="s">
        <v>82</v>
      </c>
      <c r="F5" s="16" t="s">
        <v>83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39</v>
      </c>
      <c r="C6" s="9">
        <v>45809</v>
      </c>
      <c r="D6">
        <v>1</v>
      </c>
      <c r="E6" s="16" t="s">
        <v>82</v>
      </c>
      <c r="F6" s="16" t="s">
        <v>83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39</v>
      </c>
      <c r="C7" s="9">
        <v>45839</v>
      </c>
      <c r="D7">
        <v>1</v>
      </c>
      <c r="E7" s="16" t="s">
        <v>82</v>
      </c>
      <c r="F7" s="16" t="s">
        <v>83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39</v>
      </c>
      <c r="C8" s="9">
        <v>45870</v>
      </c>
      <c r="D8">
        <v>1</v>
      </c>
      <c r="E8" s="16" t="s">
        <v>82</v>
      </c>
      <c r="F8" s="16" t="s">
        <v>83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39</v>
      </c>
      <c r="C9" s="9">
        <v>45901</v>
      </c>
      <c r="D9">
        <v>1</v>
      </c>
      <c r="E9" s="16" t="s">
        <v>82</v>
      </c>
      <c r="F9" s="16" t="s">
        <v>83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39</v>
      </c>
      <c r="C10" s="9">
        <v>45931</v>
      </c>
      <c r="D10">
        <v>1</v>
      </c>
      <c r="E10" s="16" t="s">
        <v>82</v>
      </c>
      <c r="F10" s="16" t="s">
        <v>83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39</v>
      </c>
      <c r="C11" s="9">
        <v>45962</v>
      </c>
      <c r="D11">
        <v>1</v>
      </c>
      <c r="E11" s="16" t="s">
        <v>82</v>
      </c>
      <c r="F11" s="16" t="s">
        <v>83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39</v>
      </c>
      <c r="C12" s="9">
        <v>45992</v>
      </c>
      <c r="D12">
        <v>1</v>
      </c>
      <c r="E12" s="16" t="s">
        <v>82</v>
      </c>
      <c r="F12" s="16" t="s">
        <v>83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39</v>
      </c>
      <c r="C13" s="9">
        <v>46023</v>
      </c>
      <c r="D13">
        <v>1</v>
      </c>
      <c r="E13" s="16" t="s">
        <v>82</v>
      </c>
      <c r="F13" s="16" t="s">
        <v>83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39</v>
      </c>
      <c r="C14" s="9">
        <v>46054</v>
      </c>
      <c r="D14">
        <v>1</v>
      </c>
      <c r="E14" s="16" t="s">
        <v>82</v>
      </c>
      <c r="F14" s="16" t="s">
        <v>83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39</v>
      </c>
      <c r="C15" s="9">
        <v>46082</v>
      </c>
      <c r="D15">
        <v>1</v>
      </c>
      <c r="E15" s="16" t="s">
        <v>82</v>
      </c>
      <c r="F15" s="16" t="s">
        <v>83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39</v>
      </c>
      <c r="C16" s="9">
        <v>46113</v>
      </c>
      <c r="D16">
        <v>1</v>
      </c>
      <c r="E16" s="16" t="s">
        <v>82</v>
      </c>
      <c r="F16" s="16" t="s">
        <v>83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39</v>
      </c>
      <c r="C17" s="9">
        <v>46143</v>
      </c>
      <c r="D17">
        <v>1</v>
      </c>
      <c r="E17" s="16" t="s">
        <v>82</v>
      </c>
      <c r="F17" s="16" t="s">
        <v>83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39</v>
      </c>
      <c r="C18" s="9">
        <v>46174</v>
      </c>
      <c r="D18">
        <v>1</v>
      </c>
      <c r="E18" s="16" t="s">
        <v>82</v>
      </c>
      <c r="F18" s="16" t="s">
        <v>83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39</v>
      </c>
      <c r="C19" s="9">
        <v>46204</v>
      </c>
      <c r="D19">
        <v>1</v>
      </c>
      <c r="E19" s="16" t="s">
        <v>82</v>
      </c>
      <c r="F19" s="16" t="s">
        <v>83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39</v>
      </c>
      <c r="C20" s="9">
        <v>46235</v>
      </c>
      <c r="D20">
        <v>1</v>
      </c>
      <c r="E20" s="16" t="s">
        <v>82</v>
      </c>
      <c r="F20" s="16" t="s">
        <v>83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39</v>
      </c>
      <c r="C21" s="9">
        <v>46266</v>
      </c>
      <c r="D21">
        <v>1</v>
      </c>
      <c r="E21" s="16" t="s">
        <v>82</v>
      </c>
      <c r="F21" s="16" t="s">
        <v>83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39</v>
      </c>
      <c r="C22" s="9">
        <v>45689</v>
      </c>
      <c r="D22">
        <v>2</v>
      </c>
      <c r="E22" s="16" t="s">
        <v>84</v>
      </c>
      <c r="F22" s="16" t="s">
        <v>85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39</v>
      </c>
      <c r="C23" s="9">
        <v>45717</v>
      </c>
      <c r="D23">
        <v>2</v>
      </c>
      <c r="E23" s="16" t="s">
        <v>84</v>
      </c>
      <c r="F23" s="16" t="s">
        <v>85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39</v>
      </c>
      <c r="C24" s="9">
        <v>45748</v>
      </c>
      <c r="D24">
        <v>2</v>
      </c>
      <c r="E24" s="16" t="s">
        <v>84</v>
      </c>
      <c r="F24" s="16" t="s">
        <v>85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39</v>
      </c>
      <c r="C25" s="9">
        <v>45778</v>
      </c>
      <c r="D25">
        <v>2</v>
      </c>
      <c r="E25" s="16" t="s">
        <v>84</v>
      </c>
      <c r="F25" s="16" t="s">
        <v>85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39</v>
      </c>
      <c r="C26" s="9">
        <v>45809</v>
      </c>
      <c r="D26">
        <v>2</v>
      </c>
      <c r="E26" s="16" t="s">
        <v>84</v>
      </c>
      <c r="F26" s="16" t="s">
        <v>85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39</v>
      </c>
      <c r="C27" s="9">
        <v>45839</v>
      </c>
      <c r="D27">
        <v>2</v>
      </c>
      <c r="E27" s="16" t="s">
        <v>84</v>
      </c>
      <c r="F27" s="16" t="s">
        <v>85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39</v>
      </c>
      <c r="C28" s="9">
        <v>45870</v>
      </c>
      <c r="D28">
        <v>2</v>
      </c>
      <c r="E28" s="16" t="s">
        <v>84</v>
      </c>
      <c r="F28" s="16" t="s">
        <v>85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39</v>
      </c>
      <c r="C29" s="9">
        <v>45901</v>
      </c>
      <c r="D29">
        <v>2</v>
      </c>
      <c r="E29" s="16" t="s">
        <v>84</v>
      </c>
      <c r="F29" s="16" t="s">
        <v>85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39</v>
      </c>
      <c r="C30" s="9">
        <v>45931</v>
      </c>
      <c r="D30">
        <v>2</v>
      </c>
      <c r="E30" s="16" t="s">
        <v>84</v>
      </c>
      <c r="F30" s="16" t="s">
        <v>85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39</v>
      </c>
      <c r="C31" s="9">
        <v>45962</v>
      </c>
      <c r="D31">
        <v>2</v>
      </c>
      <c r="E31" s="16" t="s">
        <v>84</v>
      </c>
      <c r="F31" s="16" t="s">
        <v>85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39</v>
      </c>
      <c r="C32" s="9">
        <v>45992</v>
      </c>
      <c r="D32">
        <v>2</v>
      </c>
      <c r="E32" s="16" t="s">
        <v>84</v>
      </c>
      <c r="F32" s="16" t="s">
        <v>85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39</v>
      </c>
      <c r="C33" s="9">
        <v>46023</v>
      </c>
      <c r="D33">
        <v>2</v>
      </c>
      <c r="E33" s="16" t="s">
        <v>84</v>
      </c>
      <c r="F33" s="16" t="s">
        <v>85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39</v>
      </c>
      <c r="C34" s="9">
        <v>46054</v>
      </c>
      <c r="D34">
        <v>2</v>
      </c>
      <c r="E34" s="16" t="s">
        <v>84</v>
      </c>
      <c r="F34" s="16" t="s">
        <v>85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39</v>
      </c>
      <c r="C35" s="9">
        <v>46082</v>
      </c>
      <c r="D35">
        <v>2</v>
      </c>
      <c r="E35" s="16" t="s">
        <v>84</v>
      </c>
      <c r="F35" s="16" t="s">
        <v>85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39</v>
      </c>
      <c r="C36" s="9">
        <v>46113</v>
      </c>
      <c r="D36">
        <v>2</v>
      </c>
      <c r="E36" s="16" t="s">
        <v>84</v>
      </c>
      <c r="F36" s="16" t="s">
        <v>85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39</v>
      </c>
      <c r="C37" s="9">
        <v>46143</v>
      </c>
      <c r="D37">
        <v>2</v>
      </c>
      <c r="E37" s="16" t="s">
        <v>84</v>
      </c>
      <c r="F37" s="16" t="s">
        <v>85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39</v>
      </c>
      <c r="C38" s="9">
        <v>46174</v>
      </c>
      <c r="D38">
        <v>2</v>
      </c>
      <c r="E38" s="16" t="s">
        <v>84</v>
      </c>
      <c r="F38" s="16" t="s">
        <v>85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39</v>
      </c>
      <c r="C39" s="9">
        <v>46204</v>
      </c>
      <c r="D39">
        <v>2</v>
      </c>
      <c r="E39" s="16" t="s">
        <v>84</v>
      </c>
      <c r="F39" s="16" t="s">
        <v>85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39</v>
      </c>
      <c r="C40" s="9">
        <v>46235</v>
      </c>
      <c r="D40">
        <v>2</v>
      </c>
      <c r="E40" s="16" t="s">
        <v>84</v>
      </c>
      <c r="F40" s="16" t="s">
        <v>85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39</v>
      </c>
      <c r="C41" s="9">
        <v>46266</v>
      </c>
      <c r="D41">
        <v>2</v>
      </c>
      <c r="E41" s="16" t="s">
        <v>84</v>
      </c>
      <c r="F41" s="16" t="s">
        <v>85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39</v>
      </c>
      <c r="C42" s="9">
        <v>45689</v>
      </c>
      <c r="D42">
        <v>3</v>
      </c>
      <c r="E42" s="16" t="s">
        <v>86</v>
      </c>
      <c r="F42" s="16" t="s">
        <v>87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39</v>
      </c>
      <c r="C43" s="9">
        <v>45717</v>
      </c>
      <c r="D43">
        <v>3</v>
      </c>
      <c r="E43" s="16" t="s">
        <v>86</v>
      </c>
      <c r="F43" s="16" t="s">
        <v>87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39</v>
      </c>
      <c r="C44" s="9">
        <v>45748</v>
      </c>
      <c r="D44">
        <v>3</v>
      </c>
      <c r="E44" s="16" t="s">
        <v>86</v>
      </c>
      <c r="F44" s="16" t="s">
        <v>87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39</v>
      </c>
      <c r="C45" s="9">
        <v>45778</v>
      </c>
      <c r="D45">
        <v>3</v>
      </c>
      <c r="E45" s="16" t="s">
        <v>86</v>
      </c>
      <c r="F45" s="16" t="s">
        <v>87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39</v>
      </c>
      <c r="C46" s="9">
        <v>45809</v>
      </c>
      <c r="D46">
        <v>3</v>
      </c>
      <c r="E46" s="16" t="s">
        <v>86</v>
      </c>
      <c r="F46" s="16" t="s">
        <v>87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39</v>
      </c>
      <c r="C47" s="9">
        <v>45839</v>
      </c>
      <c r="D47">
        <v>3</v>
      </c>
      <c r="E47" s="16" t="s">
        <v>86</v>
      </c>
      <c r="F47" s="16" t="s">
        <v>87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39</v>
      </c>
      <c r="C48" s="9">
        <v>45870</v>
      </c>
      <c r="D48">
        <v>3</v>
      </c>
      <c r="E48" s="16" t="s">
        <v>86</v>
      </c>
      <c r="F48" s="16" t="s">
        <v>87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39</v>
      </c>
      <c r="C49" s="9">
        <v>45901</v>
      </c>
      <c r="D49">
        <v>3</v>
      </c>
      <c r="E49" s="16" t="s">
        <v>86</v>
      </c>
      <c r="F49" s="16" t="s">
        <v>87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39</v>
      </c>
      <c r="C50" s="9">
        <v>45931</v>
      </c>
      <c r="D50">
        <v>3</v>
      </c>
      <c r="E50" s="16" t="s">
        <v>86</v>
      </c>
      <c r="F50" s="16" t="s">
        <v>87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39</v>
      </c>
      <c r="C51" s="9">
        <v>45962</v>
      </c>
      <c r="D51">
        <v>3</v>
      </c>
      <c r="E51" s="16" t="s">
        <v>86</v>
      </c>
      <c r="F51" s="16" t="s">
        <v>87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39</v>
      </c>
      <c r="C52" s="9">
        <v>45992</v>
      </c>
      <c r="D52">
        <v>3</v>
      </c>
      <c r="E52" s="16" t="s">
        <v>86</v>
      </c>
      <c r="F52" s="16" t="s">
        <v>87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39</v>
      </c>
      <c r="C53" s="9">
        <v>46023</v>
      </c>
      <c r="D53">
        <v>3</v>
      </c>
      <c r="E53" s="16" t="s">
        <v>86</v>
      </c>
      <c r="F53" s="16" t="s">
        <v>87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39</v>
      </c>
      <c r="C54" s="9">
        <v>46054</v>
      </c>
      <c r="D54">
        <v>3</v>
      </c>
      <c r="E54" s="16" t="s">
        <v>86</v>
      </c>
      <c r="F54" s="16" t="s">
        <v>87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39</v>
      </c>
      <c r="C55" s="9">
        <v>46082</v>
      </c>
      <c r="D55">
        <v>3</v>
      </c>
      <c r="E55" s="16" t="s">
        <v>86</v>
      </c>
      <c r="F55" s="16" t="s">
        <v>87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39</v>
      </c>
      <c r="C56" s="9">
        <v>46113</v>
      </c>
      <c r="D56">
        <v>3</v>
      </c>
      <c r="E56" s="16" t="s">
        <v>86</v>
      </c>
      <c r="F56" s="16" t="s">
        <v>87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39</v>
      </c>
      <c r="C57" s="9">
        <v>46143</v>
      </c>
      <c r="D57">
        <v>3</v>
      </c>
      <c r="E57" s="16" t="s">
        <v>86</v>
      </c>
      <c r="F57" s="16" t="s">
        <v>87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39</v>
      </c>
      <c r="C58" s="9">
        <v>46174</v>
      </c>
      <c r="D58">
        <v>3</v>
      </c>
      <c r="E58" s="16" t="s">
        <v>86</v>
      </c>
      <c r="F58" s="16" t="s">
        <v>87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39</v>
      </c>
      <c r="C59" s="9">
        <v>46204</v>
      </c>
      <c r="D59">
        <v>3</v>
      </c>
      <c r="E59" s="16" t="s">
        <v>86</v>
      </c>
      <c r="F59" s="16" t="s">
        <v>87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39</v>
      </c>
      <c r="C60" s="9">
        <v>46235</v>
      </c>
      <c r="D60">
        <v>3</v>
      </c>
      <c r="E60" s="16" t="s">
        <v>86</v>
      </c>
      <c r="F60" s="16" t="s">
        <v>87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39</v>
      </c>
      <c r="C61" s="9">
        <v>46266</v>
      </c>
      <c r="D61">
        <v>3</v>
      </c>
      <c r="E61" s="16" t="s">
        <v>86</v>
      </c>
      <c r="F61" s="16" t="s">
        <v>87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39</v>
      </c>
      <c r="C62" s="9">
        <v>45689</v>
      </c>
      <c r="D62">
        <v>4</v>
      </c>
      <c r="E62" s="16" t="s">
        <v>88</v>
      </c>
      <c r="F62" s="16" t="s">
        <v>89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39</v>
      </c>
      <c r="C63" s="9">
        <v>45717</v>
      </c>
      <c r="D63">
        <v>4</v>
      </c>
      <c r="E63" s="16" t="s">
        <v>88</v>
      </c>
      <c r="F63" s="16" t="s">
        <v>89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39</v>
      </c>
      <c r="C64" s="9">
        <v>45748</v>
      </c>
      <c r="D64">
        <v>4</v>
      </c>
      <c r="E64" s="16" t="s">
        <v>88</v>
      </c>
      <c r="F64" s="16" t="s">
        <v>89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39</v>
      </c>
      <c r="C65" s="9">
        <v>45778</v>
      </c>
      <c r="D65">
        <v>4</v>
      </c>
      <c r="E65" s="16" t="s">
        <v>88</v>
      </c>
      <c r="F65" s="16" t="s">
        <v>89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39</v>
      </c>
      <c r="C66" s="9">
        <v>45809</v>
      </c>
      <c r="D66">
        <v>4</v>
      </c>
      <c r="E66" s="16" t="s">
        <v>88</v>
      </c>
      <c r="F66" s="16" t="s">
        <v>89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39</v>
      </c>
      <c r="C67" s="9">
        <v>45839</v>
      </c>
      <c r="D67">
        <v>4</v>
      </c>
      <c r="E67" s="16" t="s">
        <v>88</v>
      </c>
      <c r="F67" s="16" t="s">
        <v>89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39</v>
      </c>
      <c r="C68" s="9">
        <v>45870</v>
      </c>
      <c r="D68">
        <v>4</v>
      </c>
      <c r="E68" s="16" t="s">
        <v>88</v>
      </c>
      <c r="F68" s="16" t="s">
        <v>89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39</v>
      </c>
      <c r="C69" s="9">
        <v>45901</v>
      </c>
      <c r="D69">
        <v>4</v>
      </c>
      <c r="E69" s="16" t="s">
        <v>88</v>
      </c>
      <c r="F69" s="16" t="s">
        <v>89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39</v>
      </c>
      <c r="C70" s="9">
        <v>45931</v>
      </c>
      <c r="D70">
        <v>4</v>
      </c>
      <c r="E70" s="16" t="s">
        <v>88</v>
      </c>
      <c r="F70" s="16" t="s">
        <v>89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39</v>
      </c>
      <c r="C71" s="9">
        <v>45962</v>
      </c>
      <c r="D71">
        <v>4</v>
      </c>
      <c r="E71" s="16" t="s">
        <v>88</v>
      </c>
      <c r="F71" s="16" t="s">
        <v>89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39</v>
      </c>
      <c r="C72" s="9">
        <v>45992</v>
      </c>
      <c r="D72">
        <v>4</v>
      </c>
      <c r="E72" s="16" t="s">
        <v>88</v>
      </c>
      <c r="F72" s="16" t="s">
        <v>89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39</v>
      </c>
      <c r="C73" s="9">
        <v>46023</v>
      </c>
      <c r="D73">
        <v>4</v>
      </c>
      <c r="E73" s="16" t="s">
        <v>88</v>
      </c>
      <c r="F73" s="16" t="s">
        <v>89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39</v>
      </c>
      <c r="C74" s="9">
        <v>46054</v>
      </c>
      <c r="D74">
        <v>4</v>
      </c>
      <c r="E74" s="16" t="s">
        <v>88</v>
      </c>
      <c r="F74" s="16" t="s">
        <v>89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39</v>
      </c>
      <c r="C75" s="9">
        <v>46082</v>
      </c>
      <c r="D75">
        <v>4</v>
      </c>
      <c r="E75" s="16" t="s">
        <v>88</v>
      </c>
      <c r="F75" s="16" t="s">
        <v>89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39</v>
      </c>
      <c r="C76" s="9">
        <v>46113</v>
      </c>
      <c r="D76">
        <v>4</v>
      </c>
      <c r="E76" s="16" t="s">
        <v>88</v>
      </c>
      <c r="F76" s="16" t="s">
        <v>89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39</v>
      </c>
      <c r="C77" s="9">
        <v>46143</v>
      </c>
      <c r="D77">
        <v>4</v>
      </c>
      <c r="E77" s="16" t="s">
        <v>88</v>
      </c>
      <c r="F77" s="16" t="s">
        <v>89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39</v>
      </c>
      <c r="C78" s="9">
        <v>46174</v>
      </c>
      <c r="D78">
        <v>4</v>
      </c>
      <c r="E78" s="16" t="s">
        <v>88</v>
      </c>
      <c r="F78" s="16" t="s">
        <v>89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39</v>
      </c>
      <c r="C79" s="9">
        <v>46204</v>
      </c>
      <c r="D79">
        <v>4</v>
      </c>
      <c r="E79" s="16" t="s">
        <v>88</v>
      </c>
      <c r="F79" s="16" t="s">
        <v>89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39</v>
      </c>
      <c r="C80" s="9">
        <v>46235</v>
      </c>
      <c r="D80">
        <v>4</v>
      </c>
      <c r="E80" s="16" t="s">
        <v>88</v>
      </c>
      <c r="F80" s="16" t="s">
        <v>89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39</v>
      </c>
      <c r="C81" s="9">
        <v>46266</v>
      </c>
      <c r="D81">
        <v>4</v>
      </c>
      <c r="E81" s="16" t="s">
        <v>88</v>
      </c>
      <c r="F81" s="16" t="s">
        <v>89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39</v>
      </c>
      <c r="C82" s="9">
        <v>45689</v>
      </c>
      <c r="D82">
        <v>5</v>
      </c>
      <c r="E82" s="16" t="s">
        <v>90</v>
      </c>
      <c r="F82" s="16" t="s">
        <v>85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39</v>
      </c>
      <c r="C83" s="9">
        <v>45717</v>
      </c>
      <c r="D83">
        <v>5</v>
      </c>
      <c r="E83" s="16" t="s">
        <v>90</v>
      </c>
      <c r="F83" s="16" t="s">
        <v>85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39</v>
      </c>
      <c r="C84" s="9">
        <v>45748</v>
      </c>
      <c r="D84">
        <v>5</v>
      </c>
      <c r="E84" s="16" t="s">
        <v>90</v>
      </c>
      <c r="F84" s="16" t="s">
        <v>85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39</v>
      </c>
      <c r="C85" s="9">
        <v>45778</v>
      </c>
      <c r="D85">
        <v>5</v>
      </c>
      <c r="E85" s="16" t="s">
        <v>90</v>
      </c>
      <c r="F85" s="16" t="s">
        <v>85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39</v>
      </c>
      <c r="C86" s="9">
        <v>45809</v>
      </c>
      <c r="D86">
        <v>5</v>
      </c>
      <c r="E86" s="16" t="s">
        <v>90</v>
      </c>
      <c r="F86" s="16" t="s">
        <v>85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39</v>
      </c>
      <c r="C87" s="9">
        <v>45839</v>
      </c>
      <c r="D87">
        <v>5</v>
      </c>
      <c r="E87" s="16" t="s">
        <v>90</v>
      </c>
      <c r="F87" s="16" t="s">
        <v>85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39</v>
      </c>
      <c r="C88" s="9">
        <v>45870</v>
      </c>
      <c r="D88">
        <v>5</v>
      </c>
      <c r="E88" s="16" t="s">
        <v>90</v>
      </c>
      <c r="F88" s="16" t="s">
        <v>85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39</v>
      </c>
      <c r="C89" s="9">
        <v>45901</v>
      </c>
      <c r="D89">
        <v>5</v>
      </c>
      <c r="E89" s="16" t="s">
        <v>90</v>
      </c>
      <c r="F89" s="16" t="s">
        <v>85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39</v>
      </c>
      <c r="C90" s="9">
        <v>45931</v>
      </c>
      <c r="D90">
        <v>5</v>
      </c>
      <c r="E90" s="16" t="s">
        <v>90</v>
      </c>
      <c r="F90" s="16" t="s">
        <v>85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39</v>
      </c>
      <c r="C91" s="9">
        <v>45962</v>
      </c>
      <c r="D91">
        <v>5</v>
      </c>
      <c r="E91" s="16" t="s">
        <v>90</v>
      </c>
      <c r="F91" s="16" t="s">
        <v>85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39</v>
      </c>
      <c r="C92" s="9">
        <v>45992</v>
      </c>
      <c r="D92">
        <v>5</v>
      </c>
      <c r="E92" s="16" t="s">
        <v>90</v>
      </c>
      <c r="F92" s="16" t="s">
        <v>85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39</v>
      </c>
      <c r="C93" s="9">
        <v>46023</v>
      </c>
      <c r="D93">
        <v>5</v>
      </c>
      <c r="E93" s="16" t="s">
        <v>90</v>
      </c>
      <c r="F93" s="16" t="s">
        <v>85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39</v>
      </c>
      <c r="C94" s="9">
        <v>46054</v>
      </c>
      <c r="D94">
        <v>5</v>
      </c>
      <c r="E94" s="16" t="s">
        <v>90</v>
      </c>
      <c r="F94" s="16" t="s">
        <v>85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39</v>
      </c>
      <c r="C95" s="9">
        <v>46082</v>
      </c>
      <c r="D95">
        <v>5</v>
      </c>
      <c r="E95" s="16" t="s">
        <v>90</v>
      </c>
      <c r="F95" s="16" t="s">
        <v>85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39</v>
      </c>
      <c r="C96" s="9">
        <v>46113</v>
      </c>
      <c r="D96">
        <v>5</v>
      </c>
      <c r="E96" s="16" t="s">
        <v>90</v>
      </c>
      <c r="F96" s="16" t="s">
        <v>85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39</v>
      </c>
      <c r="C97" s="9">
        <v>46143</v>
      </c>
      <c r="D97">
        <v>5</v>
      </c>
      <c r="E97" s="16" t="s">
        <v>90</v>
      </c>
      <c r="F97" s="16" t="s">
        <v>85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39</v>
      </c>
      <c r="C98" s="9">
        <v>46174</v>
      </c>
      <c r="D98">
        <v>5</v>
      </c>
      <c r="E98" s="16" t="s">
        <v>90</v>
      </c>
      <c r="F98" s="16" t="s">
        <v>85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39</v>
      </c>
      <c r="C99" s="9">
        <v>46204</v>
      </c>
      <c r="D99">
        <v>5</v>
      </c>
      <c r="E99" s="16" t="s">
        <v>90</v>
      </c>
      <c r="F99" s="16" t="s">
        <v>85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39</v>
      </c>
      <c r="C100" s="9">
        <v>46235</v>
      </c>
      <c r="D100">
        <v>5</v>
      </c>
      <c r="E100" s="16" t="s">
        <v>90</v>
      </c>
      <c r="F100" s="16" t="s">
        <v>85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39</v>
      </c>
      <c r="C101" s="9">
        <v>46266</v>
      </c>
      <c r="D101">
        <v>5</v>
      </c>
      <c r="E101" s="16" t="s">
        <v>90</v>
      </c>
      <c r="F101" s="16" t="s">
        <v>85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39</v>
      </c>
      <c r="C102" s="9">
        <v>45689</v>
      </c>
      <c r="D102">
        <v>6</v>
      </c>
      <c r="E102" s="16" t="s">
        <v>91</v>
      </c>
      <c r="F102" s="16" t="s">
        <v>92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39</v>
      </c>
      <c r="C103" s="9">
        <v>45717</v>
      </c>
      <c r="D103">
        <v>6</v>
      </c>
      <c r="E103" s="16" t="s">
        <v>91</v>
      </c>
      <c r="F103" s="16" t="s">
        <v>92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39</v>
      </c>
      <c r="C104" s="9">
        <v>45748</v>
      </c>
      <c r="D104">
        <v>6</v>
      </c>
      <c r="E104" s="16" t="s">
        <v>91</v>
      </c>
      <c r="F104" s="16" t="s">
        <v>92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39</v>
      </c>
      <c r="C105" s="9">
        <v>45778</v>
      </c>
      <c r="D105">
        <v>6</v>
      </c>
      <c r="E105" s="16" t="s">
        <v>91</v>
      </c>
      <c r="F105" s="16" t="s">
        <v>92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39</v>
      </c>
      <c r="C106" s="9">
        <v>45809</v>
      </c>
      <c r="D106">
        <v>6</v>
      </c>
      <c r="E106" s="16" t="s">
        <v>91</v>
      </c>
      <c r="F106" s="16" t="s">
        <v>92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39</v>
      </c>
      <c r="C107" s="9">
        <v>45839</v>
      </c>
      <c r="D107">
        <v>6</v>
      </c>
      <c r="E107" s="16" t="s">
        <v>91</v>
      </c>
      <c r="F107" s="16" t="s">
        <v>92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39</v>
      </c>
      <c r="C108" s="9">
        <v>45870</v>
      </c>
      <c r="D108">
        <v>6</v>
      </c>
      <c r="E108" s="16" t="s">
        <v>91</v>
      </c>
      <c r="F108" s="16" t="s">
        <v>92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39</v>
      </c>
      <c r="C109" s="9">
        <v>45901</v>
      </c>
      <c r="D109">
        <v>6</v>
      </c>
      <c r="E109" s="16" t="s">
        <v>91</v>
      </c>
      <c r="F109" s="16" t="s">
        <v>92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39</v>
      </c>
      <c r="C110" s="9">
        <v>45931</v>
      </c>
      <c r="D110">
        <v>6</v>
      </c>
      <c r="E110" s="16" t="s">
        <v>91</v>
      </c>
      <c r="F110" s="16" t="s">
        <v>92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39</v>
      </c>
      <c r="C111" s="9">
        <v>45962</v>
      </c>
      <c r="D111">
        <v>6</v>
      </c>
      <c r="E111" s="16" t="s">
        <v>91</v>
      </c>
      <c r="F111" s="16" t="s">
        <v>92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39</v>
      </c>
      <c r="C112" s="9">
        <v>45992</v>
      </c>
      <c r="D112">
        <v>6</v>
      </c>
      <c r="E112" s="16" t="s">
        <v>91</v>
      </c>
      <c r="F112" s="16" t="s">
        <v>92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39</v>
      </c>
      <c r="C113" s="9">
        <v>46023</v>
      </c>
      <c r="D113">
        <v>6</v>
      </c>
      <c r="E113" s="16" t="s">
        <v>91</v>
      </c>
      <c r="F113" s="16" t="s">
        <v>92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39</v>
      </c>
      <c r="C114" s="9">
        <v>46054</v>
      </c>
      <c r="D114">
        <v>6</v>
      </c>
      <c r="E114" s="16" t="s">
        <v>91</v>
      </c>
      <c r="F114" s="16" t="s">
        <v>92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39</v>
      </c>
      <c r="C115" s="9">
        <v>46082</v>
      </c>
      <c r="D115">
        <v>6</v>
      </c>
      <c r="E115" s="16" t="s">
        <v>91</v>
      </c>
      <c r="F115" s="16" t="s">
        <v>92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39</v>
      </c>
      <c r="C116" s="9">
        <v>46113</v>
      </c>
      <c r="D116">
        <v>6</v>
      </c>
      <c r="E116" s="16" t="s">
        <v>91</v>
      </c>
      <c r="F116" s="16" t="s">
        <v>92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39</v>
      </c>
      <c r="C117" s="9">
        <v>46143</v>
      </c>
      <c r="D117">
        <v>6</v>
      </c>
      <c r="E117" s="16" t="s">
        <v>91</v>
      </c>
      <c r="F117" s="16" t="s">
        <v>92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39</v>
      </c>
      <c r="C118" s="9">
        <v>46174</v>
      </c>
      <c r="D118">
        <v>6</v>
      </c>
      <c r="E118" s="16" t="s">
        <v>91</v>
      </c>
      <c r="F118" s="16" t="s">
        <v>92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39</v>
      </c>
      <c r="C119" s="9">
        <v>46204</v>
      </c>
      <c r="D119">
        <v>6</v>
      </c>
      <c r="E119" s="16" t="s">
        <v>91</v>
      </c>
      <c r="F119" s="16" t="s">
        <v>92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39</v>
      </c>
      <c r="C120" s="9">
        <v>46235</v>
      </c>
      <c r="D120">
        <v>6</v>
      </c>
      <c r="E120" s="16" t="s">
        <v>91</v>
      </c>
      <c r="F120" s="16" t="s">
        <v>92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39</v>
      </c>
      <c r="C121" s="9">
        <v>46266</v>
      </c>
      <c r="D121">
        <v>6</v>
      </c>
      <c r="E121" s="16" t="s">
        <v>91</v>
      </c>
      <c r="F121" s="16" t="s">
        <v>92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39</v>
      </c>
      <c r="C122" s="9">
        <v>45689</v>
      </c>
      <c r="D122">
        <v>7</v>
      </c>
      <c r="E122" s="16" t="s">
        <v>93</v>
      </c>
      <c r="F122" s="16" t="s">
        <v>94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39</v>
      </c>
      <c r="C123" s="9">
        <v>45717</v>
      </c>
      <c r="D123">
        <v>7</v>
      </c>
      <c r="E123" s="16" t="s">
        <v>93</v>
      </c>
      <c r="F123" s="16" t="s">
        <v>94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39</v>
      </c>
      <c r="C124" s="9">
        <v>45748</v>
      </c>
      <c r="D124">
        <v>7</v>
      </c>
      <c r="E124" s="16" t="s">
        <v>93</v>
      </c>
      <c r="F124" s="16" t="s">
        <v>94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39</v>
      </c>
      <c r="C125" s="9">
        <v>45778</v>
      </c>
      <c r="D125">
        <v>7</v>
      </c>
      <c r="E125" s="16" t="s">
        <v>93</v>
      </c>
      <c r="F125" s="16" t="s">
        <v>94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39</v>
      </c>
      <c r="C126" s="9">
        <v>45809</v>
      </c>
      <c r="D126">
        <v>7</v>
      </c>
      <c r="E126" s="16" t="s">
        <v>93</v>
      </c>
      <c r="F126" s="16" t="s">
        <v>94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39</v>
      </c>
      <c r="C127" s="9">
        <v>45839</v>
      </c>
      <c r="D127">
        <v>7</v>
      </c>
      <c r="E127" s="16" t="s">
        <v>93</v>
      </c>
      <c r="F127" s="16" t="s">
        <v>94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39</v>
      </c>
      <c r="C128" s="9">
        <v>45870</v>
      </c>
      <c r="D128">
        <v>7</v>
      </c>
      <c r="E128" s="16" t="s">
        <v>93</v>
      </c>
      <c r="F128" s="16" t="s">
        <v>94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39</v>
      </c>
      <c r="C129" s="9">
        <v>45901</v>
      </c>
      <c r="D129">
        <v>7</v>
      </c>
      <c r="E129" s="16" t="s">
        <v>93</v>
      </c>
      <c r="F129" s="16" t="s">
        <v>94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39</v>
      </c>
      <c r="C130" s="9">
        <v>45931</v>
      </c>
      <c r="D130">
        <v>7</v>
      </c>
      <c r="E130" s="16" t="s">
        <v>93</v>
      </c>
      <c r="F130" s="16" t="s">
        <v>94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39</v>
      </c>
      <c r="C131" s="9">
        <v>45962</v>
      </c>
      <c r="D131">
        <v>7</v>
      </c>
      <c r="E131" s="16" t="s">
        <v>93</v>
      </c>
      <c r="F131" s="16" t="s">
        <v>94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39</v>
      </c>
      <c r="C132" s="9">
        <v>45992</v>
      </c>
      <c r="D132">
        <v>7</v>
      </c>
      <c r="E132" s="16" t="s">
        <v>93</v>
      </c>
      <c r="F132" s="16" t="s">
        <v>94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39</v>
      </c>
      <c r="C133" s="9">
        <v>46023</v>
      </c>
      <c r="D133">
        <v>7</v>
      </c>
      <c r="E133" s="16" t="s">
        <v>93</v>
      </c>
      <c r="F133" s="16" t="s">
        <v>94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39</v>
      </c>
      <c r="C134" s="9">
        <v>46054</v>
      </c>
      <c r="D134">
        <v>7</v>
      </c>
      <c r="E134" s="16" t="s">
        <v>93</v>
      </c>
      <c r="F134" s="16" t="s">
        <v>94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39</v>
      </c>
      <c r="C135" s="9">
        <v>46082</v>
      </c>
      <c r="D135">
        <v>7</v>
      </c>
      <c r="E135" s="16" t="s">
        <v>93</v>
      </c>
      <c r="F135" s="16" t="s">
        <v>94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39</v>
      </c>
      <c r="C136" s="9">
        <v>46113</v>
      </c>
      <c r="D136">
        <v>7</v>
      </c>
      <c r="E136" s="16" t="s">
        <v>93</v>
      </c>
      <c r="F136" s="16" t="s">
        <v>94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39</v>
      </c>
      <c r="C137" s="9">
        <v>46143</v>
      </c>
      <c r="D137">
        <v>7</v>
      </c>
      <c r="E137" s="16" t="s">
        <v>93</v>
      </c>
      <c r="F137" s="16" t="s">
        <v>94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39</v>
      </c>
      <c r="C138" s="9">
        <v>46174</v>
      </c>
      <c r="D138">
        <v>7</v>
      </c>
      <c r="E138" s="16" t="s">
        <v>93</v>
      </c>
      <c r="F138" s="16" t="s">
        <v>94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39</v>
      </c>
      <c r="C139" s="9">
        <v>46204</v>
      </c>
      <c r="D139">
        <v>7</v>
      </c>
      <c r="E139" s="16" t="s">
        <v>93</v>
      </c>
      <c r="F139" s="16" t="s">
        <v>94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39</v>
      </c>
      <c r="C140" s="9">
        <v>46235</v>
      </c>
      <c r="D140">
        <v>7</v>
      </c>
      <c r="E140" s="16" t="s">
        <v>93</v>
      </c>
      <c r="F140" s="16" t="s">
        <v>94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39</v>
      </c>
      <c r="C141" s="9">
        <v>46266</v>
      </c>
      <c r="D141">
        <v>7</v>
      </c>
      <c r="E141" s="16" t="s">
        <v>93</v>
      </c>
      <c r="F141" s="16" t="s">
        <v>94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39</v>
      </c>
      <c r="C142" s="9">
        <v>45689</v>
      </c>
      <c r="D142">
        <v>8</v>
      </c>
      <c r="E142" s="16" t="s">
        <v>95</v>
      </c>
      <c r="F142" s="16" t="s">
        <v>85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39</v>
      </c>
      <c r="C143" s="9">
        <v>45717</v>
      </c>
      <c r="D143">
        <v>8</v>
      </c>
      <c r="E143" s="16" t="s">
        <v>95</v>
      </c>
      <c r="F143" s="16" t="s">
        <v>85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39</v>
      </c>
      <c r="C144" s="9">
        <v>45748</v>
      </c>
      <c r="D144">
        <v>8</v>
      </c>
      <c r="E144" s="16" t="s">
        <v>95</v>
      </c>
      <c r="F144" s="16" t="s">
        <v>85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39</v>
      </c>
      <c r="C145" s="9">
        <v>45778</v>
      </c>
      <c r="D145">
        <v>8</v>
      </c>
      <c r="E145" s="16" t="s">
        <v>95</v>
      </c>
      <c r="F145" s="16" t="s">
        <v>85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39</v>
      </c>
      <c r="C146" s="9">
        <v>45809</v>
      </c>
      <c r="D146">
        <v>8</v>
      </c>
      <c r="E146" s="16" t="s">
        <v>95</v>
      </c>
      <c r="F146" s="16" t="s">
        <v>85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39</v>
      </c>
      <c r="C147" s="9">
        <v>45839</v>
      </c>
      <c r="D147">
        <v>8</v>
      </c>
      <c r="E147" s="16" t="s">
        <v>95</v>
      </c>
      <c r="F147" s="16" t="s">
        <v>85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39</v>
      </c>
      <c r="C148" s="9">
        <v>45870</v>
      </c>
      <c r="D148">
        <v>8</v>
      </c>
      <c r="E148" s="16" t="s">
        <v>95</v>
      </c>
      <c r="F148" s="16" t="s">
        <v>85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39</v>
      </c>
      <c r="C149" s="9">
        <v>45901</v>
      </c>
      <c r="D149">
        <v>8</v>
      </c>
      <c r="E149" s="16" t="s">
        <v>95</v>
      </c>
      <c r="F149" s="16" t="s">
        <v>85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39</v>
      </c>
      <c r="C150" s="9">
        <v>45931</v>
      </c>
      <c r="D150">
        <v>8</v>
      </c>
      <c r="E150" s="16" t="s">
        <v>95</v>
      </c>
      <c r="F150" s="16" t="s">
        <v>85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39</v>
      </c>
      <c r="C151" s="9">
        <v>45962</v>
      </c>
      <c r="D151">
        <v>8</v>
      </c>
      <c r="E151" s="16" t="s">
        <v>95</v>
      </c>
      <c r="F151" s="16" t="s">
        <v>85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39</v>
      </c>
      <c r="C152" s="9">
        <v>45992</v>
      </c>
      <c r="D152">
        <v>8</v>
      </c>
      <c r="E152" s="16" t="s">
        <v>95</v>
      </c>
      <c r="F152" s="16" t="s">
        <v>85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39</v>
      </c>
      <c r="C153" s="9">
        <v>46023</v>
      </c>
      <c r="D153">
        <v>8</v>
      </c>
      <c r="E153" s="16" t="s">
        <v>95</v>
      </c>
      <c r="F153" s="16" t="s">
        <v>85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39</v>
      </c>
      <c r="C154" s="9">
        <v>46054</v>
      </c>
      <c r="D154">
        <v>8</v>
      </c>
      <c r="E154" s="16" t="s">
        <v>95</v>
      </c>
      <c r="F154" s="16" t="s">
        <v>85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39</v>
      </c>
      <c r="C155" s="9">
        <v>46082</v>
      </c>
      <c r="D155">
        <v>8</v>
      </c>
      <c r="E155" s="16" t="s">
        <v>95</v>
      </c>
      <c r="F155" s="16" t="s">
        <v>85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39</v>
      </c>
      <c r="C156" s="9">
        <v>46113</v>
      </c>
      <c r="D156">
        <v>8</v>
      </c>
      <c r="E156" s="16" t="s">
        <v>95</v>
      </c>
      <c r="F156" s="16" t="s">
        <v>85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39</v>
      </c>
      <c r="C157" s="9">
        <v>46143</v>
      </c>
      <c r="D157">
        <v>8</v>
      </c>
      <c r="E157" s="16" t="s">
        <v>95</v>
      </c>
      <c r="F157" s="16" t="s">
        <v>85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39</v>
      </c>
      <c r="C158" s="9">
        <v>46174</v>
      </c>
      <c r="D158">
        <v>8</v>
      </c>
      <c r="E158" s="16" t="s">
        <v>95</v>
      </c>
      <c r="F158" s="16" t="s">
        <v>85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39</v>
      </c>
      <c r="C159" s="9">
        <v>46204</v>
      </c>
      <c r="D159">
        <v>8</v>
      </c>
      <c r="E159" s="16" t="s">
        <v>95</v>
      </c>
      <c r="F159" s="16" t="s">
        <v>85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39</v>
      </c>
      <c r="C160" s="9">
        <v>46235</v>
      </c>
      <c r="D160">
        <v>8</v>
      </c>
      <c r="E160" s="16" t="s">
        <v>95</v>
      </c>
      <c r="F160" s="16" t="s">
        <v>85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39</v>
      </c>
      <c r="C161" s="9">
        <v>46266</v>
      </c>
      <c r="D161">
        <v>8</v>
      </c>
      <c r="E161" s="16" t="s">
        <v>95</v>
      </c>
      <c r="F161" s="16" t="s">
        <v>85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39</v>
      </c>
      <c r="C162" s="9">
        <v>45689</v>
      </c>
      <c r="D162">
        <v>9</v>
      </c>
      <c r="E162" s="16" t="s">
        <v>96</v>
      </c>
      <c r="F162" s="16" t="s">
        <v>87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39</v>
      </c>
      <c r="C163" s="9">
        <v>45717</v>
      </c>
      <c r="D163">
        <v>9</v>
      </c>
      <c r="E163" s="16" t="s">
        <v>96</v>
      </c>
      <c r="F163" s="16" t="s">
        <v>87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39</v>
      </c>
      <c r="C164" s="9">
        <v>45778</v>
      </c>
      <c r="D164">
        <v>9</v>
      </c>
      <c r="E164" s="16" t="s">
        <v>96</v>
      </c>
      <c r="F164" s="16" t="s">
        <v>87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39</v>
      </c>
      <c r="C165" s="9">
        <v>45809</v>
      </c>
      <c r="D165">
        <v>9</v>
      </c>
      <c r="E165" s="16" t="s">
        <v>96</v>
      </c>
      <c r="F165" s="16" t="s">
        <v>87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39</v>
      </c>
      <c r="C166" s="9">
        <v>45839</v>
      </c>
      <c r="D166">
        <v>9</v>
      </c>
      <c r="E166" s="16" t="s">
        <v>96</v>
      </c>
      <c r="F166" s="16" t="s">
        <v>87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39</v>
      </c>
      <c r="C167" s="9">
        <v>45870</v>
      </c>
      <c r="D167">
        <v>9</v>
      </c>
      <c r="E167" s="16" t="s">
        <v>96</v>
      </c>
      <c r="F167" s="16" t="s">
        <v>87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39</v>
      </c>
      <c r="C168" s="9">
        <v>45901</v>
      </c>
      <c r="D168">
        <v>9</v>
      </c>
      <c r="E168" s="16" t="s">
        <v>96</v>
      </c>
      <c r="F168" s="16" t="s">
        <v>87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39</v>
      </c>
      <c r="C169" s="9">
        <v>45931</v>
      </c>
      <c r="D169">
        <v>9</v>
      </c>
      <c r="E169" s="16" t="s">
        <v>96</v>
      </c>
      <c r="F169" s="16" t="s">
        <v>87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39</v>
      </c>
      <c r="C170" s="9">
        <v>45962</v>
      </c>
      <c r="D170">
        <v>9</v>
      </c>
      <c r="E170" s="16" t="s">
        <v>96</v>
      </c>
      <c r="F170" s="16" t="s">
        <v>87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39</v>
      </c>
      <c r="C171" s="9">
        <v>45992</v>
      </c>
      <c r="D171">
        <v>9</v>
      </c>
      <c r="E171" s="16" t="s">
        <v>96</v>
      </c>
      <c r="F171" s="16" t="s">
        <v>87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39</v>
      </c>
      <c r="C172" s="9">
        <v>46023</v>
      </c>
      <c r="D172">
        <v>9</v>
      </c>
      <c r="E172" s="16" t="s">
        <v>96</v>
      </c>
      <c r="F172" s="16" t="s">
        <v>87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39</v>
      </c>
      <c r="C173" s="9">
        <v>46054</v>
      </c>
      <c r="D173">
        <v>9</v>
      </c>
      <c r="E173" s="16" t="s">
        <v>96</v>
      </c>
      <c r="F173" s="16" t="s">
        <v>87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39</v>
      </c>
      <c r="C174" s="9">
        <v>46082</v>
      </c>
      <c r="D174">
        <v>9</v>
      </c>
      <c r="E174" s="16" t="s">
        <v>96</v>
      </c>
      <c r="F174" s="16" t="s">
        <v>87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39</v>
      </c>
      <c r="C175" s="9">
        <v>46113</v>
      </c>
      <c r="D175">
        <v>9</v>
      </c>
      <c r="E175" s="16" t="s">
        <v>96</v>
      </c>
      <c r="F175" s="16" t="s">
        <v>87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39</v>
      </c>
      <c r="C176" s="9">
        <v>46143</v>
      </c>
      <c r="D176">
        <v>9</v>
      </c>
      <c r="E176" s="16" t="s">
        <v>96</v>
      </c>
      <c r="F176" s="16" t="s">
        <v>87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39</v>
      </c>
      <c r="C177" s="9">
        <v>46174</v>
      </c>
      <c r="D177">
        <v>9</v>
      </c>
      <c r="E177" s="16" t="s">
        <v>96</v>
      </c>
      <c r="F177" s="16" t="s">
        <v>87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39</v>
      </c>
      <c r="C178" s="9">
        <v>46204</v>
      </c>
      <c r="D178">
        <v>9</v>
      </c>
      <c r="E178" s="16" t="s">
        <v>96</v>
      </c>
      <c r="F178" s="16" t="s">
        <v>87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39</v>
      </c>
      <c r="C179" s="9">
        <v>46235</v>
      </c>
      <c r="D179">
        <v>9</v>
      </c>
      <c r="E179" s="16" t="s">
        <v>96</v>
      </c>
      <c r="F179" s="16" t="s">
        <v>87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39</v>
      </c>
      <c r="C180" s="9">
        <v>46266</v>
      </c>
      <c r="D180">
        <v>9</v>
      </c>
      <c r="E180" s="16" t="s">
        <v>96</v>
      </c>
      <c r="F180" s="16" t="s">
        <v>87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39</v>
      </c>
      <c r="C181" s="9">
        <v>45689</v>
      </c>
      <c r="D181">
        <v>10</v>
      </c>
      <c r="E181" s="16" t="s">
        <v>97</v>
      </c>
      <c r="F181" s="16" t="s">
        <v>85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39</v>
      </c>
      <c r="C182" s="9">
        <v>45717</v>
      </c>
      <c r="D182">
        <v>10</v>
      </c>
      <c r="E182" s="16" t="s">
        <v>97</v>
      </c>
      <c r="F182" s="16" t="s">
        <v>85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39</v>
      </c>
      <c r="C183" s="9">
        <v>45748</v>
      </c>
      <c r="D183">
        <v>10</v>
      </c>
      <c r="E183" s="16" t="s">
        <v>97</v>
      </c>
      <c r="F183" s="16" t="s">
        <v>85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39</v>
      </c>
      <c r="C184" s="9">
        <v>45778</v>
      </c>
      <c r="D184">
        <v>10</v>
      </c>
      <c r="E184" s="16" t="s">
        <v>97</v>
      </c>
      <c r="F184" s="16" t="s">
        <v>85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39</v>
      </c>
      <c r="C185" s="9">
        <v>45809</v>
      </c>
      <c r="D185">
        <v>10</v>
      </c>
      <c r="E185" s="16" t="s">
        <v>97</v>
      </c>
      <c r="F185" s="16" t="s">
        <v>85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39</v>
      </c>
      <c r="C186" s="9">
        <v>45839</v>
      </c>
      <c r="D186">
        <v>10</v>
      </c>
      <c r="E186" s="16" t="s">
        <v>97</v>
      </c>
      <c r="F186" s="16" t="s">
        <v>85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39</v>
      </c>
      <c r="C187" s="9">
        <v>45870</v>
      </c>
      <c r="D187">
        <v>10</v>
      </c>
      <c r="E187" s="16" t="s">
        <v>97</v>
      </c>
      <c r="F187" s="16" t="s">
        <v>85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39</v>
      </c>
      <c r="C188" s="9">
        <v>45901</v>
      </c>
      <c r="D188">
        <v>10</v>
      </c>
      <c r="E188" s="16" t="s">
        <v>97</v>
      </c>
      <c r="F188" s="16" t="s">
        <v>85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39</v>
      </c>
      <c r="C189" s="9">
        <v>45931</v>
      </c>
      <c r="D189">
        <v>10</v>
      </c>
      <c r="E189" s="16" t="s">
        <v>97</v>
      </c>
      <c r="F189" s="16" t="s">
        <v>85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39</v>
      </c>
      <c r="C190" s="9">
        <v>45962</v>
      </c>
      <c r="D190">
        <v>10</v>
      </c>
      <c r="E190" s="16" t="s">
        <v>97</v>
      </c>
      <c r="F190" s="16" t="s">
        <v>85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39</v>
      </c>
      <c r="C191" s="9">
        <v>45992</v>
      </c>
      <c r="D191">
        <v>10</v>
      </c>
      <c r="E191" s="16" t="s">
        <v>97</v>
      </c>
      <c r="F191" s="16" t="s">
        <v>85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39</v>
      </c>
      <c r="C192" s="9">
        <v>46023</v>
      </c>
      <c r="D192">
        <v>10</v>
      </c>
      <c r="E192" s="16" t="s">
        <v>97</v>
      </c>
      <c r="F192" s="16" t="s">
        <v>85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39</v>
      </c>
      <c r="C193" s="9">
        <v>46054</v>
      </c>
      <c r="D193">
        <v>10</v>
      </c>
      <c r="E193" s="16" t="s">
        <v>97</v>
      </c>
      <c r="F193" s="16" t="s">
        <v>85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39</v>
      </c>
      <c r="C194" s="9">
        <v>46082</v>
      </c>
      <c r="D194">
        <v>10</v>
      </c>
      <c r="E194" s="16" t="s">
        <v>97</v>
      </c>
      <c r="F194" s="16" t="s">
        <v>85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39</v>
      </c>
      <c r="C195" s="9">
        <v>46113</v>
      </c>
      <c r="D195">
        <v>10</v>
      </c>
      <c r="E195" s="16" t="s">
        <v>97</v>
      </c>
      <c r="F195" s="16" t="s">
        <v>85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39</v>
      </c>
      <c r="C196" s="9">
        <v>46143</v>
      </c>
      <c r="D196">
        <v>10</v>
      </c>
      <c r="E196" s="16" t="s">
        <v>97</v>
      </c>
      <c r="F196" s="16" t="s">
        <v>85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39</v>
      </c>
      <c r="C197" s="9">
        <v>46174</v>
      </c>
      <c r="D197">
        <v>10</v>
      </c>
      <c r="E197" s="16" t="s">
        <v>97</v>
      </c>
      <c r="F197" s="16" t="s">
        <v>85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39</v>
      </c>
      <c r="C198" s="9">
        <v>46204</v>
      </c>
      <c r="D198">
        <v>10</v>
      </c>
      <c r="E198" s="16" t="s">
        <v>97</v>
      </c>
      <c r="F198" s="16" t="s">
        <v>85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39</v>
      </c>
      <c r="C199" s="9">
        <v>46235</v>
      </c>
      <c r="D199">
        <v>10</v>
      </c>
      <c r="E199" s="16" t="s">
        <v>97</v>
      </c>
      <c r="F199" s="16" t="s">
        <v>85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39</v>
      </c>
      <c r="C200" s="9">
        <v>46266</v>
      </c>
      <c r="D200">
        <v>10</v>
      </c>
      <c r="E200" s="16" t="s">
        <v>97</v>
      </c>
      <c r="F200" s="16" t="s">
        <v>85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39</v>
      </c>
      <c r="C201" s="9">
        <v>45689</v>
      </c>
      <c r="D201">
        <v>11</v>
      </c>
      <c r="E201" s="16" t="s">
        <v>98</v>
      </c>
      <c r="F201" s="16" t="s">
        <v>89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39</v>
      </c>
      <c r="C202" s="9">
        <v>45717</v>
      </c>
      <c r="D202">
        <v>11</v>
      </c>
      <c r="E202" s="16" t="s">
        <v>98</v>
      </c>
      <c r="F202" s="16" t="s">
        <v>89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39</v>
      </c>
      <c r="C203" s="9">
        <v>45748</v>
      </c>
      <c r="D203">
        <v>11</v>
      </c>
      <c r="E203" s="16" t="s">
        <v>98</v>
      </c>
      <c r="F203" s="16" t="s">
        <v>89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39</v>
      </c>
      <c r="C204" s="9">
        <v>45778</v>
      </c>
      <c r="D204">
        <v>11</v>
      </c>
      <c r="E204" s="16" t="s">
        <v>98</v>
      </c>
      <c r="F204" s="16" t="s">
        <v>89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39</v>
      </c>
      <c r="C205" s="9">
        <v>45809</v>
      </c>
      <c r="D205">
        <v>11</v>
      </c>
      <c r="E205" s="16" t="s">
        <v>98</v>
      </c>
      <c r="F205" s="16" t="s">
        <v>89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39</v>
      </c>
      <c r="C206" s="9">
        <v>45839</v>
      </c>
      <c r="D206">
        <v>11</v>
      </c>
      <c r="E206" s="16" t="s">
        <v>98</v>
      </c>
      <c r="F206" s="16" t="s">
        <v>89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39</v>
      </c>
      <c r="C207" s="9">
        <v>45870</v>
      </c>
      <c r="D207">
        <v>11</v>
      </c>
      <c r="E207" s="16" t="s">
        <v>98</v>
      </c>
      <c r="F207" s="16" t="s">
        <v>89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39</v>
      </c>
      <c r="C208" s="9">
        <v>45901</v>
      </c>
      <c r="D208">
        <v>11</v>
      </c>
      <c r="E208" s="16" t="s">
        <v>98</v>
      </c>
      <c r="F208" s="16" t="s">
        <v>89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39</v>
      </c>
      <c r="C209" s="9">
        <v>45931</v>
      </c>
      <c r="D209">
        <v>11</v>
      </c>
      <c r="E209" s="16" t="s">
        <v>98</v>
      </c>
      <c r="F209" s="16" t="s">
        <v>89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39</v>
      </c>
      <c r="C210" s="9">
        <v>45962</v>
      </c>
      <c r="D210">
        <v>11</v>
      </c>
      <c r="E210" s="16" t="s">
        <v>98</v>
      </c>
      <c r="F210" s="16" t="s">
        <v>89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39</v>
      </c>
      <c r="C211" s="9">
        <v>45992</v>
      </c>
      <c r="D211">
        <v>11</v>
      </c>
      <c r="E211" s="16" t="s">
        <v>98</v>
      </c>
      <c r="F211" s="16" t="s">
        <v>89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39</v>
      </c>
      <c r="C212" s="9">
        <v>46023</v>
      </c>
      <c r="D212">
        <v>11</v>
      </c>
      <c r="E212" s="16" t="s">
        <v>98</v>
      </c>
      <c r="F212" s="16" t="s">
        <v>89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39</v>
      </c>
      <c r="C213" s="9">
        <v>46054</v>
      </c>
      <c r="D213">
        <v>11</v>
      </c>
      <c r="E213" s="16" t="s">
        <v>98</v>
      </c>
      <c r="F213" s="16" t="s">
        <v>89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39</v>
      </c>
      <c r="C214" s="9">
        <v>46082</v>
      </c>
      <c r="D214">
        <v>11</v>
      </c>
      <c r="E214" s="16" t="s">
        <v>98</v>
      </c>
      <c r="F214" s="16" t="s">
        <v>89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39</v>
      </c>
      <c r="C215" s="9">
        <v>46113</v>
      </c>
      <c r="D215">
        <v>11</v>
      </c>
      <c r="E215" s="16" t="s">
        <v>98</v>
      </c>
      <c r="F215" s="16" t="s">
        <v>89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39</v>
      </c>
      <c r="C216" s="9">
        <v>46143</v>
      </c>
      <c r="D216">
        <v>11</v>
      </c>
      <c r="E216" s="16" t="s">
        <v>98</v>
      </c>
      <c r="F216" s="16" t="s">
        <v>89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39</v>
      </c>
      <c r="C217" s="9">
        <v>46174</v>
      </c>
      <c r="D217">
        <v>11</v>
      </c>
      <c r="E217" s="16" t="s">
        <v>98</v>
      </c>
      <c r="F217" s="16" t="s">
        <v>89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39</v>
      </c>
      <c r="C218" s="9">
        <v>46204</v>
      </c>
      <c r="D218">
        <v>11</v>
      </c>
      <c r="E218" s="16" t="s">
        <v>98</v>
      </c>
      <c r="F218" s="16" t="s">
        <v>89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39</v>
      </c>
      <c r="C219" s="9">
        <v>46235</v>
      </c>
      <c r="D219">
        <v>11</v>
      </c>
      <c r="E219" s="16" t="s">
        <v>98</v>
      </c>
      <c r="F219" s="16" t="s">
        <v>89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39</v>
      </c>
      <c r="C220" s="9">
        <v>46266</v>
      </c>
      <c r="D220">
        <v>11</v>
      </c>
      <c r="E220" s="16" t="s">
        <v>98</v>
      </c>
      <c r="F220" s="16" t="s">
        <v>89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39</v>
      </c>
      <c r="C221" s="9">
        <v>45689</v>
      </c>
      <c r="D221">
        <v>13</v>
      </c>
      <c r="E221" s="16" t="s">
        <v>99</v>
      </c>
      <c r="F221" s="16" t="s">
        <v>100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39</v>
      </c>
      <c r="C222" s="9">
        <v>45717</v>
      </c>
      <c r="D222">
        <v>13</v>
      </c>
      <c r="E222" s="16" t="s">
        <v>99</v>
      </c>
      <c r="F222" s="16" t="s">
        <v>100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39</v>
      </c>
      <c r="C223" s="9">
        <v>45748</v>
      </c>
      <c r="D223">
        <v>13</v>
      </c>
      <c r="E223" s="16" t="s">
        <v>99</v>
      </c>
      <c r="F223" s="16" t="s">
        <v>100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39</v>
      </c>
      <c r="C224" s="9">
        <v>45778</v>
      </c>
      <c r="D224">
        <v>13</v>
      </c>
      <c r="E224" s="16" t="s">
        <v>99</v>
      </c>
      <c r="F224" s="16" t="s">
        <v>100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39</v>
      </c>
      <c r="C225" s="9">
        <v>45809</v>
      </c>
      <c r="D225">
        <v>13</v>
      </c>
      <c r="E225" s="16" t="s">
        <v>99</v>
      </c>
      <c r="F225" s="16" t="s">
        <v>100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39</v>
      </c>
      <c r="C226" s="9">
        <v>45839</v>
      </c>
      <c r="D226">
        <v>13</v>
      </c>
      <c r="E226" s="16" t="s">
        <v>99</v>
      </c>
      <c r="F226" s="16" t="s">
        <v>100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39</v>
      </c>
      <c r="C227" s="9">
        <v>45870</v>
      </c>
      <c r="D227">
        <v>13</v>
      </c>
      <c r="E227" s="16" t="s">
        <v>99</v>
      </c>
      <c r="F227" s="16" t="s">
        <v>100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39</v>
      </c>
      <c r="C228" s="9">
        <v>45901</v>
      </c>
      <c r="D228">
        <v>13</v>
      </c>
      <c r="E228" s="16" t="s">
        <v>99</v>
      </c>
      <c r="F228" s="16" t="s">
        <v>100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39</v>
      </c>
      <c r="C229" s="9">
        <v>45931</v>
      </c>
      <c r="D229">
        <v>13</v>
      </c>
      <c r="E229" s="16" t="s">
        <v>99</v>
      </c>
      <c r="F229" s="16" t="s">
        <v>100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39</v>
      </c>
      <c r="C230" s="9">
        <v>45962</v>
      </c>
      <c r="D230">
        <v>13</v>
      </c>
      <c r="E230" s="16" t="s">
        <v>99</v>
      </c>
      <c r="F230" s="16" t="s">
        <v>100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39</v>
      </c>
      <c r="C231" s="9">
        <v>45992</v>
      </c>
      <c r="D231">
        <v>13</v>
      </c>
      <c r="E231" s="16" t="s">
        <v>99</v>
      </c>
      <c r="F231" s="16" t="s">
        <v>100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39</v>
      </c>
      <c r="C232" s="9">
        <v>46023</v>
      </c>
      <c r="D232">
        <v>13</v>
      </c>
      <c r="E232" s="16" t="s">
        <v>99</v>
      </c>
      <c r="F232" s="16" t="s">
        <v>100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39</v>
      </c>
      <c r="C233" s="9">
        <v>46054</v>
      </c>
      <c r="D233">
        <v>13</v>
      </c>
      <c r="E233" s="16" t="s">
        <v>99</v>
      </c>
      <c r="F233" s="16" t="s">
        <v>100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39</v>
      </c>
      <c r="C234" s="9">
        <v>46082</v>
      </c>
      <c r="D234">
        <v>13</v>
      </c>
      <c r="E234" s="16" t="s">
        <v>99</v>
      </c>
      <c r="F234" s="16" t="s">
        <v>100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39</v>
      </c>
      <c r="C235" s="9">
        <v>46113</v>
      </c>
      <c r="D235">
        <v>13</v>
      </c>
      <c r="E235" s="16" t="s">
        <v>99</v>
      </c>
      <c r="F235" s="16" t="s">
        <v>100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39</v>
      </c>
      <c r="C236" s="9">
        <v>46143</v>
      </c>
      <c r="D236">
        <v>13</v>
      </c>
      <c r="E236" s="16" t="s">
        <v>99</v>
      </c>
      <c r="F236" s="16" t="s">
        <v>100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39</v>
      </c>
      <c r="C237" s="9">
        <v>46174</v>
      </c>
      <c r="D237">
        <v>13</v>
      </c>
      <c r="E237" s="16" t="s">
        <v>99</v>
      </c>
      <c r="F237" s="16" t="s">
        <v>100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39</v>
      </c>
      <c r="C238" s="9">
        <v>46204</v>
      </c>
      <c r="D238">
        <v>13</v>
      </c>
      <c r="E238" s="16" t="s">
        <v>99</v>
      </c>
      <c r="F238" s="16" t="s">
        <v>100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39</v>
      </c>
      <c r="C239" s="9">
        <v>46235</v>
      </c>
      <c r="D239">
        <v>13</v>
      </c>
      <c r="E239" s="16" t="s">
        <v>99</v>
      </c>
      <c r="F239" s="16" t="s">
        <v>100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39</v>
      </c>
      <c r="C240" s="9">
        <v>46266</v>
      </c>
      <c r="D240">
        <v>13</v>
      </c>
      <c r="E240" s="16" t="s">
        <v>99</v>
      </c>
      <c r="F240" s="16" t="s">
        <v>100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39</v>
      </c>
      <c r="C241" s="9">
        <v>45689</v>
      </c>
      <c r="D241">
        <v>14</v>
      </c>
      <c r="E241" s="16" t="s">
        <v>101</v>
      </c>
      <c r="F241" s="16" t="s">
        <v>92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39</v>
      </c>
      <c r="C242" s="9">
        <v>45717</v>
      </c>
      <c r="D242">
        <v>14</v>
      </c>
      <c r="E242" s="16" t="s">
        <v>101</v>
      </c>
      <c r="F242" s="16" t="s">
        <v>92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39</v>
      </c>
      <c r="C243" s="9">
        <v>45748</v>
      </c>
      <c r="D243">
        <v>14</v>
      </c>
      <c r="E243" s="16" t="s">
        <v>101</v>
      </c>
      <c r="F243" s="16" t="s">
        <v>92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39</v>
      </c>
      <c r="C244" s="9">
        <v>45778</v>
      </c>
      <c r="D244">
        <v>14</v>
      </c>
      <c r="E244" s="16" t="s">
        <v>101</v>
      </c>
      <c r="F244" s="16" t="s">
        <v>92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39</v>
      </c>
      <c r="C245" s="9">
        <v>45809</v>
      </c>
      <c r="D245">
        <v>14</v>
      </c>
      <c r="E245" s="16" t="s">
        <v>101</v>
      </c>
      <c r="F245" s="16" t="s">
        <v>92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39</v>
      </c>
      <c r="C246" s="9">
        <v>45839</v>
      </c>
      <c r="D246">
        <v>14</v>
      </c>
      <c r="E246" s="16" t="s">
        <v>101</v>
      </c>
      <c r="F246" s="16" t="s">
        <v>92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39</v>
      </c>
      <c r="C247" s="9">
        <v>45870</v>
      </c>
      <c r="D247">
        <v>14</v>
      </c>
      <c r="E247" s="16" t="s">
        <v>101</v>
      </c>
      <c r="F247" s="16" t="s">
        <v>92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39</v>
      </c>
      <c r="C248" s="9">
        <v>45901</v>
      </c>
      <c r="D248">
        <v>14</v>
      </c>
      <c r="E248" s="16" t="s">
        <v>101</v>
      </c>
      <c r="F248" s="16" t="s">
        <v>92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39</v>
      </c>
      <c r="C249" s="9">
        <v>45931</v>
      </c>
      <c r="D249">
        <v>14</v>
      </c>
      <c r="E249" s="16" t="s">
        <v>101</v>
      </c>
      <c r="F249" s="16" t="s">
        <v>92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39</v>
      </c>
      <c r="C250" s="9">
        <v>45962</v>
      </c>
      <c r="D250">
        <v>14</v>
      </c>
      <c r="E250" s="16" t="s">
        <v>101</v>
      </c>
      <c r="F250" s="16" t="s">
        <v>92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39</v>
      </c>
      <c r="C251" s="9">
        <v>45992</v>
      </c>
      <c r="D251">
        <v>14</v>
      </c>
      <c r="E251" s="16" t="s">
        <v>101</v>
      </c>
      <c r="F251" s="16" t="s">
        <v>92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39</v>
      </c>
      <c r="C252" s="9">
        <v>46023</v>
      </c>
      <c r="D252">
        <v>14</v>
      </c>
      <c r="E252" s="16" t="s">
        <v>101</v>
      </c>
      <c r="F252" s="16" t="s">
        <v>92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39</v>
      </c>
      <c r="C253" s="9">
        <v>46054</v>
      </c>
      <c r="D253">
        <v>14</v>
      </c>
      <c r="E253" s="16" t="s">
        <v>101</v>
      </c>
      <c r="F253" s="16" t="s">
        <v>92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39</v>
      </c>
      <c r="C254" s="9">
        <v>46082</v>
      </c>
      <c r="D254">
        <v>14</v>
      </c>
      <c r="E254" s="16" t="s">
        <v>101</v>
      </c>
      <c r="F254" s="16" t="s">
        <v>92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39</v>
      </c>
      <c r="C255" s="9">
        <v>46113</v>
      </c>
      <c r="D255">
        <v>14</v>
      </c>
      <c r="E255" s="16" t="s">
        <v>101</v>
      </c>
      <c r="F255" s="16" t="s">
        <v>92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39</v>
      </c>
      <c r="C256" s="9">
        <v>46143</v>
      </c>
      <c r="D256">
        <v>14</v>
      </c>
      <c r="E256" s="16" t="s">
        <v>101</v>
      </c>
      <c r="F256" s="16" t="s">
        <v>92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39</v>
      </c>
      <c r="C257" s="9">
        <v>46174</v>
      </c>
      <c r="D257">
        <v>14</v>
      </c>
      <c r="E257" s="16" t="s">
        <v>101</v>
      </c>
      <c r="F257" s="16" t="s">
        <v>92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39</v>
      </c>
      <c r="C258" s="9">
        <v>46204</v>
      </c>
      <c r="D258">
        <v>14</v>
      </c>
      <c r="E258" s="16" t="s">
        <v>101</v>
      </c>
      <c r="F258" s="16" t="s">
        <v>92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39</v>
      </c>
      <c r="C259" s="9">
        <v>46235</v>
      </c>
      <c r="D259">
        <v>14</v>
      </c>
      <c r="E259" s="16" t="s">
        <v>101</v>
      </c>
      <c r="F259" s="16" t="s">
        <v>92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39</v>
      </c>
      <c r="C260" s="9">
        <v>46266</v>
      </c>
      <c r="D260">
        <v>14</v>
      </c>
      <c r="E260" s="16" t="s">
        <v>101</v>
      </c>
      <c r="F260" s="16" t="s">
        <v>92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39</v>
      </c>
      <c r="C261" s="9">
        <v>45689</v>
      </c>
      <c r="D261">
        <v>15</v>
      </c>
      <c r="E261" s="16" t="s">
        <v>102</v>
      </c>
      <c r="F261" s="16" t="s">
        <v>94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39</v>
      </c>
      <c r="C262" s="9">
        <v>45717</v>
      </c>
      <c r="D262">
        <v>15</v>
      </c>
      <c r="E262" s="16" t="s">
        <v>102</v>
      </c>
      <c r="F262" s="16" t="s">
        <v>94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39</v>
      </c>
      <c r="C263" s="9">
        <v>45748</v>
      </c>
      <c r="D263">
        <v>15</v>
      </c>
      <c r="E263" s="16" t="s">
        <v>102</v>
      </c>
      <c r="F263" s="16" t="s">
        <v>94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39</v>
      </c>
      <c r="C264" s="9">
        <v>45778</v>
      </c>
      <c r="D264">
        <v>15</v>
      </c>
      <c r="E264" s="16" t="s">
        <v>102</v>
      </c>
      <c r="F264" s="16" t="s">
        <v>94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39</v>
      </c>
      <c r="C265" s="9">
        <v>45809</v>
      </c>
      <c r="D265">
        <v>15</v>
      </c>
      <c r="E265" s="16" t="s">
        <v>102</v>
      </c>
      <c r="F265" s="16" t="s">
        <v>94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39</v>
      </c>
      <c r="C266" s="9">
        <v>45839</v>
      </c>
      <c r="D266">
        <v>15</v>
      </c>
      <c r="E266" s="16" t="s">
        <v>102</v>
      </c>
      <c r="F266" s="16" t="s">
        <v>94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39</v>
      </c>
      <c r="C267" s="9">
        <v>45870</v>
      </c>
      <c r="D267">
        <v>15</v>
      </c>
      <c r="E267" s="16" t="s">
        <v>102</v>
      </c>
      <c r="F267" s="16" t="s">
        <v>94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39</v>
      </c>
      <c r="C268" s="9">
        <v>45901</v>
      </c>
      <c r="D268">
        <v>15</v>
      </c>
      <c r="E268" s="16" t="s">
        <v>102</v>
      </c>
      <c r="F268" s="16" t="s">
        <v>94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39</v>
      </c>
      <c r="C269" s="9">
        <v>45931</v>
      </c>
      <c r="D269">
        <v>15</v>
      </c>
      <c r="E269" s="16" t="s">
        <v>102</v>
      </c>
      <c r="F269" s="16" t="s">
        <v>94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39</v>
      </c>
      <c r="C270" s="9">
        <v>45962</v>
      </c>
      <c r="D270">
        <v>15</v>
      </c>
      <c r="E270" s="16" t="s">
        <v>102</v>
      </c>
      <c r="F270" s="16" t="s">
        <v>94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39</v>
      </c>
      <c r="C271" s="9">
        <v>45992</v>
      </c>
      <c r="D271">
        <v>15</v>
      </c>
      <c r="E271" s="16" t="s">
        <v>102</v>
      </c>
      <c r="F271" s="16" t="s">
        <v>94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39</v>
      </c>
      <c r="C272" s="9">
        <v>46023</v>
      </c>
      <c r="D272">
        <v>15</v>
      </c>
      <c r="E272" s="16" t="s">
        <v>102</v>
      </c>
      <c r="F272" s="16" t="s">
        <v>94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39</v>
      </c>
      <c r="C273" s="9">
        <v>46054</v>
      </c>
      <c r="D273">
        <v>15</v>
      </c>
      <c r="E273" s="16" t="s">
        <v>102</v>
      </c>
      <c r="F273" s="16" t="s">
        <v>94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39</v>
      </c>
      <c r="C274" s="9">
        <v>46082</v>
      </c>
      <c r="D274">
        <v>15</v>
      </c>
      <c r="E274" s="16" t="s">
        <v>102</v>
      </c>
      <c r="F274" s="16" t="s">
        <v>94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39</v>
      </c>
      <c r="C275" s="9">
        <v>46113</v>
      </c>
      <c r="D275">
        <v>15</v>
      </c>
      <c r="E275" s="16" t="s">
        <v>102</v>
      </c>
      <c r="F275" s="16" t="s">
        <v>94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39</v>
      </c>
      <c r="C276" s="9">
        <v>46143</v>
      </c>
      <c r="D276">
        <v>15</v>
      </c>
      <c r="E276" s="16" t="s">
        <v>102</v>
      </c>
      <c r="F276" s="16" t="s">
        <v>94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39</v>
      </c>
      <c r="C277" s="9">
        <v>46174</v>
      </c>
      <c r="D277">
        <v>15</v>
      </c>
      <c r="E277" s="16" t="s">
        <v>102</v>
      </c>
      <c r="F277" s="16" t="s">
        <v>94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39</v>
      </c>
      <c r="C278" s="9">
        <v>46204</v>
      </c>
      <c r="D278">
        <v>15</v>
      </c>
      <c r="E278" s="16" t="s">
        <v>102</v>
      </c>
      <c r="F278" s="16" t="s">
        <v>94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39</v>
      </c>
      <c r="C279" s="9">
        <v>46235</v>
      </c>
      <c r="D279">
        <v>15</v>
      </c>
      <c r="E279" s="16" t="s">
        <v>102</v>
      </c>
      <c r="F279" s="16" t="s">
        <v>94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39</v>
      </c>
      <c r="C280" s="9">
        <v>46266</v>
      </c>
      <c r="D280">
        <v>15</v>
      </c>
      <c r="E280" s="16" t="s">
        <v>102</v>
      </c>
      <c r="F280" s="16" t="s">
        <v>94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39</v>
      </c>
      <c r="C281" s="9">
        <v>45689</v>
      </c>
      <c r="D281">
        <v>16</v>
      </c>
      <c r="E281" s="16" t="s">
        <v>103</v>
      </c>
      <c r="F281" s="16" t="s">
        <v>94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39</v>
      </c>
      <c r="C282" s="9">
        <v>45717</v>
      </c>
      <c r="D282">
        <v>16</v>
      </c>
      <c r="E282" s="16" t="s">
        <v>103</v>
      </c>
      <c r="F282" s="16" t="s">
        <v>94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39</v>
      </c>
      <c r="C283" s="9">
        <v>45748</v>
      </c>
      <c r="D283">
        <v>16</v>
      </c>
      <c r="E283" s="16" t="s">
        <v>103</v>
      </c>
      <c r="F283" s="16" t="s">
        <v>94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39</v>
      </c>
      <c r="C284" s="9">
        <v>45778</v>
      </c>
      <c r="D284">
        <v>16</v>
      </c>
      <c r="E284" s="16" t="s">
        <v>103</v>
      </c>
      <c r="F284" s="16" t="s">
        <v>94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39</v>
      </c>
      <c r="C285" s="9">
        <v>45809</v>
      </c>
      <c r="D285">
        <v>16</v>
      </c>
      <c r="E285" s="16" t="s">
        <v>103</v>
      </c>
      <c r="F285" s="16" t="s">
        <v>94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39</v>
      </c>
      <c r="C286" s="9">
        <v>45839</v>
      </c>
      <c r="D286">
        <v>16</v>
      </c>
      <c r="E286" s="16" t="s">
        <v>103</v>
      </c>
      <c r="F286" s="16" t="s">
        <v>94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39</v>
      </c>
      <c r="C287" s="9">
        <v>45870</v>
      </c>
      <c r="D287">
        <v>16</v>
      </c>
      <c r="E287" s="16" t="s">
        <v>103</v>
      </c>
      <c r="F287" s="16" t="s">
        <v>94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39</v>
      </c>
      <c r="C288" s="9">
        <v>45901</v>
      </c>
      <c r="D288">
        <v>16</v>
      </c>
      <c r="E288" s="16" t="s">
        <v>103</v>
      </c>
      <c r="F288" s="16" t="s">
        <v>94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39</v>
      </c>
      <c r="C289" s="9">
        <v>45931</v>
      </c>
      <c r="D289">
        <v>16</v>
      </c>
      <c r="E289" s="16" t="s">
        <v>103</v>
      </c>
      <c r="F289" s="16" t="s">
        <v>94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39</v>
      </c>
      <c r="C290" s="9">
        <v>45962</v>
      </c>
      <c r="D290">
        <v>16</v>
      </c>
      <c r="E290" s="16" t="s">
        <v>103</v>
      </c>
      <c r="F290" s="16" t="s">
        <v>94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39</v>
      </c>
      <c r="C291" s="9">
        <v>45992</v>
      </c>
      <c r="D291">
        <v>16</v>
      </c>
      <c r="E291" s="16" t="s">
        <v>103</v>
      </c>
      <c r="F291" s="16" t="s">
        <v>94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39</v>
      </c>
      <c r="C292" s="9">
        <v>46023</v>
      </c>
      <c r="D292">
        <v>16</v>
      </c>
      <c r="E292" s="16" t="s">
        <v>103</v>
      </c>
      <c r="F292" s="16" t="s">
        <v>94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39</v>
      </c>
      <c r="C293" s="9">
        <v>46054</v>
      </c>
      <c r="D293">
        <v>16</v>
      </c>
      <c r="E293" s="16" t="s">
        <v>103</v>
      </c>
      <c r="F293" s="16" t="s">
        <v>94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39</v>
      </c>
      <c r="C294" s="9">
        <v>46082</v>
      </c>
      <c r="D294">
        <v>16</v>
      </c>
      <c r="E294" s="16" t="s">
        <v>103</v>
      </c>
      <c r="F294" s="16" t="s">
        <v>94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39</v>
      </c>
      <c r="C295" s="9">
        <v>46113</v>
      </c>
      <c r="D295">
        <v>16</v>
      </c>
      <c r="E295" s="16" t="s">
        <v>103</v>
      </c>
      <c r="F295" s="16" t="s">
        <v>94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39</v>
      </c>
      <c r="C296" s="9">
        <v>46143</v>
      </c>
      <c r="D296">
        <v>16</v>
      </c>
      <c r="E296" s="16" t="s">
        <v>103</v>
      </c>
      <c r="F296" s="16" t="s">
        <v>94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39</v>
      </c>
      <c r="C297" s="9">
        <v>46174</v>
      </c>
      <c r="D297">
        <v>16</v>
      </c>
      <c r="E297" s="16" t="s">
        <v>103</v>
      </c>
      <c r="F297" s="16" t="s">
        <v>94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39</v>
      </c>
      <c r="C298" s="9">
        <v>46204</v>
      </c>
      <c r="D298">
        <v>16</v>
      </c>
      <c r="E298" s="16" t="s">
        <v>103</v>
      </c>
      <c r="F298" s="16" t="s">
        <v>94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39</v>
      </c>
      <c r="C299" s="9">
        <v>46235</v>
      </c>
      <c r="D299">
        <v>16</v>
      </c>
      <c r="E299" s="16" t="s">
        <v>103</v>
      </c>
      <c r="F299" s="16" t="s">
        <v>94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39</v>
      </c>
      <c r="C300" s="9">
        <v>46266</v>
      </c>
      <c r="D300">
        <v>16</v>
      </c>
      <c r="E300" s="16" t="s">
        <v>103</v>
      </c>
      <c r="F300" s="16" t="s">
        <v>94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39</v>
      </c>
      <c r="C301" s="9">
        <v>45689</v>
      </c>
      <c r="D301">
        <v>17</v>
      </c>
      <c r="E301" s="16" t="s">
        <v>104</v>
      </c>
      <c r="F301" s="16" t="s">
        <v>105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39</v>
      </c>
      <c r="C302" s="9">
        <v>45717</v>
      </c>
      <c r="D302">
        <v>17</v>
      </c>
      <c r="E302" s="16" t="s">
        <v>104</v>
      </c>
      <c r="F302" s="16" t="s">
        <v>105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39</v>
      </c>
      <c r="C303" s="9">
        <v>45748</v>
      </c>
      <c r="D303">
        <v>17</v>
      </c>
      <c r="E303" s="16" t="s">
        <v>104</v>
      </c>
      <c r="F303" s="16" t="s">
        <v>105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39</v>
      </c>
      <c r="C304" s="9">
        <v>45778</v>
      </c>
      <c r="D304">
        <v>17</v>
      </c>
      <c r="E304" s="16" t="s">
        <v>104</v>
      </c>
      <c r="F304" s="16" t="s">
        <v>105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39</v>
      </c>
      <c r="C305" s="9">
        <v>45809</v>
      </c>
      <c r="D305">
        <v>17</v>
      </c>
      <c r="E305" s="16" t="s">
        <v>104</v>
      </c>
      <c r="F305" s="16" t="s">
        <v>105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39</v>
      </c>
      <c r="C306" s="9">
        <v>45839</v>
      </c>
      <c r="D306">
        <v>17</v>
      </c>
      <c r="E306" s="16" t="s">
        <v>104</v>
      </c>
      <c r="F306" s="16" t="s">
        <v>105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39</v>
      </c>
      <c r="C307" s="9">
        <v>45870</v>
      </c>
      <c r="D307">
        <v>17</v>
      </c>
      <c r="E307" s="16" t="s">
        <v>104</v>
      </c>
      <c r="F307" s="16" t="s">
        <v>105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39</v>
      </c>
      <c r="C308" s="9">
        <v>45901</v>
      </c>
      <c r="D308">
        <v>17</v>
      </c>
      <c r="E308" s="16" t="s">
        <v>104</v>
      </c>
      <c r="F308" s="16" t="s">
        <v>105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39</v>
      </c>
      <c r="C309" s="9">
        <v>45931</v>
      </c>
      <c r="D309">
        <v>17</v>
      </c>
      <c r="E309" s="16" t="s">
        <v>104</v>
      </c>
      <c r="F309" s="16" t="s">
        <v>105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39</v>
      </c>
      <c r="C310" s="9">
        <v>45962</v>
      </c>
      <c r="D310">
        <v>17</v>
      </c>
      <c r="E310" s="16" t="s">
        <v>104</v>
      </c>
      <c r="F310" s="16" t="s">
        <v>105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39</v>
      </c>
      <c r="C311" s="9">
        <v>45992</v>
      </c>
      <c r="D311">
        <v>17</v>
      </c>
      <c r="E311" s="16" t="s">
        <v>104</v>
      </c>
      <c r="F311" s="16" t="s">
        <v>105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39</v>
      </c>
      <c r="C312" s="9">
        <v>46023</v>
      </c>
      <c r="D312">
        <v>17</v>
      </c>
      <c r="E312" s="16" t="s">
        <v>104</v>
      </c>
      <c r="F312" s="16" t="s">
        <v>105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39</v>
      </c>
      <c r="C313" s="9">
        <v>46054</v>
      </c>
      <c r="D313">
        <v>17</v>
      </c>
      <c r="E313" s="16" t="s">
        <v>104</v>
      </c>
      <c r="F313" s="16" t="s">
        <v>105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39</v>
      </c>
      <c r="C314" s="9">
        <v>46082</v>
      </c>
      <c r="D314">
        <v>17</v>
      </c>
      <c r="E314" s="16" t="s">
        <v>104</v>
      </c>
      <c r="F314" s="16" t="s">
        <v>105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39</v>
      </c>
      <c r="C315" s="9">
        <v>46113</v>
      </c>
      <c r="D315">
        <v>17</v>
      </c>
      <c r="E315" s="16" t="s">
        <v>104</v>
      </c>
      <c r="F315" s="16" t="s">
        <v>105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39</v>
      </c>
      <c r="C316" s="9">
        <v>46143</v>
      </c>
      <c r="D316">
        <v>17</v>
      </c>
      <c r="E316" s="16" t="s">
        <v>104</v>
      </c>
      <c r="F316" s="16" t="s">
        <v>105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39</v>
      </c>
      <c r="C317" s="9">
        <v>46174</v>
      </c>
      <c r="D317">
        <v>17</v>
      </c>
      <c r="E317" s="16" t="s">
        <v>104</v>
      </c>
      <c r="F317" s="16" t="s">
        <v>105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39</v>
      </c>
      <c r="C318" s="9">
        <v>46204</v>
      </c>
      <c r="D318">
        <v>17</v>
      </c>
      <c r="E318" s="16" t="s">
        <v>104</v>
      </c>
      <c r="F318" s="16" t="s">
        <v>105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39</v>
      </c>
      <c r="C319" s="9">
        <v>46235</v>
      </c>
      <c r="D319">
        <v>17</v>
      </c>
      <c r="E319" s="16" t="s">
        <v>104</v>
      </c>
      <c r="F319" s="16" t="s">
        <v>105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39</v>
      </c>
      <c r="C320" s="9">
        <v>46266</v>
      </c>
      <c r="D320">
        <v>17</v>
      </c>
      <c r="E320" s="16" t="s">
        <v>104</v>
      </c>
      <c r="F320" s="16" t="s">
        <v>105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39</v>
      </c>
      <c r="C321" s="9">
        <v>45689</v>
      </c>
      <c r="D321">
        <v>18</v>
      </c>
      <c r="E321" s="16" t="s">
        <v>106</v>
      </c>
      <c r="F321" s="16" t="s">
        <v>105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39</v>
      </c>
      <c r="C322" s="9">
        <v>45717</v>
      </c>
      <c r="D322">
        <v>18</v>
      </c>
      <c r="E322" s="16" t="s">
        <v>106</v>
      </c>
      <c r="F322" s="16" t="s">
        <v>105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39</v>
      </c>
      <c r="C323" s="9">
        <v>45748</v>
      </c>
      <c r="D323">
        <v>18</v>
      </c>
      <c r="E323" s="16" t="s">
        <v>106</v>
      </c>
      <c r="F323" s="16" t="s">
        <v>105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39</v>
      </c>
      <c r="C324" s="9">
        <v>45778</v>
      </c>
      <c r="D324">
        <v>18</v>
      </c>
      <c r="E324" s="16" t="s">
        <v>106</v>
      </c>
      <c r="F324" s="16" t="s">
        <v>105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39</v>
      </c>
      <c r="C325" s="9">
        <v>45809</v>
      </c>
      <c r="D325">
        <v>18</v>
      </c>
      <c r="E325" s="16" t="s">
        <v>106</v>
      </c>
      <c r="F325" s="16" t="s">
        <v>105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39</v>
      </c>
      <c r="C326" s="9">
        <v>45839</v>
      </c>
      <c r="D326">
        <v>18</v>
      </c>
      <c r="E326" s="16" t="s">
        <v>106</v>
      </c>
      <c r="F326" s="16" t="s">
        <v>105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39</v>
      </c>
      <c r="C327" s="9">
        <v>45870</v>
      </c>
      <c r="D327">
        <v>18</v>
      </c>
      <c r="E327" s="16" t="s">
        <v>106</v>
      </c>
      <c r="F327" s="16" t="s">
        <v>105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39</v>
      </c>
      <c r="C328" s="9">
        <v>45901</v>
      </c>
      <c r="D328">
        <v>18</v>
      </c>
      <c r="E328" s="16" t="s">
        <v>106</v>
      </c>
      <c r="F328" s="16" t="s">
        <v>105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39</v>
      </c>
      <c r="C329" s="9">
        <v>45931</v>
      </c>
      <c r="D329">
        <v>18</v>
      </c>
      <c r="E329" s="16" t="s">
        <v>106</v>
      </c>
      <c r="F329" s="16" t="s">
        <v>105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39</v>
      </c>
      <c r="C330" s="9">
        <v>45962</v>
      </c>
      <c r="D330">
        <v>18</v>
      </c>
      <c r="E330" s="16" t="s">
        <v>106</v>
      </c>
      <c r="F330" s="16" t="s">
        <v>105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39</v>
      </c>
      <c r="C331" s="9">
        <v>45992</v>
      </c>
      <c r="D331">
        <v>18</v>
      </c>
      <c r="E331" s="16" t="s">
        <v>106</v>
      </c>
      <c r="F331" s="16" t="s">
        <v>105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39</v>
      </c>
      <c r="C332" s="9">
        <v>46023</v>
      </c>
      <c r="D332">
        <v>18</v>
      </c>
      <c r="E332" s="16" t="s">
        <v>106</v>
      </c>
      <c r="F332" s="16" t="s">
        <v>105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39</v>
      </c>
      <c r="C333" s="9">
        <v>46054</v>
      </c>
      <c r="D333">
        <v>18</v>
      </c>
      <c r="E333" s="16" t="s">
        <v>106</v>
      </c>
      <c r="F333" s="16" t="s">
        <v>105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39</v>
      </c>
      <c r="C334" s="9">
        <v>46082</v>
      </c>
      <c r="D334">
        <v>18</v>
      </c>
      <c r="E334" s="16" t="s">
        <v>106</v>
      </c>
      <c r="F334" s="16" t="s">
        <v>105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39</v>
      </c>
      <c r="C335" s="9">
        <v>46113</v>
      </c>
      <c r="D335">
        <v>18</v>
      </c>
      <c r="E335" s="16" t="s">
        <v>106</v>
      </c>
      <c r="F335" s="16" t="s">
        <v>105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39</v>
      </c>
      <c r="C336" s="9">
        <v>46143</v>
      </c>
      <c r="D336">
        <v>18</v>
      </c>
      <c r="E336" s="16" t="s">
        <v>106</v>
      </c>
      <c r="F336" s="16" t="s">
        <v>105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39</v>
      </c>
      <c r="C337" s="9">
        <v>46174</v>
      </c>
      <c r="D337">
        <v>18</v>
      </c>
      <c r="E337" s="16" t="s">
        <v>106</v>
      </c>
      <c r="F337" s="16" t="s">
        <v>105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39</v>
      </c>
      <c r="C338" s="9">
        <v>46204</v>
      </c>
      <c r="D338">
        <v>18</v>
      </c>
      <c r="E338" s="16" t="s">
        <v>106</v>
      </c>
      <c r="F338" s="16" t="s">
        <v>105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39</v>
      </c>
      <c r="C339" s="9">
        <v>46235</v>
      </c>
      <c r="D339">
        <v>18</v>
      </c>
      <c r="E339" s="16" t="s">
        <v>106</v>
      </c>
      <c r="F339" s="16" t="s">
        <v>105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39</v>
      </c>
      <c r="C340" s="9">
        <v>46266</v>
      </c>
      <c r="D340">
        <v>18</v>
      </c>
      <c r="E340" s="16" t="s">
        <v>106</v>
      </c>
      <c r="F340" s="16" t="s">
        <v>105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39</v>
      </c>
      <c r="C341" s="9">
        <v>45689</v>
      </c>
      <c r="D341">
        <v>19</v>
      </c>
      <c r="E341" s="16" t="s">
        <v>107</v>
      </c>
      <c r="F341" s="16" t="s">
        <v>108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39</v>
      </c>
      <c r="C342" s="9">
        <v>45717</v>
      </c>
      <c r="D342">
        <v>19</v>
      </c>
      <c r="E342" s="16" t="s">
        <v>107</v>
      </c>
      <c r="F342" s="16" t="s">
        <v>108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39</v>
      </c>
      <c r="C343" s="9">
        <v>45748</v>
      </c>
      <c r="D343">
        <v>19</v>
      </c>
      <c r="E343" s="16" t="s">
        <v>107</v>
      </c>
      <c r="F343" s="16" t="s">
        <v>108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39</v>
      </c>
      <c r="C344" s="9">
        <v>45778</v>
      </c>
      <c r="D344">
        <v>19</v>
      </c>
      <c r="E344" s="16" t="s">
        <v>107</v>
      </c>
      <c r="F344" s="16" t="s">
        <v>108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39</v>
      </c>
      <c r="C345" s="9">
        <v>45809</v>
      </c>
      <c r="D345">
        <v>19</v>
      </c>
      <c r="E345" s="16" t="s">
        <v>107</v>
      </c>
      <c r="F345" s="16" t="s">
        <v>108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39</v>
      </c>
      <c r="C346" s="9">
        <v>45839</v>
      </c>
      <c r="D346">
        <v>19</v>
      </c>
      <c r="E346" s="16" t="s">
        <v>107</v>
      </c>
      <c r="F346" s="16" t="s">
        <v>108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39</v>
      </c>
      <c r="C347" s="9">
        <v>45870</v>
      </c>
      <c r="D347">
        <v>19</v>
      </c>
      <c r="E347" s="16" t="s">
        <v>107</v>
      </c>
      <c r="F347" s="16" t="s">
        <v>108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39</v>
      </c>
      <c r="C348" s="9">
        <v>45901</v>
      </c>
      <c r="D348">
        <v>19</v>
      </c>
      <c r="E348" s="16" t="s">
        <v>107</v>
      </c>
      <c r="F348" s="16" t="s">
        <v>108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39</v>
      </c>
      <c r="C349" s="9">
        <v>45931</v>
      </c>
      <c r="D349">
        <v>19</v>
      </c>
      <c r="E349" s="16" t="s">
        <v>107</v>
      </c>
      <c r="F349" s="16" t="s">
        <v>108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39</v>
      </c>
      <c r="C350" s="9">
        <v>45962</v>
      </c>
      <c r="D350">
        <v>19</v>
      </c>
      <c r="E350" s="16" t="s">
        <v>107</v>
      </c>
      <c r="F350" s="16" t="s">
        <v>108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39</v>
      </c>
      <c r="C351" s="9">
        <v>45992</v>
      </c>
      <c r="D351">
        <v>19</v>
      </c>
      <c r="E351" s="16" t="s">
        <v>107</v>
      </c>
      <c r="F351" s="16" t="s">
        <v>108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39</v>
      </c>
      <c r="C352" s="9">
        <v>46023</v>
      </c>
      <c r="D352">
        <v>19</v>
      </c>
      <c r="E352" s="16" t="s">
        <v>107</v>
      </c>
      <c r="F352" s="16" t="s">
        <v>108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39</v>
      </c>
      <c r="C353" s="9">
        <v>46054</v>
      </c>
      <c r="D353">
        <v>19</v>
      </c>
      <c r="E353" s="16" t="s">
        <v>107</v>
      </c>
      <c r="F353" s="16" t="s">
        <v>108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39</v>
      </c>
      <c r="C354" s="9">
        <v>46082</v>
      </c>
      <c r="D354">
        <v>19</v>
      </c>
      <c r="E354" s="16" t="s">
        <v>107</v>
      </c>
      <c r="F354" s="16" t="s">
        <v>108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39</v>
      </c>
      <c r="C355" s="9">
        <v>46113</v>
      </c>
      <c r="D355">
        <v>19</v>
      </c>
      <c r="E355" s="16" t="s">
        <v>107</v>
      </c>
      <c r="F355" s="16" t="s">
        <v>108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39</v>
      </c>
      <c r="C356" s="9">
        <v>46143</v>
      </c>
      <c r="D356">
        <v>19</v>
      </c>
      <c r="E356" s="16" t="s">
        <v>107</v>
      </c>
      <c r="F356" s="16" t="s">
        <v>108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39</v>
      </c>
      <c r="C357" s="9">
        <v>46174</v>
      </c>
      <c r="D357">
        <v>19</v>
      </c>
      <c r="E357" s="16" t="s">
        <v>107</v>
      </c>
      <c r="F357" s="16" t="s">
        <v>108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39</v>
      </c>
      <c r="C358" s="9">
        <v>46204</v>
      </c>
      <c r="D358">
        <v>19</v>
      </c>
      <c r="E358" s="16" t="s">
        <v>107</v>
      </c>
      <c r="F358" s="16" t="s">
        <v>108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39</v>
      </c>
      <c r="C359" s="9">
        <v>46235</v>
      </c>
      <c r="D359">
        <v>19</v>
      </c>
      <c r="E359" s="16" t="s">
        <v>107</v>
      </c>
      <c r="F359" s="16" t="s">
        <v>108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39</v>
      </c>
      <c r="C360" s="9">
        <v>46266</v>
      </c>
      <c r="D360">
        <v>19</v>
      </c>
      <c r="E360" s="16" t="s">
        <v>107</v>
      </c>
      <c r="F360" s="16" t="s">
        <v>108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39</v>
      </c>
      <c r="C361" s="9">
        <v>45717</v>
      </c>
      <c r="D361">
        <v>20</v>
      </c>
      <c r="E361" s="16" t="s">
        <v>109</v>
      </c>
      <c r="F361" s="16" t="s">
        <v>110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39</v>
      </c>
      <c r="C362" s="9">
        <v>45778</v>
      </c>
      <c r="D362">
        <v>20</v>
      </c>
      <c r="E362" s="16" t="s">
        <v>109</v>
      </c>
      <c r="F362" s="16" t="s">
        <v>110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39</v>
      </c>
      <c r="C363" s="9">
        <v>45870</v>
      </c>
      <c r="D363">
        <v>20</v>
      </c>
      <c r="E363" s="16" t="s">
        <v>109</v>
      </c>
      <c r="F363" s="16" t="s">
        <v>110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39</v>
      </c>
      <c r="C364" s="9">
        <v>45962</v>
      </c>
      <c r="D364">
        <v>20</v>
      </c>
      <c r="E364" s="16" t="s">
        <v>109</v>
      </c>
      <c r="F364" s="16" t="s">
        <v>110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39</v>
      </c>
      <c r="C365" s="9">
        <v>46023</v>
      </c>
      <c r="D365">
        <v>20</v>
      </c>
      <c r="E365" s="16" t="s">
        <v>109</v>
      </c>
      <c r="F365" s="16" t="s">
        <v>110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39</v>
      </c>
      <c r="C366" s="9">
        <v>46082</v>
      </c>
      <c r="D366">
        <v>20</v>
      </c>
      <c r="E366" s="16" t="s">
        <v>109</v>
      </c>
      <c r="F366" s="16" t="s">
        <v>110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39</v>
      </c>
      <c r="C367" s="9">
        <v>46143</v>
      </c>
      <c r="D367">
        <v>20</v>
      </c>
      <c r="E367" s="16" t="s">
        <v>109</v>
      </c>
      <c r="F367" s="16" t="s">
        <v>110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39</v>
      </c>
      <c r="C368" s="9">
        <v>46235</v>
      </c>
      <c r="D368">
        <v>20</v>
      </c>
      <c r="E368" s="16" t="s">
        <v>109</v>
      </c>
      <c r="F368" s="16" t="s">
        <v>110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39</v>
      </c>
      <c r="C369" s="9">
        <v>45689</v>
      </c>
      <c r="D369">
        <v>21</v>
      </c>
      <c r="E369" s="16" t="s">
        <v>111</v>
      </c>
      <c r="F369" s="16" t="s">
        <v>85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39</v>
      </c>
      <c r="C370" s="9">
        <v>45717</v>
      </c>
      <c r="D370">
        <v>21</v>
      </c>
      <c r="E370" s="16" t="s">
        <v>111</v>
      </c>
      <c r="F370" s="16" t="s">
        <v>85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39</v>
      </c>
      <c r="C371" s="9">
        <v>45748</v>
      </c>
      <c r="D371">
        <v>21</v>
      </c>
      <c r="E371" s="16" t="s">
        <v>111</v>
      </c>
      <c r="F371" s="16" t="s">
        <v>85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39</v>
      </c>
      <c r="C372" s="9">
        <v>45778</v>
      </c>
      <c r="D372">
        <v>21</v>
      </c>
      <c r="E372" s="16" t="s">
        <v>111</v>
      </c>
      <c r="F372" s="16" t="s">
        <v>85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39</v>
      </c>
      <c r="C373" s="9">
        <v>45809</v>
      </c>
      <c r="D373">
        <v>21</v>
      </c>
      <c r="E373" s="16" t="s">
        <v>111</v>
      </c>
      <c r="F373" s="16" t="s">
        <v>85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39</v>
      </c>
      <c r="C374" s="9">
        <v>45839</v>
      </c>
      <c r="D374">
        <v>21</v>
      </c>
      <c r="E374" s="16" t="s">
        <v>111</v>
      </c>
      <c r="F374" s="16" t="s">
        <v>85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39</v>
      </c>
      <c r="C375" s="9">
        <v>45870</v>
      </c>
      <c r="D375">
        <v>21</v>
      </c>
      <c r="E375" s="16" t="s">
        <v>111</v>
      </c>
      <c r="F375" s="16" t="s">
        <v>85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39</v>
      </c>
      <c r="C376" s="9">
        <v>45901</v>
      </c>
      <c r="D376">
        <v>21</v>
      </c>
      <c r="E376" s="16" t="s">
        <v>111</v>
      </c>
      <c r="F376" s="16" t="s">
        <v>85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39</v>
      </c>
      <c r="C377" s="9">
        <v>45931</v>
      </c>
      <c r="D377">
        <v>21</v>
      </c>
      <c r="E377" s="16" t="s">
        <v>111</v>
      </c>
      <c r="F377" s="16" t="s">
        <v>85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39</v>
      </c>
      <c r="C378" s="9">
        <v>45962</v>
      </c>
      <c r="D378">
        <v>21</v>
      </c>
      <c r="E378" s="16" t="s">
        <v>111</v>
      </c>
      <c r="F378" s="16" t="s">
        <v>85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39</v>
      </c>
      <c r="C379" s="9">
        <v>45992</v>
      </c>
      <c r="D379">
        <v>21</v>
      </c>
      <c r="E379" s="16" t="s">
        <v>111</v>
      </c>
      <c r="F379" s="16" t="s">
        <v>85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39</v>
      </c>
      <c r="C380" s="9">
        <v>46023</v>
      </c>
      <c r="D380">
        <v>21</v>
      </c>
      <c r="E380" s="16" t="s">
        <v>111</v>
      </c>
      <c r="F380" s="16" t="s">
        <v>85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39</v>
      </c>
      <c r="C381" s="9">
        <v>46054</v>
      </c>
      <c r="D381">
        <v>21</v>
      </c>
      <c r="E381" s="16" t="s">
        <v>111</v>
      </c>
      <c r="F381" s="16" t="s">
        <v>85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39</v>
      </c>
      <c r="C382" s="9">
        <v>46082</v>
      </c>
      <c r="D382">
        <v>21</v>
      </c>
      <c r="E382" s="16" t="s">
        <v>111</v>
      </c>
      <c r="F382" s="16" t="s">
        <v>85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39</v>
      </c>
      <c r="C383" s="9">
        <v>46113</v>
      </c>
      <c r="D383">
        <v>21</v>
      </c>
      <c r="E383" s="16" t="s">
        <v>111</v>
      </c>
      <c r="F383" s="16" t="s">
        <v>85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39</v>
      </c>
      <c r="C384" s="9">
        <v>46143</v>
      </c>
      <c r="D384">
        <v>21</v>
      </c>
      <c r="E384" s="16" t="s">
        <v>111</v>
      </c>
      <c r="F384" s="16" t="s">
        <v>85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39</v>
      </c>
      <c r="C385" s="9">
        <v>46174</v>
      </c>
      <c r="D385">
        <v>21</v>
      </c>
      <c r="E385" s="16" t="s">
        <v>111</v>
      </c>
      <c r="F385" s="16" t="s">
        <v>85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39</v>
      </c>
      <c r="C386" s="9">
        <v>46204</v>
      </c>
      <c r="D386">
        <v>21</v>
      </c>
      <c r="E386" s="16" t="s">
        <v>111</v>
      </c>
      <c r="F386" s="16" t="s">
        <v>85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39</v>
      </c>
      <c r="C387" s="9">
        <v>46235</v>
      </c>
      <c r="D387">
        <v>21</v>
      </c>
      <c r="E387" s="16" t="s">
        <v>111</v>
      </c>
      <c r="F387" s="16" t="s">
        <v>85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39</v>
      </c>
      <c r="C388" s="9">
        <v>46266</v>
      </c>
      <c r="D388">
        <v>21</v>
      </c>
      <c r="E388" s="16" t="s">
        <v>111</v>
      </c>
      <c r="F388" s="16" t="s">
        <v>85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39</v>
      </c>
      <c r="C389" s="9">
        <v>45689</v>
      </c>
      <c r="D389">
        <v>22</v>
      </c>
      <c r="E389" s="16" t="s">
        <v>112</v>
      </c>
      <c r="F389" s="16" t="s">
        <v>92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39</v>
      </c>
      <c r="C390" s="9">
        <v>45717</v>
      </c>
      <c r="D390">
        <v>22</v>
      </c>
      <c r="E390" s="16" t="s">
        <v>112</v>
      </c>
      <c r="F390" s="16" t="s">
        <v>92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39</v>
      </c>
      <c r="C391" s="9">
        <v>45748</v>
      </c>
      <c r="D391">
        <v>22</v>
      </c>
      <c r="E391" s="16" t="s">
        <v>112</v>
      </c>
      <c r="F391" s="16" t="s">
        <v>92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39</v>
      </c>
      <c r="C392" s="9">
        <v>45778</v>
      </c>
      <c r="D392">
        <v>22</v>
      </c>
      <c r="E392" s="16" t="s">
        <v>112</v>
      </c>
      <c r="F392" s="16" t="s">
        <v>92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39</v>
      </c>
      <c r="C393" s="9">
        <v>45809</v>
      </c>
      <c r="D393">
        <v>22</v>
      </c>
      <c r="E393" s="16" t="s">
        <v>112</v>
      </c>
      <c r="F393" s="16" t="s">
        <v>92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39</v>
      </c>
      <c r="C394" s="9">
        <v>45839</v>
      </c>
      <c r="D394">
        <v>22</v>
      </c>
      <c r="E394" s="16" t="s">
        <v>112</v>
      </c>
      <c r="F394" s="16" t="s">
        <v>92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39</v>
      </c>
      <c r="C395" s="9">
        <v>45870</v>
      </c>
      <c r="D395">
        <v>22</v>
      </c>
      <c r="E395" s="16" t="s">
        <v>112</v>
      </c>
      <c r="F395" s="16" t="s">
        <v>92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39</v>
      </c>
      <c r="C396" s="9">
        <v>45901</v>
      </c>
      <c r="D396">
        <v>22</v>
      </c>
      <c r="E396" s="16" t="s">
        <v>112</v>
      </c>
      <c r="F396" s="16" t="s">
        <v>92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39</v>
      </c>
      <c r="C397" s="9">
        <v>45931</v>
      </c>
      <c r="D397">
        <v>22</v>
      </c>
      <c r="E397" s="16" t="s">
        <v>112</v>
      </c>
      <c r="F397" s="16" t="s">
        <v>92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39</v>
      </c>
      <c r="C398" s="9">
        <v>45962</v>
      </c>
      <c r="D398">
        <v>22</v>
      </c>
      <c r="E398" s="16" t="s">
        <v>112</v>
      </c>
      <c r="F398" s="16" t="s">
        <v>92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39</v>
      </c>
      <c r="C399" s="9">
        <v>45992</v>
      </c>
      <c r="D399">
        <v>22</v>
      </c>
      <c r="E399" s="16" t="s">
        <v>112</v>
      </c>
      <c r="F399" s="16" t="s">
        <v>92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39</v>
      </c>
      <c r="C400" s="9">
        <v>46023</v>
      </c>
      <c r="D400">
        <v>22</v>
      </c>
      <c r="E400" s="16" t="s">
        <v>112</v>
      </c>
      <c r="F400" s="16" t="s">
        <v>92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39</v>
      </c>
      <c r="C401" s="9">
        <v>46054</v>
      </c>
      <c r="D401">
        <v>22</v>
      </c>
      <c r="E401" s="16" t="s">
        <v>112</v>
      </c>
      <c r="F401" s="16" t="s">
        <v>92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39</v>
      </c>
      <c r="C402" s="9">
        <v>46082</v>
      </c>
      <c r="D402">
        <v>22</v>
      </c>
      <c r="E402" s="16" t="s">
        <v>112</v>
      </c>
      <c r="F402" s="16" t="s">
        <v>92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39</v>
      </c>
      <c r="C403" s="9">
        <v>46113</v>
      </c>
      <c r="D403">
        <v>22</v>
      </c>
      <c r="E403" s="16" t="s">
        <v>112</v>
      </c>
      <c r="F403" s="16" t="s">
        <v>92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39</v>
      </c>
      <c r="C404" s="9">
        <v>46143</v>
      </c>
      <c r="D404">
        <v>22</v>
      </c>
      <c r="E404" s="16" t="s">
        <v>112</v>
      </c>
      <c r="F404" s="16" t="s">
        <v>92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39</v>
      </c>
      <c r="C405" s="9">
        <v>46174</v>
      </c>
      <c r="D405">
        <v>22</v>
      </c>
      <c r="E405" s="16" t="s">
        <v>112</v>
      </c>
      <c r="F405" s="16" t="s">
        <v>92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39</v>
      </c>
      <c r="C406" s="9">
        <v>46204</v>
      </c>
      <c r="D406">
        <v>22</v>
      </c>
      <c r="E406" s="16" t="s">
        <v>112</v>
      </c>
      <c r="F406" s="16" t="s">
        <v>92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39</v>
      </c>
      <c r="C407" s="9">
        <v>46235</v>
      </c>
      <c r="D407">
        <v>22</v>
      </c>
      <c r="E407" s="16" t="s">
        <v>112</v>
      </c>
      <c r="F407" s="16" t="s">
        <v>92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39</v>
      </c>
      <c r="C408" s="9">
        <v>46266</v>
      </c>
      <c r="D408">
        <v>22</v>
      </c>
      <c r="E408" s="16" t="s">
        <v>112</v>
      </c>
      <c r="F408" s="16" t="s">
        <v>92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39</v>
      </c>
      <c r="C409" s="9">
        <v>45689</v>
      </c>
      <c r="D409">
        <v>23</v>
      </c>
      <c r="E409" s="16" t="s">
        <v>113</v>
      </c>
      <c r="F409" s="16" t="s">
        <v>94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39</v>
      </c>
      <c r="C410" s="9">
        <v>45717</v>
      </c>
      <c r="D410">
        <v>23</v>
      </c>
      <c r="E410" s="16" t="s">
        <v>113</v>
      </c>
      <c r="F410" s="16" t="s">
        <v>94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39</v>
      </c>
      <c r="C411" s="9">
        <v>45748</v>
      </c>
      <c r="D411">
        <v>23</v>
      </c>
      <c r="E411" s="16" t="s">
        <v>113</v>
      </c>
      <c r="F411" s="16" t="s">
        <v>94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39</v>
      </c>
      <c r="C412" s="9">
        <v>45778</v>
      </c>
      <c r="D412">
        <v>23</v>
      </c>
      <c r="E412" s="16" t="s">
        <v>113</v>
      </c>
      <c r="F412" s="16" t="s">
        <v>94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39</v>
      </c>
      <c r="C413" s="9">
        <v>45809</v>
      </c>
      <c r="D413">
        <v>23</v>
      </c>
      <c r="E413" s="16" t="s">
        <v>113</v>
      </c>
      <c r="F413" s="16" t="s">
        <v>94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39</v>
      </c>
      <c r="C414" s="9">
        <v>45839</v>
      </c>
      <c r="D414">
        <v>23</v>
      </c>
      <c r="E414" s="16" t="s">
        <v>113</v>
      </c>
      <c r="F414" s="16" t="s">
        <v>94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39</v>
      </c>
      <c r="C415" s="9">
        <v>45870</v>
      </c>
      <c r="D415">
        <v>23</v>
      </c>
      <c r="E415" s="16" t="s">
        <v>113</v>
      </c>
      <c r="F415" s="16" t="s">
        <v>94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39</v>
      </c>
      <c r="C416" s="9">
        <v>45901</v>
      </c>
      <c r="D416">
        <v>23</v>
      </c>
      <c r="E416" s="16" t="s">
        <v>113</v>
      </c>
      <c r="F416" s="16" t="s">
        <v>94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39</v>
      </c>
      <c r="C417" s="9">
        <v>45931</v>
      </c>
      <c r="D417">
        <v>23</v>
      </c>
      <c r="E417" s="16" t="s">
        <v>113</v>
      </c>
      <c r="F417" s="16" t="s">
        <v>94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39</v>
      </c>
      <c r="C418" s="9">
        <v>45962</v>
      </c>
      <c r="D418">
        <v>23</v>
      </c>
      <c r="E418" s="16" t="s">
        <v>113</v>
      </c>
      <c r="F418" s="16" t="s">
        <v>94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39</v>
      </c>
      <c r="C419" s="9">
        <v>45992</v>
      </c>
      <c r="D419">
        <v>23</v>
      </c>
      <c r="E419" s="16" t="s">
        <v>113</v>
      </c>
      <c r="F419" s="16" t="s">
        <v>94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39</v>
      </c>
      <c r="C420" s="9">
        <v>46023</v>
      </c>
      <c r="D420">
        <v>23</v>
      </c>
      <c r="E420" s="16" t="s">
        <v>113</v>
      </c>
      <c r="F420" s="16" t="s">
        <v>94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39</v>
      </c>
      <c r="C421" s="9">
        <v>46054</v>
      </c>
      <c r="D421">
        <v>23</v>
      </c>
      <c r="E421" s="16" t="s">
        <v>113</v>
      </c>
      <c r="F421" s="16" t="s">
        <v>94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39</v>
      </c>
      <c r="C422" s="9">
        <v>46082</v>
      </c>
      <c r="D422">
        <v>23</v>
      </c>
      <c r="E422" s="16" t="s">
        <v>113</v>
      </c>
      <c r="F422" s="16" t="s">
        <v>94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39</v>
      </c>
      <c r="C423" s="9">
        <v>46113</v>
      </c>
      <c r="D423">
        <v>23</v>
      </c>
      <c r="E423" s="16" t="s">
        <v>113</v>
      </c>
      <c r="F423" s="16" t="s">
        <v>94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39</v>
      </c>
      <c r="C424" s="9">
        <v>46143</v>
      </c>
      <c r="D424">
        <v>23</v>
      </c>
      <c r="E424" s="16" t="s">
        <v>113</v>
      </c>
      <c r="F424" s="16" t="s">
        <v>94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39</v>
      </c>
      <c r="C425" s="9">
        <v>46174</v>
      </c>
      <c r="D425">
        <v>23</v>
      </c>
      <c r="E425" s="16" t="s">
        <v>113</v>
      </c>
      <c r="F425" s="16" t="s">
        <v>94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39</v>
      </c>
      <c r="C426" s="9">
        <v>46204</v>
      </c>
      <c r="D426">
        <v>23</v>
      </c>
      <c r="E426" s="16" t="s">
        <v>113</v>
      </c>
      <c r="F426" s="16" t="s">
        <v>94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39</v>
      </c>
      <c r="C427" s="9">
        <v>46235</v>
      </c>
      <c r="D427">
        <v>23</v>
      </c>
      <c r="E427" s="16" t="s">
        <v>113</v>
      </c>
      <c r="F427" s="16" t="s">
        <v>94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39</v>
      </c>
      <c r="C428" s="9">
        <v>46266</v>
      </c>
      <c r="D428">
        <v>23</v>
      </c>
      <c r="E428" s="16" t="s">
        <v>113</v>
      </c>
      <c r="F428" s="16" t="s">
        <v>94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39</v>
      </c>
      <c r="C429" s="9">
        <v>45689</v>
      </c>
      <c r="D429">
        <v>24</v>
      </c>
      <c r="E429" s="16" t="s">
        <v>114</v>
      </c>
      <c r="F429" s="16" t="s">
        <v>85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39</v>
      </c>
      <c r="C430" s="9">
        <v>45717</v>
      </c>
      <c r="D430">
        <v>24</v>
      </c>
      <c r="E430" s="16" t="s">
        <v>114</v>
      </c>
      <c r="F430" s="16" t="s">
        <v>85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39</v>
      </c>
      <c r="C431" s="9">
        <v>45748</v>
      </c>
      <c r="D431">
        <v>24</v>
      </c>
      <c r="E431" s="16" t="s">
        <v>114</v>
      </c>
      <c r="F431" s="16" t="s">
        <v>85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39</v>
      </c>
      <c r="C432" s="9">
        <v>45778</v>
      </c>
      <c r="D432">
        <v>24</v>
      </c>
      <c r="E432" s="16" t="s">
        <v>114</v>
      </c>
      <c r="F432" s="16" t="s">
        <v>85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39</v>
      </c>
      <c r="C433" s="9">
        <v>45809</v>
      </c>
      <c r="D433">
        <v>24</v>
      </c>
      <c r="E433" s="16" t="s">
        <v>114</v>
      </c>
      <c r="F433" s="16" t="s">
        <v>85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39</v>
      </c>
      <c r="C434" s="9">
        <v>45839</v>
      </c>
      <c r="D434">
        <v>24</v>
      </c>
      <c r="E434" s="16" t="s">
        <v>114</v>
      </c>
      <c r="F434" s="16" t="s">
        <v>85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39</v>
      </c>
      <c r="C435" s="9">
        <v>45870</v>
      </c>
      <c r="D435">
        <v>24</v>
      </c>
      <c r="E435" s="16" t="s">
        <v>114</v>
      </c>
      <c r="F435" s="16" t="s">
        <v>85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39</v>
      </c>
      <c r="C436" s="9">
        <v>45901</v>
      </c>
      <c r="D436">
        <v>24</v>
      </c>
      <c r="E436" s="16" t="s">
        <v>114</v>
      </c>
      <c r="F436" s="16" t="s">
        <v>85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39</v>
      </c>
      <c r="C437" s="9">
        <v>45931</v>
      </c>
      <c r="D437">
        <v>24</v>
      </c>
      <c r="E437" s="16" t="s">
        <v>114</v>
      </c>
      <c r="F437" s="16" t="s">
        <v>85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39</v>
      </c>
      <c r="C438" s="9">
        <v>45962</v>
      </c>
      <c r="D438">
        <v>24</v>
      </c>
      <c r="E438" s="16" t="s">
        <v>114</v>
      </c>
      <c r="F438" s="16" t="s">
        <v>85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39</v>
      </c>
      <c r="C439" s="9">
        <v>45992</v>
      </c>
      <c r="D439">
        <v>24</v>
      </c>
      <c r="E439" s="16" t="s">
        <v>114</v>
      </c>
      <c r="F439" s="16" t="s">
        <v>85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39</v>
      </c>
      <c r="C440" s="9">
        <v>46023</v>
      </c>
      <c r="D440">
        <v>24</v>
      </c>
      <c r="E440" s="16" t="s">
        <v>114</v>
      </c>
      <c r="F440" s="16" t="s">
        <v>85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39</v>
      </c>
      <c r="C441" s="9">
        <v>46054</v>
      </c>
      <c r="D441">
        <v>24</v>
      </c>
      <c r="E441" s="16" t="s">
        <v>114</v>
      </c>
      <c r="F441" s="16" t="s">
        <v>85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39</v>
      </c>
      <c r="C442" s="9">
        <v>46082</v>
      </c>
      <c r="D442">
        <v>24</v>
      </c>
      <c r="E442" s="16" t="s">
        <v>114</v>
      </c>
      <c r="F442" s="16" t="s">
        <v>85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39</v>
      </c>
      <c r="C443" s="9">
        <v>46113</v>
      </c>
      <c r="D443">
        <v>24</v>
      </c>
      <c r="E443" s="16" t="s">
        <v>114</v>
      </c>
      <c r="F443" s="16" t="s">
        <v>85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39</v>
      </c>
      <c r="C444" s="9">
        <v>46143</v>
      </c>
      <c r="D444">
        <v>24</v>
      </c>
      <c r="E444" s="16" t="s">
        <v>114</v>
      </c>
      <c r="F444" s="16" t="s">
        <v>85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39</v>
      </c>
      <c r="C445" s="9">
        <v>46174</v>
      </c>
      <c r="D445">
        <v>24</v>
      </c>
      <c r="E445" s="16" t="s">
        <v>114</v>
      </c>
      <c r="F445" s="16" t="s">
        <v>85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39</v>
      </c>
      <c r="C446" s="9">
        <v>46204</v>
      </c>
      <c r="D446">
        <v>24</v>
      </c>
      <c r="E446" s="16" t="s">
        <v>114</v>
      </c>
      <c r="F446" s="16" t="s">
        <v>85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39</v>
      </c>
      <c r="C447" s="9">
        <v>46235</v>
      </c>
      <c r="D447">
        <v>24</v>
      </c>
      <c r="E447" s="16" t="s">
        <v>114</v>
      </c>
      <c r="F447" s="16" t="s">
        <v>85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39</v>
      </c>
      <c r="C448" s="9">
        <v>46266</v>
      </c>
      <c r="D448">
        <v>24</v>
      </c>
      <c r="E448" s="16" t="s">
        <v>114</v>
      </c>
      <c r="F448" s="16" t="s">
        <v>85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39</v>
      </c>
      <c r="C449" s="9">
        <v>45689</v>
      </c>
      <c r="D449">
        <v>25</v>
      </c>
      <c r="E449" s="16" t="s">
        <v>115</v>
      </c>
      <c r="F449" s="16" t="s">
        <v>116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39</v>
      </c>
      <c r="C450" s="9">
        <v>45717</v>
      </c>
      <c r="D450">
        <v>25</v>
      </c>
      <c r="E450" s="16" t="s">
        <v>115</v>
      </c>
      <c r="F450" s="16" t="s">
        <v>116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39</v>
      </c>
      <c r="C451" s="9">
        <v>45748</v>
      </c>
      <c r="D451">
        <v>25</v>
      </c>
      <c r="E451" s="16" t="s">
        <v>115</v>
      </c>
      <c r="F451" s="16" t="s">
        <v>116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39</v>
      </c>
      <c r="C452" s="9">
        <v>45778</v>
      </c>
      <c r="D452">
        <v>25</v>
      </c>
      <c r="E452" s="16" t="s">
        <v>115</v>
      </c>
      <c r="F452" s="16" t="s">
        <v>116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39</v>
      </c>
      <c r="C453" s="9">
        <v>45809</v>
      </c>
      <c r="D453">
        <v>25</v>
      </c>
      <c r="E453" s="16" t="s">
        <v>115</v>
      </c>
      <c r="F453" s="16" t="s">
        <v>116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39</v>
      </c>
      <c r="C454" s="9">
        <v>45839</v>
      </c>
      <c r="D454">
        <v>25</v>
      </c>
      <c r="E454" s="16" t="s">
        <v>115</v>
      </c>
      <c r="F454" s="16" t="s">
        <v>116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39</v>
      </c>
      <c r="C455" s="9">
        <v>45870</v>
      </c>
      <c r="D455">
        <v>25</v>
      </c>
      <c r="E455" s="16" t="s">
        <v>115</v>
      </c>
      <c r="F455" s="16" t="s">
        <v>116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39</v>
      </c>
      <c r="C456" s="9">
        <v>45901</v>
      </c>
      <c r="D456">
        <v>25</v>
      </c>
      <c r="E456" s="16" t="s">
        <v>115</v>
      </c>
      <c r="F456" s="16" t="s">
        <v>116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39</v>
      </c>
      <c r="C457" s="9">
        <v>45931</v>
      </c>
      <c r="D457">
        <v>25</v>
      </c>
      <c r="E457" s="16" t="s">
        <v>115</v>
      </c>
      <c r="F457" s="16" t="s">
        <v>116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39</v>
      </c>
      <c r="C458" s="9">
        <v>45962</v>
      </c>
      <c r="D458">
        <v>25</v>
      </c>
      <c r="E458" s="16" t="s">
        <v>115</v>
      </c>
      <c r="F458" s="16" t="s">
        <v>116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39</v>
      </c>
      <c r="C459" s="9">
        <v>45992</v>
      </c>
      <c r="D459">
        <v>25</v>
      </c>
      <c r="E459" s="16" t="s">
        <v>115</v>
      </c>
      <c r="F459" s="16" t="s">
        <v>116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39</v>
      </c>
      <c r="C460" s="9">
        <v>46023</v>
      </c>
      <c r="D460">
        <v>25</v>
      </c>
      <c r="E460" s="16" t="s">
        <v>115</v>
      </c>
      <c r="F460" s="16" t="s">
        <v>116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39</v>
      </c>
      <c r="C461" s="9">
        <v>46054</v>
      </c>
      <c r="D461">
        <v>25</v>
      </c>
      <c r="E461" s="16" t="s">
        <v>115</v>
      </c>
      <c r="F461" s="16" t="s">
        <v>116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39</v>
      </c>
      <c r="C462" s="9">
        <v>46082</v>
      </c>
      <c r="D462">
        <v>25</v>
      </c>
      <c r="E462" s="16" t="s">
        <v>115</v>
      </c>
      <c r="F462" s="16" t="s">
        <v>116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39</v>
      </c>
      <c r="C463" s="9">
        <v>46113</v>
      </c>
      <c r="D463">
        <v>25</v>
      </c>
      <c r="E463" s="16" t="s">
        <v>115</v>
      </c>
      <c r="F463" s="16" t="s">
        <v>116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39</v>
      </c>
      <c r="C464" s="9">
        <v>46143</v>
      </c>
      <c r="D464">
        <v>25</v>
      </c>
      <c r="E464" s="16" t="s">
        <v>115</v>
      </c>
      <c r="F464" s="16" t="s">
        <v>116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39</v>
      </c>
      <c r="C465" s="9">
        <v>46174</v>
      </c>
      <c r="D465">
        <v>25</v>
      </c>
      <c r="E465" s="16" t="s">
        <v>115</v>
      </c>
      <c r="F465" s="16" t="s">
        <v>116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39</v>
      </c>
      <c r="C466" s="9">
        <v>46204</v>
      </c>
      <c r="D466">
        <v>25</v>
      </c>
      <c r="E466" s="16" t="s">
        <v>115</v>
      </c>
      <c r="F466" s="16" t="s">
        <v>116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39</v>
      </c>
      <c r="C467" s="9">
        <v>46235</v>
      </c>
      <c r="D467">
        <v>25</v>
      </c>
      <c r="E467" s="16" t="s">
        <v>115</v>
      </c>
      <c r="F467" s="16" t="s">
        <v>116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39</v>
      </c>
      <c r="C468" s="9">
        <v>46266</v>
      </c>
      <c r="D468">
        <v>25</v>
      </c>
      <c r="E468" s="16" t="s">
        <v>115</v>
      </c>
      <c r="F468" s="16" t="s">
        <v>116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39</v>
      </c>
      <c r="C469" s="9">
        <v>45689</v>
      </c>
      <c r="D469">
        <v>26</v>
      </c>
      <c r="E469" s="16" t="s">
        <v>117</v>
      </c>
      <c r="F469" s="16" t="s">
        <v>92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39</v>
      </c>
      <c r="C470" s="9">
        <v>45717</v>
      </c>
      <c r="D470">
        <v>26</v>
      </c>
      <c r="E470" s="16" t="s">
        <v>117</v>
      </c>
      <c r="F470" s="16" t="s">
        <v>92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39</v>
      </c>
      <c r="C471" s="9">
        <v>45748</v>
      </c>
      <c r="D471">
        <v>26</v>
      </c>
      <c r="E471" s="16" t="s">
        <v>117</v>
      </c>
      <c r="F471" s="16" t="s">
        <v>92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39</v>
      </c>
      <c r="C472" s="9">
        <v>45778</v>
      </c>
      <c r="D472">
        <v>26</v>
      </c>
      <c r="E472" s="16" t="s">
        <v>117</v>
      </c>
      <c r="F472" s="16" t="s">
        <v>92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39</v>
      </c>
      <c r="C473" s="9">
        <v>45809</v>
      </c>
      <c r="D473">
        <v>26</v>
      </c>
      <c r="E473" s="16" t="s">
        <v>117</v>
      </c>
      <c r="F473" s="16" t="s">
        <v>92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39</v>
      </c>
      <c r="C474" s="9">
        <v>45839</v>
      </c>
      <c r="D474">
        <v>26</v>
      </c>
      <c r="E474" s="16" t="s">
        <v>117</v>
      </c>
      <c r="F474" s="16" t="s">
        <v>92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39</v>
      </c>
      <c r="C475" s="9">
        <v>45870</v>
      </c>
      <c r="D475">
        <v>26</v>
      </c>
      <c r="E475" s="16" t="s">
        <v>117</v>
      </c>
      <c r="F475" s="16" t="s">
        <v>92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39</v>
      </c>
      <c r="C476" s="9">
        <v>45901</v>
      </c>
      <c r="D476">
        <v>26</v>
      </c>
      <c r="E476" s="16" t="s">
        <v>117</v>
      </c>
      <c r="F476" s="16" t="s">
        <v>92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39</v>
      </c>
      <c r="C477" s="9">
        <v>45931</v>
      </c>
      <c r="D477">
        <v>26</v>
      </c>
      <c r="E477" s="16" t="s">
        <v>117</v>
      </c>
      <c r="F477" s="16" t="s">
        <v>92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39</v>
      </c>
      <c r="C478" s="9">
        <v>45962</v>
      </c>
      <c r="D478">
        <v>26</v>
      </c>
      <c r="E478" s="16" t="s">
        <v>117</v>
      </c>
      <c r="F478" s="16" t="s">
        <v>92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39</v>
      </c>
      <c r="C479" s="9">
        <v>45992</v>
      </c>
      <c r="D479">
        <v>26</v>
      </c>
      <c r="E479" s="16" t="s">
        <v>117</v>
      </c>
      <c r="F479" s="16" t="s">
        <v>92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39</v>
      </c>
      <c r="C480" s="9">
        <v>46023</v>
      </c>
      <c r="D480">
        <v>26</v>
      </c>
      <c r="E480" s="16" t="s">
        <v>117</v>
      </c>
      <c r="F480" s="16" t="s">
        <v>92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39</v>
      </c>
      <c r="C481" s="9">
        <v>46054</v>
      </c>
      <c r="D481">
        <v>26</v>
      </c>
      <c r="E481" s="16" t="s">
        <v>117</v>
      </c>
      <c r="F481" s="16" t="s">
        <v>92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39</v>
      </c>
      <c r="C482" s="9">
        <v>46082</v>
      </c>
      <c r="D482">
        <v>26</v>
      </c>
      <c r="E482" s="16" t="s">
        <v>117</v>
      </c>
      <c r="F482" s="16" t="s">
        <v>92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39</v>
      </c>
      <c r="C483" s="9">
        <v>46113</v>
      </c>
      <c r="D483">
        <v>26</v>
      </c>
      <c r="E483" s="16" t="s">
        <v>117</v>
      </c>
      <c r="F483" s="16" t="s">
        <v>92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39</v>
      </c>
      <c r="C484" s="9">
        <v>46143</v>
      </c>
      <c r="D484">
        <v>26</v>
      </c>
      <c r="E484" s="16" t="s">
        <v>117</v>
      </c>
      <c r="F484" s="16" t="s">
        <v>92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39</v>
      </c>
      <c r="C485" s="9">
        <v>46174</v>
      </c>
      <c r="D485">
        <v>26</v>
      </c>
      <c r="E485" s="16" t="s">
        <v>117</v>
      </c>
      <c r="F485" s="16" t="s">
        <v>92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39</v>
      </c>
      <c r="C486" s="9">
        <v>46204</v>
      </c>
      <c r="D486">
        <v>26</v>
      </c>
      <c r="E486" s="16" t="s">
        <v>117</v>
      </c>
      <c r="F486" s="16" t="s">
        <v>92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39</v>
      </c>
      <c r="C487" s="9">
        <v>46235</v>
      </c>
      <c r="D487">
        <v>26</v>
      </c>
      <c r="E487" s="16" t="s">
        <v>117</v>
      </c>
      <c r="F487" s="16" t="s">
        <v>92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39</v>
      </c>
      <c r="C488" s="9">
        <v>46266</v>
      </c>
      <c r="D488">
        <v>26</v>
      </c>
      <c r="E488" s="16" t="s">
        <v>117</v>
      </c>
      <c r="F488" s="16" t="s">
        <v>92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39</v>
      </c>
      <c r="C489" s="9">
        <v>45689</v>
      </c>
      <c r="D489">
        <v>27</v>
      </c>
      <c r="E489" s="16" t="s">
        <v>118</v>
      </c>
      <c r="F489" s="16" t="s">
        <v>92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39</v>
      </c>
      <c r="C490" s="9">
        <v>45717</v>
      </c>
      <c r="D490">
        <v>27</v>
      </c>
      <c r="E490" s="16" t="s">
        <v>118</v>
      </c>
      <c r="F490" s="16" t="s">
        <v>92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39</v>
      </c>
      <c r="C491" s="9">
        <v>45748</v>
      </c>
      <c r="D491">
        <v>27</v>
      </c>
      <c r="E491" s="16" t="s">
        <v>118</v>
      </c>
      <c r="F491" s="16" t="s">
        <v>92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39</v>
      </c>
      <c r="C492" s="9">
        <v>45778</v>
      </c>
      <c r="D492">
        <v>27</v>
      </c>
      <c r="E492" s="16" t="s">
        <v>118</v>
      </c>
      <c r="F492" s="16" t="s">
        <v>92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39</v>
      </c>
      <c r="C493" s="9">
        <v>45809</v>
      </c>
      <c r="D493">
        <v>27</v>
      </c>
      <c r="E493" s="16" t="s">
        <v>118</v>
      </c>
      <c r="F493" s="16" t="s">
        <v>92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39</v>
      </c>
      <c r="C494" s="9">
        <v>45839</v>
      </c>
      <c r="D494">
        <v>27</v>
      </c>
      <c r="E494" s="16" t="s">
        <v>118</v>
      </c>
      <c r="F494" s="16" t="s">
        <v>92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39</v>
      </c>
      <c r="C495" s="9">
        <v>45870</v>
      </c>
      <c r="D495">
        <v>27</v>
      </c>
      <c r="E495" s="16" t="s">
        <v>118</v>
      </c>
      <c r="F495" s="16" t="s">
        <v>92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39</v>
      </c>
      <c r="C496" s="9">
        <v>45901</v>
      </c>
      <c r="D496">
        <v>27</v>
      </c>
      <c r="E496" s="16" t="s">
        <v>118</v>
      </c>
      <c r="F496" s="16" t="s">
        <v>92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39</v>
      </c>
      <c r="C497" s="9">
        <v>45931</v>
      </c>
      <c r="D497">
        <v>27</v>
      </c>
      <c r="E497" s="16" t="s">
        <v>118</v>
      </c>
      <c r="F497" s="16" t="s">
        <v>92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39</v>
      </c>
      <c r="C498" s="9">
        <v>45962</v>
      </c>
      <c r="D498">
        <v>27</v>
      </c>
      <c r="E498" s="16" t="s">
        <v>118</v>
      </c>
      <c r="F498" s="16" t="s">
        <v>92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39</v>
      </c>
      <c r="C499" s="9">
        <v>45992</v>
      </c>
      <c r="D499">
        <v>27</v>
      </c>
      <c r="E499" s="16" t="s">
        <v>118</v>
      </c>
      <c r="F499" s="16" t="s">
        <v>92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39</v>
      </c>
      <c r="C500" s="9">
        <v>46023</v>
      </c>
      <c r="D500">
        <v>27</v>
      </c>
      <c r="E500" s="16" t="s">
        <v>118</v>
      </c>
      <c r="F500" s="16" t="s">
        <v>92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39</v>
      </c>
      <c r="C501" s="9">
        <v>46054</v>
      </c>
      <c r="D501">
        <v>27</v>
      </c>
      <c r="E501" s="16" t="s">
        <v>118</v>
      </c>
      <c r="F501" s="16" t="s">
        <v>92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39</v>
      </c>
      <c r="C502" s="9">
        <v>46082</v>
      </c>
      <c r="D502">
        <v>27</v>
      </c>
      <c r="E502" s="16" t="s">
        <v>118</v>
      </c>
      <c r="F502" s="16" t="s">
        <v>92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39</v>
      </c>
      <c r="C503" s="9">
        <v>46113</v>
      </c>
      <c r="D503">
        <v>27</v>
      </c>
      <c r="E503" s="16" t="s">
        <v>118</v>
      </c>
      <c r="F503" s="16" t="s">
        <v>92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39</v>
      </c>
      <c r="C504" s="9">
        <v>46143</v>
      </c>
      <c r="D504">
        <v>27</v>
      </c>
      <c r="E504" s="16" t="s">
        <v>118</v>
      </c>
      <c r="F504" s="16" t="s">
        <v>92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39</v>
      </c>
      <c r="C505" s="9">
        <v>46174</v>
      </c>
      <c r="D505">
        <v>27</v>
      </c>
      <c r="E505" s="16" t="s">
        <v>118</v>
      </c>
      <c r="F505" s="16" t="s">
        <v>92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39</v>
      </c>
      <c r="C506" s="9">
        <v>46204</v>
      </c>
      <c r="D506">
        <v>27</v>
      </c>
      <c r="E506" s="16" t="s">
        <v>118</v>
      </c>
      <c r="F506" s="16" t="s">
        <v>92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39</v>
      </c>
      <c r="C507" s="9">
        <v>46235</v>
      </c>
      <c r="D507">
        <v>27</v>
      </c>
      <c r="E507" s="16" t="s">
        <v>118</v>
      </c>
      <c r="F507" s="16" t="s">
        <v>92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39</v>
      </c>
      <c r="C508" s="9">
        <v>46266</v>
      </c>
      <c r="D508">
        <v>27</v>
      </c>
      <c r="E508" s="16" t="s">
        <v>118</v>
      </c>
      <c r="F508" s="16" t="s">
        <v>92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39</v>
      </c>
      <c r="C509" s="9">
        <v>45689</v>
      </c>
      <c r="D509">
        <v>28</v>
      </c>
      <c r="E509" s="16" t="s">
        <v>119</v>
      </c>
      <c r="F509" s="16" t="s">
        <v>94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39</v>
      </c>
      <c r="C510" s="9">
        <v>45717</v>
      </c>
      <c r="D510">
        <v>28</v>
      </c>
      <c r="E510" s="16" t="s">
        <v>119</v>
      </c>
      <c r="F510" s="16" t="s">
        <v>94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39</v>
      </c>
      <c r="C511" s="9">
        <v>45748</v>
      </c>
      <c r="D511">
        <v>28</v>
      </c>
      <c r="E511" s="16" t="s">
        <v>119</v>
      </c>
      <c r="F511" s="16" t="s">
        <v>94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39</v>
      </c>
      <c r="C512" s="9">
        <v>45778</v>
      </c>
      <c r="D512">
        <v>28</v>
      </c>
      <c r="E512" s="16" t="s">
        <v>119</v>
      </c>
      <c r="F512" s="16" t="s">
        <v>94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39</v>
      </c>
      <c r="C513" s="9">
        <v>45809</v>
      </c>
      <c r="D513">
        <v>28</v>
      </c>
      <c r="E513" s="16" t="s">
        <v>119</v>
      </c>
      <c r="F513" s="16" t="s">
        <v>94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39</v>
      </c>
      <c r="C514" s="9">
        <v>45839</v>
      </c>
      <c r="D514">
        <v>28</v>
      </c>
      <c r="E514" s="16" t="s">
        <v>119</v>
      </c>
      <c r="F514" s="16" t="s">
        <v>94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39</v>
      </c>
      <c r="C515" s="9">
        <v>45870</v>
      </c>
      <c r="D515">
        <v>28</v>
      </c>
      <c r="E515" s="16" t="s">
        <v>119</v>
      </c>
      <c r="F515" s="16" t="s">
        <v>94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39</v>
      </c>
      <c r="C516" s="9">
        <v>45901</v>
      </c>
      <c r="D516">
        <v>28</v>
      </c>
      <c r="E516" s="16" t="s">
        <v>119</v>
      </c>
      <c r="F516" s="16" t="s">
        <v>94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39</v>
      </c>
      <c r="C517" s="9">
        <v>45931</v>
      </c>
      <c r="D517">
        <v>28</v>
      </c>
      <c r="E517" s="16" t="s">
        <v>119</v>
      </c>
      <c r="F517" s="16" t="s">
        <v>94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39</v>
      </c>
      <c r="C518" s="9">
        <v>45962</v>
      </c>
      <c r="D518">
        <v>28</v>
      </c>
      <c r="E518" s="16" t="s">
        <v>119</v>
      </c>
      <c r="F518" s="16" t="s">
        <v>94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39</v>
      </c>
      <c r="C519" s="9">
        <v>45992</v>
      </c>
      <c r="D519">
        <v>28</v>
      </c>
      <c r="E519" s="16" t="s">
        <v>119</v>
      </c>
      <c r="F519" s="16" t="s">
        <v>94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39</v>
      </c>
      <c r="C520" s="9">
        <v>46023</v>
      </c>
      <c r="D520">
        <v>28</v>
      </c>
      <c r="E520" s="16" t="s">
        <v>119</v>
      </c>
      <c r="F520" s="16" t="s">
        <v>94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39</v>
      </c>
      <c r="C521" s="9">
        <v>46054</v>
      </c>
      <c r="D521">
        <v>28</v>
      </c>
      <c r="E521" s="16" t="s">
        <v>119</v>
      </c>
      <c r="F521" s="16" t="s">
        <v>94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39</v>
      </c>
      <c r="C522" s="9">
        <v>46082</v>
      </c>
      <c r="D522">
        <v>28</v>
      </c>
      <c r="E522" s="16" t="s">
        <v>119</v>
      </c>
      <c r="F522" s="16" t="s">
        <v>94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39</v>
      </c>
      <c r="C523" s="9">
        <v>46113</v>
      </c>
      <c r="D523">
        <v>28</v>
      </c>
      <c r="E523" s="16" t="s">
        <v>119</v>
      </c>
      <c r="F523" s="16" t="s">
        <v>94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39</v>
      </c>
      <c r="C524" s="9">
        <v>46143</v>
      </c>
      <c r="D524">
        <v>28</v>
      </c>
      <c r="E524" s="16" t="s">
        <v>119</v>
      </c>
      <c r="F524" s="16" t="s">
        <v>94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39</v>
      </c>
      <c r="C525" s="9">
        <v>46174</v>
      </c>
      <c r="D525">
        <v>28</v>
      </c>
      <c r="E525" s="16" t="s">
        <v>119</v>
      </c>
      <c r="F525" s="16" t="s">
        <v>94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39</v>
      </c>
      <c r="C526" s="9">
        <v>46204</v>
      </c>
      <c r="D526">
        <v>28</v>
      </c>
      <c r="E526" s="16" t="s">
        <v>119</v>
      </c>
      <c r="F526" s="16" t="s">
        <v>94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39</v>
      </c>
      <c r="C527" s="9">
        <v>46235</v>
      </c>
      <c r="D527">
        <v>28</v>
      </c>
      <c r="E527" s="16" t="s">
        <v>119</v>
      </c>
      <c r="F527" s="16" t="s">
        <v>94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39</v>
      </c>
      <c r="C528" s="9">
        <v>46266</v>
      </c>
      <c r="D528">
        <v>28</v>
      </c>
      <c r="E528" s="16" t="s">
        <v>119</v>
      </c>
      <c r="F528" s="16" t="s">
        <v>94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39</v>
      </c>
      <c r="C529" s="9">
        <v>45689</v>
      </c>
      <c r="D529">
        <v>29</v>
      </c>
      <c r="E529" s="16" t="s">
        <v>120</v>
      </c>
      <c r="F529" s="16" t="s">
        <v>89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39</v>
      </c>
      <c r="C530" s="9">
        <v>45717</v>
      </c>
      <c r="D530">
        <v>29</v>
      </c>
      <c r="E530" s="16" t="s">
        <v>120</v>
      </c>
      <c r="F530" s="16" t="s">
        <v>89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39</v>
      </c>
      <c r="C531" s="9">
        <v>45748</v>
      </c>
      <c r="D531">
        <v>29</v>
      </c>
      <c r="E531" s="16" t="s">
        <v>120</v>
      </c>
      <c r="F531" s="16" t="s">
        <v>89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39</v>
      </c>
      <c r="C532" s="9">
        <v>45778</v>
      </c>
      <c r="D532">
        <v>29</v>
      </c>
      <c r="E532" s="16" t="s">
        <v>120</v>
      </c>
      <c r="F532" s="16" t="s">
        <v>89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39</v>
      </c>
      <c r="C533" s="9">
        <v>45809</v>
      </c>
      <c r="D533">
        <v>29</v>
      </c>
      <c r="E533" s="16" t="s">
        <v>120</v>
      </c>
      <c r="F533" s="16" t="s">
        <v>89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39</v>
      </c>
      <c r="C534" s="9">
        <v>45839</v>
      </c>
      <c r="D534">
        <v>29</v>
      </c>
      <c r="E534" s="16" t="s">
        <v>120</v>
      </c>
      <c r="F534" s="16" t="s">
        <v>89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39</v>
      </c>
      <c r="C535" s="9">
        <v>45870</v>
      </c>
      <c r="D535">
        <v>29</v>
      </c>
      <c r="E535" s="16" t="s">
        <v>120</v>
      </c>
      <c r="F535" s="16" t="s">
        <v>89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39</v>
      </c>
      <c r="C536" s="9">
        <v>45901</v>
      </c>
      <c r="D536">
        <v>29</v>
      </c>
      <c r="E536" s="16" t="s">
        <v>120</v>
      </c>
      <c r="F536" s="16" t="s">
        <v>89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39</v>
      </c>
      <c r="C537" s="9">
        <v>45931</v>
      </c>
      <c r="D537">
        <v>29</v>
      </c>
      <c r="E537" s="16" t="s">
        <v>120</v>
      </c>
      <c r="F537" s="16" t="s">
        <v>89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39</v>
      </c>
      <c r="C538" s="9">
        <v>45962</v>
      </c>
      <c r="D538">
        <v>29</v>
      </c>
      <c r="E538" s="16" t="s">
        <v>120</v>
      </c>
      <c r="F538" s="16" t="s">
        <v>89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39</v>
      </c>
      <c r="C539" s="9">
        <v>45992</v>
      </c>
      <c r="D539">
        <v>29</v>
      </c>
      <c r="E539" s="16" t="s">
        <v>120</v>
      </c>
      <c r="F539" s="16" t="s">
        <v>89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39</v>
      </c>
      <c r="C540" s="9">
        <v>46023</v>
      </c>
      <c r="D540">
        <v>29</v>
      </c>
      <c r="E540" s="16" t="s">
        <v>120</v>
      </c>
      <c r="F540" s="16" t="s">
        <v>89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39</v>
      </c>
      <c r="C541" s="9">
        <v>46054</v>
      </c>
      <c r="D541">
        <v>29</v>
      </c>
      <c r="E541" s="16" t="s">
        <v>120</v>
      </c>
      <c r="F541" s="16" t="s">
        <v>89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39</v>
      </c>
      <c r="C542" s="9">
        <v>46082</v>
      </c>
      <c r="D542">
        <v>29</v>
      </c>
      <c r="E542" s="16" t="s">
        <v>120</v>
      </c>
      <c r="F542" s="16" t="s">
        <v>89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39</v>
      </c>
      <c r="C543" s="9">
        <v>46113</v>
      </c>
      <c r="D543">
        <v>29</v>
      </c>
      <c r="E543" s="16" t="s">
        <v>120</v>
      </c>
      <c r="F543" s="16" t="s">
        <v>89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39</v>
      </c>
      <c r="C544" s="9">
        <v>46143</v>
      </c>
      <c r="D544">
        <v>29</v>
      </c>
      <c r="E544" s="16" t="s">
        <v>120</v>
      </c>
      <c r="F544" s="16" t="s">
        <v>89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39</v>
      </c>
      <c r="C545" s="9">
        <v>46174</v>
      </c>
      <c r="D545">
        <v>29</v>
      </c>
      <c r="E545" s="16" t="s">
        <v>120</v>
      </c>
      <c r="F545" s="16" t="s">
        <v>89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39</v>
      </c>
      <c r="C546" s="9">
        <v>46204</v>
      </c>
      <c r="D546">
        <v>29</v>
      </c>
      <c r="E546" s="16" t="s">
        <v>120</v>
      </c>
      <c r="F546" s="16" t="s">
        <v>89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39</v>
      </c>
      <c r="C547" s="9">
        <v>46235</v>
      </c>
      <c r="D547">
        <v>29</v>
      </c>
      <c r="E547" s="16" t="s">
        <v>120</v>
      </c>
      <c r="F547" s="16" t="s">
        <v>89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39</v>
      </c>
      <c r="C548" s="9">
        <v>46266</v>
      </c>
      <c r="D548">
        <v>29</v>
      </c>
      <c r="E548" s="16" t="s">
        <v>120</v>
      </c>
      <c r="F548" s="16" t="s">
        <v>89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39</v>
      </c>
      <c r="C549" s="9">
        <v>45689</v>
      </c>
      <c r="D549">
        <v>30</v>
      </c>
      <c r="E549" s="16" t="s">
        <v>121</v>
      </c>
      <c r="F549" s="16" t="s">
        <v>94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39</v>
      </c>
      <c r="C550" s="9">
        <v>45717</v>
      </c>
      <c r="D550">
        <v>30</v>
      </c>
      <c r="E550" s="16" t="s">
        <v>121</v>
      </c>
      <c r="F550" s="16" t="s">
        <v>94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39</v>
      </c>
      <c r="C551" s="9">
        <v>45748</v>
      </c>
      <c r="D551">
        <v>30</v>
      </c>
      <c r="E551" s="16" t="s">
        <v>121</v>
      </c>
      <c r="F551" s="16" t="s">
        <v>94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39</v>
      </c>
      <c r="C552" s="9">
        <v>45778</v>
      </c>
      <c r="D552">
        <v>30</v>
      </c>
      <c r="E552" s="16" t="s">
        <v>121</v>
      </c>
      <c r="F552" s="16" t="s">
        <v>94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39</v>
      </c>
      <c r="C553" s="9">
        <v>45809</v>
      </c>
      <c r="D553">
        <v>30</v>
      </c>
      <c r="E553" s="16" t="s">
        <v>121</v>
      </c>
      <c r="F553" s="16" t="s">
        <v>94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39</v>
      </c>
      <c r="C554" s="9">
        <v>45839</v>
      </c>
      <c r="D554">
        <v>30</v>
      </c>
      <c r="E554" s="16" t="s">
        <v>121</v>
      </c>
      <c r="F554" s="16" t="s">
        <v>94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39</v>
      </c>
      <c r="C555" s="9">
        <v>45870</v>
      </c>
      <c r="D555">
        <v>30</v>
      </c>
      <c r="E555" s="16" t="s">
        <v>121</v>
      </c>
      <c r="F555" s="16" t="s">
        <v>94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39</v>
      </c>
      <c r="C556" s="9">
        <v>45901</v>
      </c>
      <c r="D556">
        <v>30</v>
      </c>
      <c r="E556" s="16" t="s">
        <v>121</v>
      </c>
      <c r="F556" s="16" t="s">
        <v>94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39</v>
      </c>
      <c r="C557" s="9">
        <v>45931</v>
      </c>
      <c r="D557">
        <v>30</v>
      </c>
      <c r="E557" s="16" t="s">
        <v>121</v>
      </c>
      <c r="F557" s="16" t="s">
        <v>94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39</v>
      </c>
      <c r="C558" s="9">
        <v>45962</v>
      </c>
      <c r="D558">
        <v>30</v>
      </c>
      <c r="E558" s="16" t="s">
        <v>121</v>
      </c>
      <c r="F558" s="16" t="s">
        <v>94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39</v>
      </c>
      <c r="C559" s="9">
        <v>45992</v>
      </c>
      <c r="D559">
        <v>30</v>
      </c>
      <c r="E559" s="16" t="s">
        <v>121</v>
      </c>
      <c r="F559" s="16" t="s">
        <v>94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39</v>
      </c>
      <c r="C560" s="9">
        <v>46023</v>
      </c>
      <c r="D560">
        <v>30</v>
      </c>
      <c r="E560" s="16" t="s">
        <v>121</v>
      </c>
      <c r="F560" s="16" t="s">
        <v>94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39</v>
      </c>
      <c r="C561" s="9">
        <v>46054</v>
      </c>
      <c r="D561">
        <v>30</v>
      </c>
      <c r="E561" s="16" t="s">
        <v>121</v>
      </c>
      <c r="F561" s="16" t="s">
        <v>94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39</v>
      </c>
      <c r="C562" s="9">
        <v>46082</v>
      </c>
      <c r="D562">
        <v>30</v>
      </c>
      <c r="E562" s="16" t="s">
        <v>121</v>
      </c>
      <c r="F562" s="16" t="s">
        <v>94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39</v>
      </c>
      <c r="C563" s="9">
        <v>46113</v>
      </c>
      <c r="D563">
        <v>30</v>
      </c>
      <c r="E563" s="16" t="s">
        <v>121</v>
      </c>
      <c r="F563" s="16" t="s">
        <v>94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39</v>
      </c>
      <c r="C564" s="9">
        <v>46143</v>
      </c>
      <c r="D564">
        <v>30</v>
      </c>
      <c r="E564" s="16" t="s">
        <v>121</v>
      </c>
      <c r="F564" s="16" t="s">
        <v>94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39</v>
      </c>
      <c r="C565" s="9">
        <v>46174</v>
      </c>
      <c r="D565">
        <v>30</v>
      </c>
      <c r="E565" s="16" t="s">
        <v>121</v>
      </c>
      <c r="F565" s="16" t="s">
        <v>94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39</v>
      </c>
      <c r="C566" s="9">
        <v>46204</v>
      </c>
      <c r="D566">
        <v>30</v>
      </c>
      <c r="E566" s="16" t="s">
        <v>121</v>
      </c>
      <c r="F566" s="16" t="s">
        <v>94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39</v>
      </c>
      <c r="C567" s="9">
        <v>46235</v>
      </c>
      <c r="D567">
        <v>30</v>
      </c>
      <c r="E567" s="16" t="s">
        <v>121</v>
      </c>
      <c r="F567" s="16" t="s">
        <v>94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39</v>
      </c>
      <c r="C568" s="9">
        <v>46266</v>
      </c>
      <c r="D568">
        <v>30</v>
      </c>
      <c r="E568" s="16" t="s">
        <v>121</v>
      </c>
      <c r="F568" s="16" t="s">
        <v>94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39</v>
      </c>
      <c r="C569" s="9">
        <v>45689</v>
      </c>
      <c r="D569">
        <v>31</v>
      </c>
      <c r="E569" s="16" t="s">
        <v>122</v>
      </c>
      <c r="F569" s="16" t="s">
        <v>94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39</v>
      </c>
      <c r="C570" s="9">
        <v>45717</v>
      </c>
      <c r="D570">
        <v>31</v>
      </c>
      <c r="E570" s="16" t="s">
        <v>122</v>
      </c>
      <c r="F570" s="16" t="s">
        <v>94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39</v>
      </c>
      <c r="C571" s="9">
        <v>45748</v>
      </c>
      <c r="D571">
        <v>31</v>
      </c>
      <c r="E571" s="16" t="s">
        <v>122</v>
      </c>
      <c r="F571" s="16" t="s">
        <v>94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39</v>
      </c>
      <c r="C572" s="9">
        <v>45778</v>
      </c>
      <c r="D572">
        <v>31</v>
      </c>
      <c r="E572" s="16" t="s">
        <v>122</v>
      </c>
      <c r="F572" s="16" t="s">
        <v>94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39</v>
      </c>
      <c r="C573" s="9">
        <v>45809</v>
      </c>
      <c r="D573">
        <v>31</v>
      </c>
      <c r="E573" s="16" t="s">
        <v>122</v>
      </c>
      <c r="F573" s="16" t="s">
        <v>94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39</v>
      </c>
      <c r="C574" s="9">
        <v>45839</v>
      </c>
      <c r="D574">
        <v>31</v>
      </c>
      <c r="E574" s="16" t="s">
        <v>122</v>
      </c>
      <c r="F574" s="16" t="s">
        <v>94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39</v>
      </c>
      <c r="C575" s="9">
        <v>45870</v>
      </c>
      <c r="D575">
        <v>31</v>
      </c>
      <c r="E575" s="16" t="s">
        <v>122</v>
      </c>
      <c r="F575" s="16" t="s">
        <v>94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39</v>
      </c>
      <c r="C576" s="9">
        <v>45901</v>
      </c>
      <c r="D576">
        <v>31</v>
      </c>
      <c r="E576" s="16" t="s">
        <v>122</v>
      </c>
      <c r="F576" s="16" t="s">
        <v>94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39</v>
      </c>
      <c r="C577" s="9">
        <v>45931</v>
      </c>
      <c r="D577">
        <v>31</v>
      </c>
      <c r="E577" s="16" t="s">
        <v>122</v>
      </c>
      <c r="F577" s="16" t="s">
        <v>94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39</v>
      </c>
      <c r="C578" s="9">
        <v>45962</v>
      </c>
      <c r="D578">
        <v>31</v>
      </c>
      <c r="E578" s="16" t="s">
        <v>122</v>
      </c>
      <c r="F578" s="16" t="s">
        <v>94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39</v>
      </c>
      <c r="C579" s="9">
        <v>45992</v>
      </c>
      <c r="D579">
        <v>31</v>
      </c>
      <c r="E579" s="16" t="s">
        <v>122</v>
      </c>
      <c r="F579" s="16" t="s">
        <v>94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39</v>
      </c>
      <c r="C580" s="9">
        <v>46023</v>
      </c>
      <c r="D580">
        <v>31</v>
      </c>
      <c r="E580" s="16" t="s">
        <v>122</v>
      </c>
      <c r="F580" s="16" t="s">
        <v>94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39</v>
      </c>
      <c r="C581" s="9">
        <v>46054</v>
      </c>
      <c r="D581">
        <v>31</v>
      </c>
      <c r="E581" s="16" t="s">
        <v>122</v>
      </c>
      <c r="F581" s="16" t="s">
        <v>94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39</v>
      </c>
      <c r="C582" s="9">
        <v>46082</v>
      </c>
      <c r="D582">
        <v>31</v>
      </c>
      <c r="E582" s="16" t="s">
        <v>122</v>
      </c>
      <c r="F582" s="16" t="s">
        <v>94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39</v>
      </c>
      <c r="C583" s="9">
        <v>46113</v>
      </c>
      <c r="D583">
        <v>31</v>
      </c>
      <c r="E583" s="16" t="s">
        <v>122</v>
      </c>
      <c r="F583" s="16" t="s">
        <v>94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39</v>
      </c>
      <c r="C584" s="9">
        <v>46143</v>
      </c>
      <c r="D584">
        <v>31</v>
      </c>
      <c r="E584" s="16" t="s">
        <v>122</v>
      </c>
      <c r="F584" s="16" t="s">
        <v>94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39</v>
      </c>
      <c r="C585" s="9">
        <v>46174</v>
      </c>
      <c r="D585">
        <v>31</v>
      </c>
      <c r="E585" s="16" t="s">
        <v>122</v>
      </c>
      <c r="F585" s="16" t="s">
        <v>94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39</v>
      </c>
      <c r="C586" s="9">
        <v>46204</v>
      </c>
      <c r="D586">
        <v>31</v>
      </c>
      <c r="E586" s="16" t="s">
        <v>122</v>
      </c>
      <c r="F586" s="16" t="s">
        <v>94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39</v>
      </c>
      <c r="C587" s="9">
        <v>46235</v>
      </c>
      <c r="D587">
        <v>31</v>
      </c>
      <c r="E587" s="16" t="s">
        <v>122</v>
      </c>
      <c r="F587" s="16" t="s">
        <v>94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39</v>
      </c>
      <c r="C588" s="9">
        <v>46266</v>
      </c>
      <c r="D588">
        <v>31</v>
      </c>
      <c r="E588" s="16" t="s">
        <v>122</v>
      </c>
      <c r="F588" s="16" t="s">
        <v>94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39</v>
      </c>
      <c r="C589" s="9">
        <v>45689</v>
      </c>
      <c r="D589">
        <v>32</v>
      </c>
      <c r="E589" s="16" t="s">
        <v>123</v>
      </c>
      <c r="F589" s="16" t="s">
        <v>94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39</v>
      </c>
      <c r="C590" s="9">
        <v>45717</v>
      </c>
      <c r="D590">
        <v>32</v>
      </c>
      <c r="E590" s="16" t="s">
        <v>123</v>
      </c>
      <c r="F590" s="16" t="s">
        <v>94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39</v>
      </c>
      <c r="C591" s="9">
        <v>45748</v>
      </c>
      <c r="D591">
        <v>32</v>
      </c>
      <c r="E591" s="16" t="s">
        <v>123</v>
      </c>
      <c r="F591" s="16" t="s">
        <v>94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39</v>
      </c>
      <c r="C592" s="9">
        <v>45778</v>
      </c>
      <c r="D592">
        <v>32</v>
      </c>
      <c r="E592" s="16" t="s">
        <v>123</v>
      </c>
      <c r="F592" s="16" t="s">
        <v>94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39</v>
      </c>
      <c r="C593" s="9">
        <v>45809</v>
      </c>
      <c r="D593">
        <v>32</v>
      </c>
      <c r="E593" s="16" t="s">
        <v>123</v>
      </c>
      <c r="F593" s="16" t="s">
        <v>94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39</v>
      </c>
      <c r="C594" s="9">
        <v>45839</v>
      </c>
      <c r="D594">
        <v>32</v>
      </c>
      <c r="E594" s="16" t="s">
        <v>123</v>
      </c>
      <c r="F594" s="16" t="s">
        <v>94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39</v>
      </c>
      <c r="C595" s="9">
        <v>45870</v>
      </c>
      <c r="D595">
        <v>32</v>
      </c>
      <c r="E595" s="16" t="s">
        <v>123</v>
      </c>
      <c r="F595" s="16" t="s">
        <v>94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39</v>
      </c>
      <c r="C596" s="9">
        <v>45901</v>
      </c>
      <c r="D596">
        <v>32</v>
      </c>
      <c r="E596" s="16" t="s">
        <v>123</v>
      </c>
      <c r="F596" s="16" t="s">
        <v>94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39</v>
      </c>
      <c r="C597" s="9">
        <v>45931</v>
      </c>
      <c r="D597">
        <v>32</v>
      </c>
      <c r="E597" s="16" t="s">
        <v>123</v>
      </c>
      <c r="F597" s="16" t="s">
        <v>94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39</v>
      </c>
      <c r="C598" s="9">
        <v>45962</v>
      </c>
      <c r="D598">
        <v>32</v>
      </c>
      <c r="E598" s="16" t="s">
        <v>123</v>
      </c>
      <c r="F598" s="16" t="s">
        <v>94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39</v>
      </c>
      <c r="C599" s="9">
        <v>45992</v>
      </c>
      <c r="D599">
        <v>32</v>
      </c>
      <c r="E599" s="16" t="s">
        <v>123</v>
      </c>
      <c r="F599" s="16" t="s">
        <v>94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39</v>
      </c>
      <c r="C600" s="9">
        <v>46023</v>
      </c>
      <c r="D600">
        <v>32</v>
      </c>
      <c r="E600" s="16" t="s">
        <v>123</v>
      </c>
      <c r="F600" s="16" t="s">
        <v>94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39</v>
      </c>
      <c r="C601" s="9">
        <v>46054</v>
      </c>
      <c r="D601">
        <v>32</v>
      </c>
      <c r="E601" s="16" t="s">
        <v>123</v>
      </c>
      <c r="F601" s="16" t="s">
        <v>94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39</v>
      </c>
      <c r="C602" s="9">
        <v>46082</v>
      </c>
      <c r="D602">
        <v>32</v>
      </c>
      <c r="E602" s="16" t="s">
        <v>123</v>
      </c>
      <c r="F602" s="16" t="s">
        <v>94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39</v>
      </c>
      <c r="C603" s="9">
        <v>46113</v>
      </c>
      <c r="D603">
        <v>32</v>
      </c>
      <c r="E603" s="16" t="s">
        <v>123</v>
      </c>
      <c r="F603" s="16" t="s">
        <v>94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39</v>
      </c>
      <c r="C604" s="9">
        <v>46143</v>
      </c>
      <c r="D604">
        <v>32</v>
      </c>
      <c r="E604" s="16" t="s">
        <v>123</v>
      </c>
      <c r="F604" s="16" t="s">
        <v>94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39</v>
      </c>
      <c r="C605" s="9">
        <v>46174</v>
      </c>
      <c r="D605">
        <v>32</v>
      </c>
      <c r="E605" s="16" t="s">
        <v>123</v>
      </c>
      <c r="F605" s="16" t="s">
        <v>94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39</v>
      </c>
      <c r="C606" s="9">
        <v>46204</v>
      </c>
      <c r="D606">
        <v>32</v>
      </c>
      <c r="E606" s="16" t="s">
        <v>123</v>
      </c>
      <c r="F606" s="16" t="s">
        <v>94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39</v>
      </c>
      <c r="C607" s="9">
        <v>46235</v>
      </c>
      <c r="D607">
        <v>32</v>
      </c>
      <c r="E607" s="16" t="s">
        <v>123</v>
      </c>
      <c r="F607" s="16" t="s">
        <v>94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39</v>
      </c>
      <c r="C608" s="9">
        <v>46266</v>
      </c>
      <c r="D608">
        <v>32</v>
      </c>
      <c r="E608" s="16" t="s">
        <v>123</v>
      </c>
      <c r="F608" s="16" t="s">
        <v>94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39</v>
      </c>
      <c r="C609" s="9">
        <v>45689</v>
      </c>
      <c r="D609">
        <v>33</v>
      </c>
      <c r="E609" s="16" t="s">
        <v>124</v>
      </c>
      <c r="F609" s="16" t="s">
        <v>94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39</v>
      </c>
      <c r="C610" s="9">
        <v>45717</v>
      </c>
      <c r="D610">
        <v>33</v>
      </c>
      <c r="E610" s="16" t="s">
        <v>124</v>
      </c>
      <c r="F610" s="16" t="s">
        <v>94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39</v>
      </c>
      <c r="C611" s="9">
        <v>45748</v>
      </c>
      <c r="D611">
        <v>33</v>
      </c>
      <c r="E611" s="16" t="s">
        <v>124</v>
      </c>
      <c r="F611" s="16" t="s">
        <v>94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39</v>
      </c>
      <c r="C612" s="9">
        <v>45778</v>
      </c>
      <c r="D612">
        <v>33</v>
      </c>
      <c r="E612" s="16" t="s">
        <v>124</v>
      </c>
      <c r="F612" s="16" t="s">
        <v>94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39</v>
      </c>
      <c r="C613" s="9">
        <v>45809</v>
      </c>
      <c r="D613">
        <v>33</v>
      </c>
      <c r="E613" s="16" t="s">
        <v>124</v>
      </c>
      <c r="F613" s="16" t="s">
        <v>94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39</v>
      </c>
      <c r="C614" s="9">
        <v>45839</v>
      </c>
      <c r="D614">
        <v>33</v>
      </c>
      <c r="E614" s="16" t="s">
        <v>124</v>
      </c>
      <c r="F614" s="16" t="s">
        <v>94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39</v>
      </c>
      <c r="C615" s="9">
        <v>45870</v>
      </c>
      <c r="D615">
        <v>33</v>
      </c>
      <c r="E615" s="16" t="s">
        <v>124</v>
      </c>
      <c r="F615" s="16" t="s">
        <v>94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39</v>
      </c>
      <c r="C616" s="9">
        <v>45901</v>
      </c>
      <c r="D616">
        <v>33</v>
      </c>
      <c r="E616" s="16" t="s">
        <v>124</v>
      </c>
      <c r="F616" s="16" t="s">
        <v>94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39</v>
      </c>
      <c r="C617" s="9">
        <v>45931</v>
      </c>
      <c r="D617">
        <v>33</v>
      </c>
      <c r="E617" s="16" t="s">
        <v>124</v>
      </c>
      <c r="F617" s="16" t="s">
        <v>94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39</v>
      </c>
      <c r="C618" s="9">
        <v>45962</v>
      </c>
      <c r="D618">
        <v>33</v>
      </c>
      <c r="E618" s="16" t="s">
        <v>124</v>
      </c>
      <c r="F618" s="16" t="s">
        <v>94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39</v>
      </c>
      <c r="C619" s="9">
        <v>45992</v>
      </c>
      <c r="D619">
        <v>33</v>
      </c>
      <c r="E619" s="16" t="s">
        <v>124</v>
      </c>
      <c r="F619" s="16" t="s">
        <v>94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39</v>
      </c>
      <c r="C620" s="9">
        <v>46023</v>
      </c>
      <c r="D620">
        <v>33</v>
      </c>
      <c r="E620" s="16" t="s">
        <v>124</v>
      </c>
      <c r="F620" s="16" t="s">
        <v>94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39</v>
      </c>
      <c r="C621" s="9">
        <v>46054</v>
      </c>
      <c r="D621">
        <v>33</v>
      </c>
      <c r="E621" s="16" t="s">
        <v>124</v>
      </c>
      <c r="F621" s="16" t="s">
        <v>94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39</v>
      </c>
      <c r="C622" s="9">
        <v>46082</v>
      </c>
      <c r="D622">
        <v>33</v>
      </c>
      <c r="E622" s="16" t="s">
        <v>124</v>
      </c>
      <c r="F622" s="16" t="s">
        <v>94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39</v>
      </c>
      <c r="C623" s="9">
        <v>46113</v>
      </c>
      <c r="D623">
        <v>33</v>
      </c>
      <c r="E623" s="16" t="s">
        <v>124</v>
      </c>
      <c r="F623" s="16" t="s">
        <v>94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39</v>
      </c>
      <c r="C624" s="9">
        <v>46143</v>
      </c>
      <c r="D624">
        <v>33</v>
      </c>
      <c r="E624" s="16" t="s">
        <v>124</v>
      </c>
      <c r="F624" s="16" t="s">
        <v>94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39</v>
      </c>
      <c r="C625" s="9">
        <v>46174</v>
      </c>
      <c r="D625">
        <v>33</v>
      </c>
      <c r="E625" s="16" t="s">
        <v>124</v>
      </c>
      <c r="F625" s="16" t="s">
        <v>94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39</v>
      </c>
      <c r="C626" s="9">
        <v>46204</v>
      </c>
      <c r="D626">
        <v>33</v>
      </c>
      <c r="E626" s="16" t="s">
        <v>124</v>
      </c>
      <c r="F626" s="16" t="s">
        <v>94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39</v>
      </c>
      <c r="C627" s="9">
        <v>46235</v>
      </c>
      <c r="D627">
        <v>33</v>
      </c>
      <c r="E627" s="16" t="s">
        <v>124</v>
      </c>
      <c r="F627" s="16" t="s">
        <v>94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39</v>
      </c>
      <c r="C628" s="9">
        <v>46266</v>
      </c>
      <c r="D628">
        <v>33</v>
      </c>
      <c r="E628" s="16" t="s">
        <v>124</v>
      </c>
      <c r="F628" s="16" t="s">
        <v>94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39</v>
      </c>
      <c r="C629" s="9">
        <v>45689</v>
      </c>
      <c r="D629">
        <v>34</v>
      </c>
      <c r="E629" s="16" t="s">
        <v>125</v>
      </c>
      <c r="F629" s="16" t="s">
        <v>116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39</v>
      </c>
      <c r="C630" s="9">
        <v>45717</v>
      </c>
      <c r="D630">
        <v>34</v>
      </c>
      <c r="E630" s="16" t="s">
        <v>125</v>
      </c>
      <c r="F630" s="16" t="s">
        <v>116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39</v>
      </c>
      <c r="C631" s="9">
        <v>45748</v>
      </c>
      <c r="D631">
        <v>34</v>
      </c>
      <c r="E631" s="16" t="s">
        <v>125</v>
      </c>
      <c r="F631" s="16" t="s">
        <v>116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39</v>
      </c>
      <c r="C632" s="9">
        <v>45778</v>
      </c>
      <c r="D632">
        <v>34</v>
      </c>
      <c r="E632" s="16" t="s">
        <v>125</v>
      </c>
      <c r="F632" s="16" t="s">
        <v>116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39</v>
      </c>
      <c r="C633" s="9">
        <v>45809</v>
      </c>
      <c r="D633">
        <v>34</v>
      </c>
      <c r="E633" s="16" t="s">
        <v>125</v>
      </c>
      <c r="F633" s="16" t="s">
        <v>116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39</v>
      </c>
      <c r="C634" s="9">
        <v>45839</v>
      </c>
      <c r="D634">
        <v>34</v>
      </c>
      <c r="E634" s="16" t="s">
        <v>125</v>
      </c>
      <c r="F634" s="16" t="s">
        <v>116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39</v>
      </c>
      <c r="C635" s="9">
        <v>45870</v>
      </c>
      <c r="D635">
        <v>34</v>
      </c>
      <c r="E635" s="16" t="s">
        <v>125</v>
      </c>
      <c r="F635" s="16" t="s">
        <v>116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39</v>
      </c>
      <c r="C636" s="9">
        <v>45901</v>
      </c>
      <c r="D636">
        <v>34</v>
      </c>
      <c r="E636" s="16" t="s">
        <v>125</v>
      </c>
      <c r="F636" s="16" t="s">
        <v>116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39</v>
      </c>
      <c r="C637" s="9">
        <v>45931</v>
      </c>
      <c r="D637">
        <v>34</v>
      </c>
      <c r="E637" s="16" t="s">
        <v>125</v>
      </c>
      <c r="F637" s="16" t="s">
        <v>116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39</v>
      </c>
      <c r="C638" s="9">
        <v>45962</v>
      </c>
      <c r="D638">
        <v>34</v>
      </c>
      <c r="E638" s="16" t="s">
        <v>125</v>
      </c>
      <c r="F638" s="16" t="s">
        <v>116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39</v>
      </c>
      <c r="C639" s="9">
        <v>45992</v>
      </c>
      <c r="D639">
        <v>34</v>
      </c>
      <c r="E639" s="16" t="s">
        <v>125</v>
      </c>
      <c r="F639" s="16" t="s">
        <v>116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39</v>
      </c>
      <c r="C640" s="9">
        <v>45717</v>
      </c>
      <c r="D640">
        <v>35</v>
      </c>
      <c r="E640" s="16" t="s">
        <v>126</v>
      </c>
      <c r="F640" s="16" t="s">
        <v>92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39</v>
      </c>
      <c r="C641" s="9">
        <v>45748</v>
      </c>
      <c r="D641">
        <v>35</v>
      </c>
      <c r="E641" s="16" t="s">
        <v>126</v>
      </c>
      <c r="F641" s="16" t="s">
        <v>92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39</v>
      </c>
      <c r="C642" s="9">
        <v>45778</v>
      </c>
      <c r="D642">
        <v>35</v>
      </c>
      <c r="E642" s="16" t="s">
        <v>126</v>
      </c>
      <c r="F642" s="16" t="s">
        <v>92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39</v>
      </c>
      <c r="C643" s="9">
        <v>45809</v>
      </c>
      <c r="D643">
        <v>35</v>
      </c>
      <c r="E643" s="16" t="s">
        <v>126</v>
      </c>
      <c r="F643" s="16" t="s">
        <v>92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39</v>
      </c>
      <c r="C644" s="9">
        <v>45839</v>
      </c>
      <c r="D644">
        <v>35</v>
      </c>
      <c r="E644" s="16" t="s">
        <v>126</v>
      </c>
      <c r="F644" s="16" t="s">
        <v>92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39</v>
      </c>
      <c r="C645" s="9">
        <v>45870</v>
      </c>
      <c r="D645">
        <v>35</v>
      </c>
      <c r="E645" s="16" t="s">
        <v>126</v>
      </c>
      <c r="F645" s="16" t="s">
        <v>92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39</v>
      </c>
      <c r="C646" s="9">
        <v>45901</v>
      </c>
      <c r="D646">
        <v>35</v>
      </c>
      <c r="E646" s="16" t="s">
        <v>126</v>
      </c>
      <c r="F646" s="16" t="s">
        <v>92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39</v>
      </c>
      <c r="C647" s="9">
        <v>45931</v>
      </c>
      <c r="D647">
        <v>35</v>
      </c>
      <c r="E647" s="16" t="s">
        <v>126</v>
      </c>
      <c r="F647" s="16" t="s">
        <v>92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39</v>
      </c>
      <c r="C648" s="9">
        <v>45962</v>
      </c>
      <c r="D648">
        <v>35</v>
      </c>
      <c r="E648" s="16" t="s">
        <v>126</v>
      </c>
      <c r="F648" s="16" t="s">
        <v>92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39</v>
      </c>
      <c r="C649" s="9">
        <v>45689</v>
      </c>
      <c r="D649">
        <v>36</v>
      </c>
      <c r="E649" s="16" t="s">
        <v>127</v>
      </c>
      <c r="F649" s="16" t="s">
        <v>100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39</v>
      </c>
      <c r="C650" s="9">
        <v>45717</v>
      </c>
      <c r="D650">
        <v>36</v>
      </c>
      <c r="E650" s="16" t="s">
        <v>127</v>
      </c>
      <c r="F650" s="16" t="s">
        <v>100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39</v>
      </c>
      <c r="C651" s="9">
        <v>45748</v>
      </c>
      <c r="D651">
        <v>36</v>
      </c>
      <c r="E651" s="16" t="s">
        <v>127</v>
      </c>
      <c r="F651" s="16" t="s">
        <v>100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39</v>
      </c>
      <c r="C652" s="9">
        <v>45778</v>
      </c>
      <c r="D652">
        <v>36</v>
      </c>
      <c r="E652" s="16" t="s">
        <v>127</v>
      </c>
      <c r="F652" s="16" t="s">
        <v>100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39</v>
      </c>
      <c r="C653" s="9">
        <v>45809</v>
      </c>
      <c r="D653">
        <v>36</v>
      </c>
      <c r="E653" s="16" t="s">
        <v>127</v>
      </c>
      <c r="F653" s="16" t="s">
        <v>100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39</v>
      </c>
      <c r="C654" s="9">
        <v>45839</v>
      </c>
      <c r="D654">
        <v>36</v>
      </c>
      <c r="E654" s="16" t="s">
        <v>127</v>
      </c>
      <c r="F654" s="16" t="s">
        <v>100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39</v>
      </c>
      <c r="C655" s="9">
        <v>45870</v>
      </c>
      <c r="D655">
        <v>36</v>
      </c>
      <c r="E655" s="16" t="s">
        <v>127</v>
      </c>
      <c r="F655" s="16" t="s">
        <v>100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39</v>
      </c>
      <c r="C656" s="9">
        <v>45901</v>
      </c>
      <c r="D656">
        <v>36</v>
      </c>
      <c r="E656" s="16" t="s">
        <v>127</v>
      </c>
      <c r="F656" s="16" t="s">
        <v>100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39</v>
      </c>
      <c r="C657" s="9">
        <v>45931</v>
      </c>
      <c r="D657">
        <v>36</v>
      </c>
      <c r="E657" s="16" t="s">
        <v>127</v>
      </c>
      <c r="F657" s="16" t="s">
        <v>100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39</v>
      </c>
      <c r="C658" s="9">
        <v>45962</v>
      </c>
      <c r="D658">
        <v>36</v>
      </c>
      <c r="E658" s="16" t="s">
        <v>127</v>
      </c>
      <c r="F658" s="16" t="s">
        <v>100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39</v>
      </c>
      <c r="C659" s="9">
        <v>45992</v>
      </c>
      <c r="D659">
        <v>36</v>
      </c>
      <c r="E659" s="16" t="s">
        <v>127</v>
      </c>
      <c r="F659" s="16" t="s">
        <v>100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39</v>
      </c>
      <c r="C660" s="9">
        <v>46023</v>
      </c>
      <c r="D660">
        <v>36</v>
      </c>
      <c r="E660" s="16" t="s">
        <v>127</v>
      </c>
      <c r="F660" s="16" t="s">
        <v>100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39</v>
      </c>
      <c r="C661" s="9">
        <v>46054</v>
      </c>
      <c r="D661">
        <v>36</v>
      </c>
      <c r="E661" s="16" t="s">
        <v>127</v>
      </c>
      <c r="F661" s="16" t="s">
        <v>100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39</v>
      </c>
      <c r="C662" s="9">
        <v>46082</v>
      </c>
      <c r="D662">
        <v>36</v>
      </c>
      <c r="E662" s="16" t="s">
        <v>127</v>
      </c>
      <c r="F662" s="16" t="s">
        <v>100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39</v>
      </c>
      <c r="C663" s="9">
        <v>46113</v>
      </c>
      <c r="D663">
        <v>36</v>
      </c>
      <c r="E663" s="16" t="s">
        <v>127</v>
      </c>
      <c r="F663" s="16" t="s">
        <v>100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39</v>
      </c>
      <c r="C664" s="9">
        <v>46143</v>
      </c>
      <c r="D664">
        <v>36</v>
      </c>
      <c r="E664" s="16" t="s">
        <v>127</v>
      </c>
      <c r="F664" s="16" t="s">
        <v>100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39</v>
      </c>
      <c r="C665" s="9">
        <v>46174</v>
      </c>
      <c r="D665">
        <v>36</v>
      </c>
      <c r="E665" s="16" t="s">
        <v>127</v>
      </c>
      <c r="F665" s="16" t="s">
        <v>100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39</v>
      </c>
      <c r="C666" s="9">
        <v>46204</v>
      </c>
      <c r="D666">
        <v>36</v>
      </c>
      <c r="E666" s="16" t="s">
        <v>127</v>
      </c>
      <c r="F666" s="16" t="s">
        <v>100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39</v>
      </c>
      <c r="C667" s="9">
        <v>46235</v>
      </c>
      <c r="D667">
        <v>36</v>
      </c>
      <c r="E667" s="16" t="s">
        <v>127</v>
      </c>
      <c r="F667" s="16" t="s">
        <v>100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39</v>
      </c>
      <c r="C668" s="9">
        <v>46266</v>
      </c>
      <c r="D668">
        <v>36</v>
      </c>
      <c r="E668" s="16" t="s">
        <v>127</v>
      </c>
      <c r="F668" s="16" t="s">
        <v>100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39</v>
      </c>
      <c r="C669" s="9">
        <v>45689</v>
      </c>
      <c r="D669">
        <v>37</v>
      </c>
      <c r="E669" s="16" t="s">
        <v>128</v>
      </c>
      <c r="F669" s="16" t="s">
        <v>92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39</v>
      </c>
      <c r="C670" s="9">
        <v>45717</v>
      </c>
      <c r="D670">
        <v>37</v>
      </c>
      <c r="E670" s="16" t="s">
        <v>128</v>
      </c>
      <c r="F670" s="16" t="s">
        <v>92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39</v>
      </c>
      <c r="C671" s="9">
        <v>45748</v>
      </c>
      <c r="D671">
        <v>37</v>
      </c>
      <c r="E671" s="16" t="s">
        <v>128</v>
      </c>
      <c r="F671" s="16" t="s">
        <v>92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39</v>
      </c>
      <c r="C672" s="9">
        <v>45778</v>
      </c>
      <c r="D672">
        <v>37</v>
      </c>
      <c r="E672" s="16" t="s">
        <v>128</v>
      </c>
      <c r="F672" s="16" t="s">
        <v>92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39</v>
      </c>
      <c r="C673" s="9">
        <v>45809</v>
      </c>
      <c r="D673">
        <v>37</v>
      </c>
      <c r="E673" s="16" t="s">
        <v>128</v>
      </c>
      <c r="F673" s="16" t="s">
        <v>92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39</v>
      </c>
      <c r="C674" s="9">
        <v>45839</v>
      </c>
      <c r="D674">
        <v>37</v>
      </c>
      <c r="E674" s="16" t="s">
        <v>128</v>
      </c>
      <c r="F674" s="16" t="s">
        <v>92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39</v>
      </c>
      <c r="C675" s="9">
        <v>45870</v>
      </c>
      <c r="D675">
        <v>37</v>
      </c>
      <c r="E675" s="16" t="s">
        <v>128</v>
      </c>
      <c r="F675" s="16" t="s">
        <v>92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39</v>
      </c>
      <c r="C676" s="9">
        <v>45901</v>
      </c>
      <c r="D676">
        <v>37</v>
      </c>
      <c r="E676" s="16" t="s">
        <v>128</v>
      </c>
      <c r="F676" s="16" t="s">
        <v>92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39</v>
      </c>
      <c r="C677" s="9">
        <v>45931</v>
      </c>
      <c r="D677">
        <v>37</v>
      </c>
      <c r="E677" s="16" t="s">
        <v>128</v>
      </c>
      <c r="F677" s="16" t="s">
        <v>92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39</v>
      </c>
      <c r="C678" s="9">
        <v>45962</v>
      </c>
      <c r="D678">
        <v>37</v>
      </c>
      <c r="E678" s="16" t="s">
        <v>128</v>
      </c>
      <c r="F678" s="16" t="s">
        <v>92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39</v>
      </c>
      <c r="C679" s="9">
        <v>45992</v>
      </c>
      <c r="D679">
        <v>37</v>
      </c>
      <c r="E679" s="16" t="s">
        <v>128</v>
      </c>
      <c r="F679" s="16" t="s">
        <v>92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39</v>
      </c>
      <c r="C680" s="9">
        <v>46023</v>
      </c>
      <c r="D680">
        <v>37</v>
      </c>
      <c r="E680" s="16" t="s">
        <v>128</v>
      </c>
      <c r="F680" s="16" t="s">
        <v>92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39</v>
      </c>
      <c r="C681" s="9">
        <v>46054</v>
      </c>
      <c r="D681">
        <v>37</v>
      </c>
      <c r="E681" s="16" t="s">
        <v>128</v>
      </c>
      <c r="F681" s="16" t="s">
        <v>92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39</v>
      </c>
      <c r="C682" s="9">
        <v>46082</v>
      </c>
      <c r="D682">
        <v>37</v>
      </c>
      <c r="E682" s="16" t="s">
        <v>128</v>
      </c>
      <c r="F682" s="16" t="s">
        <v>92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39</v>
      </c>
      <c r="C683" s="9">
        <v>46113</v>
      </c>
      <c r="D683">
        <v>37</v>
      </c>
      <c r="E683" s="16" t="s">
        <v>128</v>
      </c>
      <c r="F683" s="16" t="s">
        <v>92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39</v>
      </c>
      <c r="C684" s="9">
        <v>46143</v>
      </c>
      <c r="D684">
        <v>37</v>
      </c>
      <c r="E684" s="16" t="s">
        <v>128</v>
      </c>
      <c r="F684" s="16" t="s">
        <v>92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39</v>
      </c>
      <c r="C685" s="9">
        <v>46174</v>
      </c>
      <c r="D685">
        <v>37</v>
      </c>
      <c r="E685" s="16" t="s">
        <v>128</v>
      </c>
      <c r="F685" s="16" t="s">
        <v>92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39</v>
      </c>
      <c r="C686" s="9">
        <v>46204</v>
      </c>
      <c r="D686">
        <v>37</v>
      </c>
      <c r="E686" s="16" t="s">
        <v>128</v>
      </c>
      <c r="F686" s="16" t="s">
        <v>92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39</v>
      </c>
      <c r="C687" s="9">
        <v>46235</v>
      </c>
      <c r="D687">
        <v>37</v>
      </c>
      <c r="E687" s="16" t="s">
        <v>128</v>
      </c>
      <c r="F687" s="16" t="s">
        <v>92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39</v>
      </c>
      <c r="C688" s="9">
        <v>46266</v>
      </c>
      <c r="D688">
        <v>37</v>
      </c>
      <c r="E688" s="16" t="s">
        <v>128</v>
      </c>
      <c r="F688" s="16" t="s">
        <v>92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39</v>
      </c>
      <c r="C689" s="9">
        <v>45689</v>
      </c>
      <c r="D689">
        <v>38</v>
      </c>
      <c r="E689" s="16" t="s">
        <v>129</v>
      </c>
      <c r="F689" s="16" t="s">
        <v>85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39</v>
      </c>
      <c r="C690" s="9">
        <v>45717</v>
      </c>
      <c r="D690">
        <v>38</v>
      </c>
      <c r="E690" s="16" t="s">
        <v>129</v>
      </c>
      <c r="F690" s="16" t="s">
        <v>85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39</v>
      </c>
      <c r="C691" s="9">
        <v>45748</v>
      </c>
      <c r="D691">
        <v>38</v>
      </c>
      <c r="E691" s="16" t="s">
        <v>129</v>
      </c>
      <c r="F691" s="16" t="s">
        <v>85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39</v>
      </c>
      <c r="C692" s="9">
        <v>45778</v>
      </c>
      <c r="D692">
        <v>38</v>
      </c>
      <c r="E692" s="16" t="s">
        <v>129</v>
      </c>
      <c r="F692" s="16" t="s">
        <v>85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39</v>
      </c>
      <c r="C693" s="9">
        <v>45809</v>
      </c>
      <c r="D693">
        <v>38</v>
      </c>
      <c r="E693" s="16" t="s">
        <v>129</v>
      </c>
      <c r="F693" s="16" t="s">
        <v>85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39</v>
      </c>
      <c r="C694" s="9">
        <v>45839</v>
      </c>
      <c r="D694">
        <v>38</v>
      </c>
      <c r="E694" s="16" t="s">
        <v>129</v>
      </c>
      <c r="F694" s="16" t="s">
        <v>85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39</v>
      </c>
      <c r="C695" s="9">
        <v>45870</v>
      </c>
      <c r="D695">
        <v>38</v>
      </c>
      <c r="E695" s="16" t="s">
        <v>129</v>
      </c>
      <c r="F695" s="16" t="s">
        <v>85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39</v>
      </c>
      <c r="C696" s="9">
        <v>45901</v>
      </c>
      <c r="D696">
        <v>38</v>
      </c>
      <c r="E696" s="16" t="s">
        <v>129</v>
      </c>
      <c r="F696" s="16" t="s">
        <v>85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39</v>
      </c>
      <c r="C697" s="9">
        <v>45931</v>
      </c>
      <c r="D697">
        <v>38</v>
      </c>
      <c r="E697" s="16" t="s">
        <v>129</v>
      </c>
      <c r="F697" s="16" t="s">
        <v>85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39</v>
      </c>
      <c r="C698" s="9">
        <v>45962</v>
      </c>
      <c r="D698">
        <v>38</v>
      </c>
      <c r="E698" s="16" t="s">
        <v>129</v>
      </c>
      <c r="F698" s="16" t="s">
        <v>85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39</v>
      </c>
      <c r="C699" s="9">
        <v>45992</v>
      </c>
      <c r="D699">
        <v>38</v>
      </c>
      <c r="E699" s="16" t="s">
        <v>129</v>
      </c>
      <c r="F699" s="16" t="s">
        <v>85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39</v>
      </c>
      <c r="C700" s="9">
        <v>46023</v>
      </c>
      <c r="D700">
        <v>38</v>
      </c>
      <c r="E700" s="16" t="s">
        <v>129</v>
      </c>
      <c r="F700" s="16" t="s">
        <v>85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39</v>
      </c>
      <c r="C701" s="9">
        <v>46054</v>
      </c>
      <c r="D701">
        <v>38</v>
      </c>
      <c r="E701" s="16" t="s">
        <v>129</v>
      </c>
      <c r="F701" s="16" t="s">
        <v>85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39</v>
      </c>
      <c r="C702" s="9">
        <v>46082</v>
      </c>
      <c r="D702">
        <v>38</v>
      </c>
      <c r="E702" s="16" t="s">
        <v>129</v>
      </c>
      <c r="F702" s="16" t="s">
        <v>85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39</v>
      </c>
      <c r="C703" s="9">
        <v>46113</v>
      </c>
      <c r="D703">
        <v>38</v>
      </c>
      <c r="E703" s="16" t="s">
        <v>129</v>
      </c>
      <c r="F703" s="16" t="s">
        <v>85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39</v>
      </c>
      <c r="C704" s="9">
        <v>46143</v>
      </c>
      <c r="D704">
        <v>38</v>
      </c>
      <c r="E704" s="16" t="s">
        <v>129</v>
      </c>
      <c r="F704" s="16" t="s">
        <v>85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39</v>
      </c>
      <c r="C705" s="9">
        <v>46174</v>
      </c>
      <c r="D705">
        <v>38</v>
      </c>
      <c r="E705" s="16" t="s">
        <v>129</v>
      </c>
      <c r="F705" s="16" t="s">
        <v>85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39</v>
      </c>
      <c r="C706" s="9">
        <v>46204</v>
      </c>
      <c r="D706">
        <v>38</v>
      </c>
      <c r="E706" s="16" t="s">
        <v>129</v>
      </c>
      <c r="F706" s="16" t="s">
        <v>85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39</v>
      </c>
      <c r="C707" s="9">
        <v>46235</v>
      </c>
      <c r="D707">
        <v>38</v>
      </c>
      <c r="E707" s="16" t="s">
        <v>129</v>
      </c>
      <c r="F707" s="16" t="s">
        <v>85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39</v>
      </c>
      <c r="C708" s="9">
        <v>46266</v>
      </c>
      <c r="D708">
        <v>38</v>
      </c>
      <c r="E708" s="16" t="s">
        <v>129</v>
      </c>
      <c r="F708" s="16" t="s">
        <v>85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39</v>
      </c>
      <c r="C709" s="9">
        <v>45689</v>
      </c>
      <c r="D709">
        <v>39</v>
      </c>
      <c r="E709" s="16" t="s">
        <v>130</v>
      </c>
      <c r="F709" s="16" t="s">
        <v>89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39</v>
      </c>
      <c r="C710" s="9">
        <v>45717</v>
      </c>
      <c r="D710">
        <v>39</v>
      </c>
      <c r="E710" s="16" t="s">
        <v>130</v>
      </c>
      <c r="F710" s="16" t="s">
        <v>89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39</v>
      </c>
      <c r="C711" s="9">
        <v>45748</v>
      </c>
      <c r="D711">
        <v>39</v>
      </c>
      <c r="E711" s="16" t="s">
        <v>130</v>
      </c>
      <c r="F711" s="16" t="s">
        <v>89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39</v>
      </c>
      <c r="C712" s="9">
        <v>45778</v>
      </c>
      <c r="D712">
        <v>39</v>
      </c>
      <c r="E712" s="16" t="s">
        <v>130</v>
      </c>
      <c r="F712" s="16" t="s">
        <v>89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39</v>
      </c>
      <c r="C713" s="9">
        <v>45809</v>
      </c>
      <c r="D713">
        <v>39</v>
      </c>
      <c r="E713" s="16" t="s">
        <v>130</v>
      </c>
      <c r="F713" s="16" t="s">
        <v>89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39</v>
      </c>
      <c r="C714" s="9">
        <v>45839</v>
      </c>
      <c r="D714">
        <v>39</v>
      </c>
      <c r="E714" s="16" t="s">
        <v>130</v>
      </c>
      <c r="F714" s="16" t="s">
        <v>89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39</v>
      </c>
      <c r="C715" s="9">
        <v>45870</v>
      </c>
      <c r="D715">
        <v>39</v>
      </c>
      <c r="E715" s="16" t="s">
        <v>130</v>
      </c>
      <c r="F715" s="16" t="s">
        <v>89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39</v>
      </c>
      <c r="C716" s="9">
        <v>45901</v>
      </c>
      <c r="D716">
        <v>39</v>
      </c>
      <c r="E716" s="16" t="s">
        <v>130</v>
      </c>
      <c r="F716" s="16" t="s">
        <v>89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39</v>
      </c>
      <c r="C717" s="9">
        <v>45931</v>
      </c>
      <c r="D717">
        <v>39</v>
      </c>
      <c r="E717" s="16" t="s">
        <v>130</v>
      </c>
      <c r="F717" s="16" t="s">
        <v>89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39</v>
      </c>
      <c r="C718" s="9">
        <v>45962</v>
      </c>
      <c r="D718">
        <v>39</v>
      </c>
      <c r="E718" s="16" t="s">
        <v>130</v>
      </c>
      <c r="F718" s="16" t="s">
        <v>89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39</v>
      </c>
      <c r="C719" s="9">
        <v>45992</v>
      </c>
      <c r="D719">
        <v>39</v>
      </c>
      <c r="E719" s="16" t="s">
        <v>130</v>
      </c>
      <c r="F719" s="16" t="s">
        <v>89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39</v>
      </c>
      <c r="C720" s="9">
        <v>46023</v>
      </c>
      <c r="D720">
        <v>39</v>
      </c>
      <c r="E720" s="16" t="s">
        <v>130</v>
      </c>
      <c r="F720" s="16" t="s">
        <v>89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39</v>
      </c>
      <c r="C721" s="9">
        <v>46054</v>
      </c>
      <c r="D721">
        <v>39</v>
      </c>
      <c r="E721" s="16" t="s">
        <v>130</v>
      </c>
      <c r="F721" s="16" t="s">
        <v>89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39</v>
      </c>
      <c r="C722" s="9">
        <v>46082</v>
      </c>
      <c r="D722">
        <v>39</v>
      </c>
      <c r="E722" s="16" t="s">
        <v>130</v>
      </c>
      <c r="F722" s="16" t="s">
        <v>89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39</v>
      </c>
      <c r="C723" s="9">
        <v>46113</v>
      </c>
      <c r="D723">
        <v>39</v>
      </c>
      <c r="E723" s="16" t="s">
        <v>130</v>
      </c>
      <c r="F723" s="16" t="s">
        <v>89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39</v>
      </c>
      <c r="C724" s="9">
        <v>46143</v>
      </c>
      <c r="D724">
        <v>39</v>
      </c>
      <c r="E724" s="16" t="s">
        <v>130</v>
      </c>
      <c r="F724" s="16" t="s">
        <v>89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39</v>
      </c>
      <c r="C725" s="9">
        <v>46174</v>
      </c>
      <c r="D725">
        <v>39</v>
      </c>
      <c r="E725" s="16" t="s">
        <v>130</v>
      </c>
      <c r="F725" s="16" t="s">
        <v>89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39</v>
      </c>
      <c r="C726" s="9">
        <v>46204</v>
      </c>
      <c r="D726">
        <v>39</v>
      </c>
      <c r="E726" s="16" t="s">
        <v>130</v>
      </c>
      <c r="F726" s="16" t="s">
        <v>89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39</v>
      </c>
      <c r="C727" s="9">
        <v>46235</v>
      </c>
      <c r="D727">
        <v>39</v>
      </c>
      <c r="E727" s="16" t="s">
        <v>130</v>
      </c>
      <c r="F727" s="16" t="s">
        <v>89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39</v>
      </c>
      <c r="C728" s="9">
        <v>46266</v>
      </c>
      <c r="D728">
        <v>39</v>
      </c>
      <c r="E728" s="16" t="s">
        <v>130</v>
      </c>
      <c r="F728" s="16" t="s">
        <v>89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39</v>
      </c>
      <c r="C729" s="9">
        <v>45717</v>
      </c>
      <c r="D729">
        <v>40</v>
      </c>
      <c r="E729" s="16" t="s">
        <v>131</v>
      </c>
      <c r="F729" s="16" t="s">
        <v>110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39</v>
      </c>
      <c r="C730" s="9">
        <v>45748</v>
      </c>
      <c r="D730">
        <v>40</v>
      </c>
      <c r="E730" s="16" t="s">
        <v>131</v>
      </c>
      <c r="F730" s="16" t="s">
        <v>110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39</v>
      </c>
      <c r="C731" s="9">
        <v>45809</v>
      </c>
      <c r="D731">
        <v>40</v>
      </c>
      <c r="E731" s="16" t="s">
        <v>131</v>
      </c>
      <c r="F731" s="16" t="s">
        <v>110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39</v>
      </c>
      <c r="C732" s="9">
        <v>45839</v>
      </c>
      <c r="D732">
        <v>40</v>
      </c>
      <c r="E732" s="16" t="s">
        <v>131</v>
      </c>
      <c r="F732" s="16" t="s">
        <v>110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39</v>
      </c>
      <c r="C733" s="9">
        <v>45901</v>
      </c>
      <c r="D733">
        <v>40</v>
      </c>
      <c r="E733" s="16" t="s">
        <v>131</v>
      </c>
      <c r="F733" s="16" t="s">
        <v>110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39</v>
      </c>
      <c r="C734" s="9">
        <v>45931</v>
      </c>
      <c r="D734">
        <v>40</v>
      </c>
      <c r="E734" s="16" t="s">
        <v>131</v>
      </c>
      <c r="F734" s="16" t="s">
        <v>110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39</v>
      </c>
      <c r="C735" s="9">
        <v>45962</v>
      </c>
      <c r="D735">
        <v>40</v>
      </c>
      <c r="E735" s="16" t="s">
        <v>131</v>
      </c>
      <c r="F735" s="16" t="s">
        <v>110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39</v>
      </c>
      <c r="C736" s="9">
        <v>45992</v>
      </c>
      <c r="D736">
        <v>40</v>
      </c>
      <c r="E736" s="16" t="s">
        <v>131</v>
      </c>
      <c r="F736" s="16" t="s">
        <v>110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39</v>
      </c>
      <c r="C737" s="9">
        <v>46023</v>
      </c>
      <c r="D737">
        <v>40</v>
      </c>
      <c r="E737" s="16" t="s">
        <v>131</v>
      </c>
      <c r="F737" s="16" t="s">
        <v>110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39</v>
      </c>
      <c r="C738" s="9">
        <v>46054</v>
      </c>
      <c r="D738">
        <v>40</v>
      </c>
      <c r="E738" s="16" t="s">
        <v>131</v>
      </c>
      <c r="F738" s="16" t="s">
        <v>110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39</v>
      </c>
      <c r="C739" s="9">
        <v>46082</v>
      </c>
      <c r="D739">
        <v>40</v>
      </c>
      <c r="E739" s="16" t="s">
        <v>131</v>
      </c>
      <c r="F739" s="16" t="s">
        <v>110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39</v>
      </c>
      <c r="C740" s="9">
        <v>46143</v>
      </c>
      <c r="D740">
        <v>40</v>
      </c>
      <c r="E740" s="16" t="s">
        <v>131</v>
      </c>
      <c r="F740" s="16" t="s">
        <v>110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39</v>
      </c>
      <c r="C741" s="9">
        <v>46204</v>
      </c>
      <c r="D741">
        <v>40</v>
      </c>
      <c r="E741" s="16" t="s">
        <v>131</v>
      </c>
      <c r="F741" s="16" t="s">
        <v>110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39</v>
      </c>
      <c r="C742" s="9">
        <v>46235</v>
      </c>
      <c r="D742">
        <v>40</v>
      </c>
      <c r="E742" s="16" t="s">
        <v>131</v>
      </c>
      <c r="F742" s="16" t="s">
        <v>110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39</v>
      </c>
      <c r="C743" s="9">
        <v>46266</v>
      </c>
      <c r="D743">
        <v>40</v>
      </c>
      <c r="E743" s="16" t="s">
        <v>131</v>
      </c>
      <c r="F743" s="16" t="s">
        <v>110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39</v>
      </c>
      <c r="C744" s="9">
        <v>45689</v>
      </c>
      <c r="D744">
        <v>41</v>
      </c>
      <c r="E744" s="16" t="s">
        <v>132</v>
      </c>
      <c r="F744" s="16" t="s">
        <v>89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39</v>
      </c>
      <c r="C745" s="9">
        <v>45717</v>
      </c>
      <c r="D745">
        <v>41</v>
      </c>
      <c r="E745" s="16" t="s">
        <v>132</v>
      </c>
      <c r="F745" s="16" t="s">
        <v>89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39</v>
      </c>
      <c r="C746" s="9">
        <v>45748</v>
      </c>
      <c r="D746">
        <v>41</v>
      </c>
      <c r="E746" s="16" t="s">
        <v>132</v>
      </c>
      <c r="F746" s="16" t="s">
        <v>89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39</v>
      </c>
      <c r="C747" s="9">
        <v>45778</v>
      </c>
      <c r="D747">
        <v>41</v>
      </c>
      <c r="E747" s="16" t="s">
        <v>132</v>
      </c>
      <c r="F747" s="16" t="s">
        <v>89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39</v>
      </c>
      <c r="C748" s="9">
        <v>45809</v>
      </c>
      <c r="D748">
        <v>41</v>
      </c>
      <c r="E748" s="16" t="s">
        <v>132</v>
      </c>
      <c r="F748" s="16" t="s">
        <v>89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39</v>
      </c>
      <c r="C749" s="9">
        <v>45839</v>
      </c>
      <c r="D749">
        <v>41</v>
      </c>
      <c r="E749" s="16" t="s">
        <v>132</v>
      </c>
      <c r="F749" s="16" t="s">
        <v>89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39</v>
      </c>
      <c r="C750" s="9">
        <v>45870</v>
      </c>
      <c r="D750">
        <v>41</v>
      </c>
      <c r="E750" s="16" t="s">
        <v>132</v>
      </c>
      <c r="F750" s="16" t="s">
        <v>89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39</v>
      </c>
      <c r="C751" s="9">
        <v>45901</v>
      </c>
      <c r="D751">
        <v>41</v>
      </c>
      <c r="E751" s="16" t="s">
        <v>132</v>
      </c>
      <c r="F751" s="16" t="s">
        <v>89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39</v>
      </c>
      <c r="C752" s="9">
        <v>45931</v>
      </c>
      <c r="D752">
        <v>41</v>
      </c>
      <c r="E752" s="16" t="s">
        <v>132</v>
      </c>
      <c r="F752" s="16" t="s">
        <v>89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39</v>
      </c>
      <c r="C753" s="9">
        <v>45962</v>
      </c>
      <c r="D753">
        <v>41</v>
      </c>
      <c r="E753" s="16" t="s">
        <v>132</v>
      </c>
      <c r="F753" s="16" t="s">
        <v>89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39</v>
      </c>
      <c r="C754" s="9">
        <v>45992</v>
      </c>
      <c r="D754">
        <v>41</v>
      </c>
      <c r="E754" s="16" t="s">
        <v>132</v>
      </c>
      <c r="F754" s="16" t="s">
        <v>89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39</v>
      </c>
      <c r="C755" s="9">
        <v>46023</v>
      </c>
      <c r="D755">
        <v>41</v>
      </c>
      <c r="E755" s="16" t="s">
        <v>132</v>
      </c>
      <c r="F755" s="16" t="s">
        <v>89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39</v>
      </c>
      <c r="C756" s="9">
        <v>46054</v>
      </c>
      <c r="D756">
        <v>41</v>
      </c>
      <c r="E756" s="16" t="s">
        <v>132</v>
      </c>
      <c r="F756" s="16" t="s">
        <v>89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39</v>
      </c>
      <c r="C757" s="9">
        <v>46082</v>
      </c>
      <c r="D757">
        <v>41</v>
      </c>
      <c r="E757" s="16" t="s">
        <v>132</v>
      </c>
      <c r="F757" s="16" t="s">
        <v>89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39</v>
      </c>
      <c r="C758" s="9">
        <v>46113</v>
      </c>
      <c r="D758">
        <v>41</v>
      </c>
      <c r="E758" s="16" t="s">
        <v>132</v>
      </c>
      <c r="F758" s="16" t="s">
        <v>89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39</v>
      </c>
      <c r="C759" s="9">
        <v>46143</v>
      </c>
      <c r="D759">
        <v>41</v>
      </c>
      <c r="E759" s="16" t="s">
        <v>132</v>
      </c>
      <c r="F759" s="16" t="s">
        <v>89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39</v>
      </c>
      <c r="C760" s="9">
        <v>46174</v>
      </c>
      <c r="D760">
        <v>41</v>
      </c>
      <c r="E760" s="16" t="s">
        <v>132</v>
      </c>
      <c r="F760" s="16" t="s">
        <v>89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39</v>
      </c>
      <c r="C761" s="9">
        <v>46204</v>
      </c>
      <c r="D761">
        <v>41</v>
      </c>
      <c r="E761" s="16" t="s">
        <v>132</v>
      </c>
      <c r="F761" s="16" t="s">
        <v>89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39</v>
      </c>
      <c r="C762" s="9">
        <v>46235</v>
      </c>
      <c r="D762">
        <v>41</v>
      </c>
      <c r="E762" s="16" t="s">
        <v>132</v>
      </c>
      <c r="F762" s="16" t="s">
        <v>89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39</v>
      </c>
      <c r="C763" s="9">
        <v>46266</v>
      </c>
      <c r="D763">
        <v>41</v>
      </c>
      <c r="E763" s="16" t="s">
        <v>132</v>
      </c>
      <c r="F763" s="16" t="s">
        <v>89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39</v>
      </c>
      <c r="C764" s="9">
        <v>45689</v>
      </c>
      <c r="D764">
        <v>42</v>
      </c>
      <c r="E764" s="16" t="s">
        <v>133</v>
      </c>
      <c r="F764" s="16" t="s">
        <v>85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39</v>
      </c>
      <c r="C765" s="9">
        <v>45717</v>
      </c>
      <c r="D765">
        <v>42</v>
      </c>
      <c r="E765" s="16" t="s">
        <v>133</v>
      </c>
      <c r="F765" s="16" t="s">
        <v>85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39</v>
      </c>
      <c r="C766" s="9">
        <v>45748</v>
      </c>
      <c r="D766">
        <v>42</v>
      </c>
      <c r="E766" s="16" t="s">
        <v>133</v>
      </c>
      <c r="F766" s="16" t="s">
        <v>85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39</v>
      </c>
      <c r="C767" s="9">
        <v>45778</v>
      </c>
      <c r="D767">
        <v>42</v>
      </c>
      <c r="E767" s="16" t="s">
        <v>133</v>
      </c>
      <c r="F767" s="16" t="s">
        <v>85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39</v>
      </c>
      <c r="C768" s="9">
        <v>45809</v>
      </c>
      <c r="D768">
        <v>42</v>
      </c>
      <c r="E768" s="16" t="s">
        <v>133</v>
      </c>
      <c r="F768" s="16" t="s">
        <v>85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39</v>
      </c>
      <c r="C769" s="9">
        <v>45839</v>
      </c>
      <c r="D769">
        <v>42</v>
      </c>
      <c r="E769" s="16" t="s">
        <v>133</v>
      </c>
      <c r="F769" s="16" t="s">
        <v>85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39</v>
      </c>
      <c r="C770" s="9">
        <v>45870</v>
      </c>
      <c r="D770">
        <v>42</v>
      </c>
      <c r="E770" s="16" t="s">
        <v>133</v>
      </c>
      <c r="F770" s="16" t="s">
        <v>85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39</v>
      </c>
      <c r="C771" s="9">
        <v>45901</v>
      </c>
      <c r="D771">
        <v>42</v>
      </c>
      <c r="E771" s="16" t="s">
        <v>133</v>
      </c>
      <c r="F771" s="16" t="s">
        <v>85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39</v>
      </c>
      <c r="C772" s="9">
        <v>45931</v>
      </c>
      <c r="D772">
        <v>42</v>
      </c>
      <c r="E772" s="16" t="s">
        <v>133</v>
      </c>
      <c r="F772" s="16" t="s">
        <v>85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39</v>
      </c>
      <c r="C773" s="9">
        <v>45962</v>
      </c>
      <c r="D773">
        <v>42</v>
      </c>
      <c r="E773" s="16" t="s">
        <v>133</v>
      </c>
      <c r="F773" s="16" t="s">
        <v>85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39</v>
      </c>
      <c r="C774" s="9">
        <v>45992</v>
      </c>
      <c r="D774">
        <v>42</v>
      </c>
      <c r="E774" s="16" t="s">
        <v>133</v>
      </c>
      <c r="F774" s="16" t="s">
        <v>85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39</v>
      </c>
      <c r="C775" s="9">
        <v>46023</v>
      </c>
      <c r="D775">
        <v>42</v>
      </c>
      <c r="E775" s="16" t="s">
        <v>133</v>
      </c>
      <c r="F775" s="16" t="s">
        <v>85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39</v>
      </c>
      <c r="C776" s="9">
        <v>46054</v>
      </c>
      <c r="D776">
        <v>42</v>
      </c>
      <c r="E776" s="16" t="s">
        <v>133</v>
      </c>
      <c r="F776" s="16" t="s">
        <v>85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39</v>
      </c>
      <c r="C777" s="9">
        <v>46082</v>
      </c>
      <c r="D777">
        <v>42</v>
      </c>
      <c r="E777" s="16" t="s">
        <v>133</v>
      </c>
      <c r="F777" s="16" t="s">
        <v>85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39</v>
      </c>
      <c r="C778" s="9">
        <v>46113</v>
      </c>
      <c r="D778">
        <v>42</v>
      </c>
      <c r="E778" s="16" t="s">
        <v>133</v>
      </c>
      <c r="F778" s="16" t="s">
        <v>85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39</v>
      </c>
      <c r="C779" s="9">
        <v>46143</v>
      </c>
      <c r="D779">
        <v>42</v>
      </c>
      <c r="E779" s="16" t="s">
        <v>133</v>
      </c>
      <c r="F779" s="16" t="s">
        <v>85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39</v>
      </c>
      <c r="C780" s="9">
        <v>46174</v>
      </c>
      <c r="D780">
        <v>42</v>
      </c>
      <c r="E780" s="16" t="s">
        <v>133</v>
      </c>
      <c r="F780" s="16" t="s">
        <v>85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39</v>
      </c>
      <c r="C781" s="9">
        <v>46204</v>
      </c>
      <c r="D781">
        <v>42</v>
      </c>
      <c r="E781" s="16" t="s">
        <v>133</v>
      </c>
      <c r="F781" s="16" t="s">
        <v>85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39</v>
      </c>
      <c r="C782" s="9">
        <v>46235</v>
      </c>
      <c r="D782">
        <v>42</v>
      </c>
      <c r="E782" s="16" t="s">
        <v>133</v>
      </c>
      <c r="F782" s="16" t="s">
        <v>85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39</v>
      </c>
      <c r="C783" s="9">
        <v>46266</v>
      </c>
      <c r="D783">
        <v>42</v>
      </c>
      <c r="E783" s="16" t="s">
        <v>133</v>
      </c>
      <c r="F783" s="16" t="s">
        <v>85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39</v>
      </c>
      <c r="C784" s="9">
        <v>45689</v>
      </c>
      <c r="D784">
        <v>43</v>
      </c>
      <c r="E784" s="16" t="s">
        <v>134</v>
      </c>
      <c r="F784" s="16" t="s">
        <v>92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39</v>
      </c>
      <c r="C785" s="9">
        <v>45717</v>
      </c>
      <c r="D785">
        <v>43</v>
      </c>
      <c r="E785" s="16" t="s">
        <v>134</v>
      </c>
      <c r="F785" s="16" t="s">
        <v>92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39</v>
      </c>
      <c r="C786" s="9">
        <v>45748</v>
      </c>
      <c r="D786">
        <v>43</v>
      </c>
      <c r="E786" s="16" t="s">
        <v>134</v>
      </c>
      <c r="F786" s="16" t="s">
        <v>92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39</v>
      </c>
      <c r="C787" s="9">
        <v>45778</v>
      </c>
      <c r="D787">
        <v>43</v>
      </c>
      <c r="E787" s="16" t="s">
        <v>134</v>
      </c>
      <c r="F787" s="16" t="s">
        <v>92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39</v>
      </c>
      <c r="C788" s="9">
        <v>45809</v>
      </c>
      <c r="D788">
        <v>43</v>
      </c>
      <c r="E788" s="16" t="s">
        <v>134</v>
      </c>
      <c r="F788" s="16" t="s">
        <v>92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39</v>
      </c>
      <c r="C789" s="9">
        <v>45839</v>
      </c>
      <c r="D789">
        <v>43</v>
      </c>
      <c r="E789" s="16" t="s">
        <v>134</v>
      </c>
      <c r="F789" s="16" t="s">
        <v>92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39</v>
      </c>
      <c r="C790" s="9">
        <v>45901</v>
      </c>
      <c r="D790">
        <v>43</v>
      </c>
      <c r="E790" s="16" t="s">
        <v>134</v>
      </c>
      <c r="F790" s="16" t="s">
        <v>92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39</v>
      </c>
      <c r="C791" s="9">
        <v>45931</v>
      </c>
      <c r="D791">
        <v>43</v>
      </c>
      <c r="E791" s="16" t="s">
        <v>134</v>
      </c>
      <c r="F791" s="16" t="s">
        <v>92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39</v>
      </c>
      <c r="C792" s="9">
        <v>45962</v>
      </c>
      <c r="D792">
        <v>43</v>
      </c>
      <c r="E792" s="16" t="s">
        <v>134</v>
      </c>
      <c r="F792" s="16" t="s">
        <v>92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39</v>
      </c>
      <c r="C793" s="9">
        <v>45992</v>
      </c>
      <c r="D793">
        <v>43</v>
      </c>
      <c r="E793" s="16" t="s">
        <v>134</v>
      </c>
      <c r="F793" s="16" t="s">
        <v>92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39</v>
      </c>
      <c r="C794" s="9">
        <v>46023</v>
      </c>
      <c r="D794">
        <v>43</v>
      </c>
      <c r="E794" s="16" t="s">
        <v>134</v>
      </c>
      <c r="F794" s="16" t="s">
        <v>92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39</v>
      </c>
      <c r="C795" s="9">
        <v>46054</v>
      </c>
      <c r="D795">
        <v>43</v>
      </c>
      <c r="E795" s="16" t="s">
        <v>134</v>
      </c>
      <c r="F795" s="16" t="s">
        <v>92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39</v>
      </c>
      <c r="C796" s="9">
        <v>46082</v>
      </c>
      <c r="D796">
        <v>43</v>
      </c>
      <c r="E796" s="16" t="s">
        <v>134</v>
      </c>
      <c r="F796" s="16" t="s">
        <v>92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39</v>
      </c>
      <c r="C797" s="9">
        <v>46113</v>
      </c>
      <c r="D797">
        <v>43</v>
      </c>
      <c r="E797" s="16" t="s">
        <v>134</v>
      </c>
      <c r="F797" s="16" t="s">
        <v>92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39</v>
      </c>
      <c r="C798" s="9">
        <v>46143</v>
      </c>
      <c r="D798">
        <v>43</v>
      </c>
      <c r="E798" s="16" t="s">
        <v>134</v>
      </c>
      <c r="F798" s="16" t="s">
        <v>92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39</v>
      </c>
      <c r="C799" s="9">
        <v>46174</v>
      </c>
      <c r="D799">
        <v>43</v>
      </c>
      <c r="E799" s="16" t="s">
        <v>134</v>
      </c>
      <c r="F799" s="16" t="s">
        <v>92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39</v>
      </c>
      <c r="C800" s="9">
        <v>46204</v>
      </c>
      <c r="D800">
        <v>43</v>
      </c>
      <c r="E800" s="16" t="s">
        <v>134</v>
      </c>
      <c r="F800" s="16" t="s">
        <v>92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39</v>
      </c>
      <c r="C801" s="9">
        <v>46235</v>
      </c>
      <c r="D801">
        <v>43</v>
      </c>
      <c r="E801" s="16" t="s">
        <v>134</v>
      </c>
      <c r="F801" s="16" t="s">
        <v>92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39</v>
      </c>
      <c r="C802" s="9">
        <v>46266</v>
      </c>
      <c r="D802">
        <v>43</v>
      </c>
      <c r="E802" s="16" t="s">
        <v>134</v>
      </c>
      <c r="F802" s="16" t="s">
        <v>92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39</v>
      </c>
      <c r="C803" s="9">
        <v>45717</v>
      </c>
      <c r="D803">
        <v>44</v>
      </c>
      <c r="E803" s="16" t="s">
        <v>135</v>
      </c>
      <c r="F803" s="16" t="s">
        <v>92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39</v>
      </c>
      <c r="C804" s="9">
        <v>45748</v>
      </c>
      <c r="D804">
        <v>44</v>
      </c>
      <c r="E804" s="16" t="s">
        <v>135</v>
      </c>
      <c r="F804" s="16" t="s">
        <v>92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39</v>
      </c>
      <c r="C805" s="9">
        <v>45778</v>
      </c>
      <c r="D805">
        <v>44</v>
      </c>
      <c r="E805" s="16" t="s">
        <v>135</v>
      </c>
      <c r="F805" s="16" t="s">
        <v>92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39</v>
      </c>
      <c r="C806" s="9">
        <v>45809</v>
      </c>
      <c r="D806">
        <v>44</v>
      </c>
      <c r="E806" s="16" t="s">
        <v>135</v>
      </c>
      <c r="F806" s="16" t="s">
        <v>92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39</v>
      </c>
      <c r="C807" s="9">
        <v>45839</v>
      </c>
      <c r="D807">
        <v>44</v>
      </c>
      <c r="E807" s="16" t="s">
        <v>135</v>
      </c>
      <c r="F807" s="16" t="s">
        <v>92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39</v>
      </c>
      <c r="C808" s="9">
        <v>45870</v>
      </c>
      <c r="D808">
        <v>44</v>
      </c>
      <c r="E808" s="16" t="s">
        <v>135</v>
      </c>
      <c r="F808" s="16" t="s">
        <v>92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39</v>
      </c>
      <c r="C809" s="9">
        <v>45901</v>
      </c>
      <c r="D809">
        <v>44</v>
      </c>
      <c r="E809" s="16" t="s">
        <v>135</v>
      </c>
      <c r="F809" s="16" t="s">
        <v>92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39</v>
      </c>
      <c r="C810" s="9">
        <v>45931</v>
      </c>
      <c r="D810">
        <v>44</v>
      </c>
      <c r="E810" s="16" t="s">
        <v>135</v>
      </c>
      <c r="F810" s="16" t="s">
        <v>92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39</v>
      </c>
      <c r="C811" s="9">
        <v>45962</v>
      </c>
      <c r="D811">
        <v>44</v>
      </c>
      <c r="E811" s="16" t="s">
        <v>135</v>
      </c>
      <c r="F811" s="16" t="s">
        <v>92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39</v>
      </c>
      <c r="C812" s="9">
        <v>45992</v>
      </c>
      <c r="D812">
        <v>44</v>
      </c>
      <c r="E812" s="16" t="s">
        <v>135</v>
      </c>
      <c r="F812" s="16" t="s">
        <v>92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39</v>
      </c>
      <c r="C813" s="9">
        <v>46023</v>
      </c>
      <c r="D813">
        <v>44</v>
      </c>
      <c r="E813" s="16" t="s">
        <v>135</v>
      </c>
      <c r="F813" s="16" t="s">
        <v>92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39</v>
      </c>
      <c r="C814" s="9">
        <v>46054</v>
      </c>
      <c r="D814">
        <v>44</v>
      </c>
      <c r="E814" s="16" t="s">
        <v>135</v>
      </c>
      <c r="F814" s="16" t="s">
        <v>92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39</v>
      </c>
      <c r="C815" s="9">
        <v>46082</v>
      </c>
      <c r="D815">
        <v>44</v>
      </c>
      <c r="E815" s="16" t="s">
        <v>135</v>
      </c>
      <c r="F815" s="16" t="s">
        <v>92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39</v>
      </c>
      <c r="C816" s="9">
        <v>46113</v>
      </c>
      <c r="D816">
        <v>44</v>
      </c>
      <c r="E816" s="16" t="s">
        <v>135</v>
      </c>
      <c r="F816" s="16" t="s">
        <v>92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39</v>
      </c>
      <c r="C817" s="9">
        <v>46143</v>
      </c>
      <c r="D817">
        <v>44</v>
      </c>
      <c r="E817" s="16" t="s">
        <v>135</v>
      </c>
      <c r="F817" s="16" t="s">
        <v>92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39</v>
      </c>
      <c r="C818" s="9">
        <v>46174</v>
      </c>
      <c r="D818">
        <v>44</v>
      </c>
      <c r="E818" s="16" t="s">
        <v>135</v>
      </c>
      <c r="F818" s="16" t="s">
        <v>92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39</v>
      </c>
      <c r="C819" s="9">
        <v>46204</v>
      </c>
      <c r="D819">
        <v>44</v>
      </c>
      <c r="E819" s="16" t="s">
        <v>135</v>
      </c>
      <c r="F819" s="16" t="s">
        <v>92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39</v>
      </c>
      <c r="C820" s="9">
        <v>46235</v>
      </c>
      <c r="D820">
        <v>44</v>
      </c>
      <c r="E820" s="16" t="s">
        <v>135</v>
      </c>
      <c r="F820" s="16" t="s">
        <v>92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39</v>
      </c>
      <c r="C821" s="9">
        <v>46266</v>
      </c>
      <c r="D821">
        <v>44</v>
      </c>
      <c r="E821" s="16" t="s">
        <v>135</v>
      </c>
      <c r="F821" s="16" t="s">
        <v>92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39</v>
      </c>
      <c r="C822" s="9">
        <v>45689</v>
      </c>
      <c r="D822">
        <v>45</v>
      </c>
      <c r="E822" s="16" t="s">
        <v>136</v>
      </c>
      <c r="F822" s="16" t="s">
        <v>85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39</v>
      </c>
      <c r="C823" s="9">
        <v>45717</v>
      </c>
      <c r="D823">
        <v>45</v>
      </c>
      <c r="E823" s="16" t="s">
        <v>136</v>
      </c>
      <c r="F823" s="16" t="s">
        <v>85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39</v>
      </c>
      <c r="C824" s="9">
        <v>45748</v>
      </c>
      <c r="D824">
        <v>45</v>
      </c>
      <c r="E824" s="16" t="s">
        <v>136</v>
      </c>
      <c r="F824" s="16" t="s">
        <v>85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39</v>
      </c>
      <c r="C825" s="9">
        <v>45778</v>
      </c>
      <c r="D825">
        <v>45</v>
      </c>
      <c r="E825" s="16" t="s">
        <v>136</v>
      </c>
      <c r="F825" s="16" t="s">
        <v>85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39</v>
      </c>
      <c r="C826" s="9">
        <v>45809</v>
      </c>
      <c r="D826">
        <v>45</v>
      </c>
      <c r="E826" s="16" t="s">
        <v>136</v>
      </c>
      <c r="F826" s="16" t="s">
        <v>85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39</v>
      </c>
      <c r="C827" s="9">
        <v>45839</v>
      </c>
      <c r="D827">
        <v>45</v>
      </c>
      <c r="E827" s="16" t="s">
        <v>136</v>
      </c>
      <c r="F827" s="16" t="s">
        <v>85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39</v>
      </c>
      <c r="C828" s="9">
        <v>45870</v>
      </c>
      <c r="D828">
        <v>45</v>
      </c>
      <c r="E828" s="16" t="s">
        <v>136</v>
      </c>
      <c r="F828" s="16" t="s">
        <v>85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39</v>
      </c>
      <c r="C829" s="9">
        <v>45901</v>
      </c>
      <c r="D829">
        <v>45</v>
      </c>
      <c r="E829" s="16" t="s">
        <v>136</v>
      </c>
      <c r="F829" s="16" t="s">
        <v>85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39</v>
      </c>
      <c r="C830" s="9">
        <v>45931</v>
      </c>
      <c r="D830">
        <v>45</v>
      </c>
      <c r="E830" s="16" t="s">
        <v>136</v>
      </c>
      <c r="F830" s="16" t="s">
        <v>85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39</v>
      </c>
      <c r="C831" s="9">
        <v>45962</v>
      </c>
      <c r="D831">
        <v>45</v>
      </c>
      <c r="E831" s="16" t="s">
        <v>136</v>
      </c>
      <c r="F831" s="16" t="s">
        <v>85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39</v>
      </c>
      <c r="C832" s="9">
        <v>45992</v>
      </c>
      <c r="D832">
        <v>45</v>
      </c>
      <c r="E832" s="16" t="s">
        <v>136</v>
      </c>
      <c r="F832" s="16" t="s">
        <v>85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39</v>
      </c>
      <c r="C833" s="9">
        <v>46023</v>
      </c>
      <c r="D833">
        <v>45</v>
      </c>
      <c r="E833" s="16" t="s">
        <v>136</v>
      </c>
      <c r="F833" s="16" t="s">
        <v>85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39</v>
      </c>
      <c r="C834" s="9">
        <v>46054</v>
      </c>
      <c r="D834">
        <v>45</v>
      </c>
      <c r="E834" s="16" t="s">
        <v>136</v>
      </c>
      <c r="F834" s="16" t="s">
        <v>85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39</v>
      </c>
      <c r="C835" s="9">
        <v>46082</v>
      </c>
      <c r="D835">
        <v>45</v>
      </c>
      <c r="E835" s="16" t="s">
        <v>136</v>
      </c>
      <c r="F835" s="16" t="s">
        <v>85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39</v>
      </c>
      <c r="C836" s="9">
        <v>46113</v>
      </c>
      <c r="D836">
        <v>45</v>
      </c>
      <c r="E836" s="16" t="s">
        <v>136</v>
      </c>
      <c r="F836" s="16" t="s">
        <v>85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39</v>
      </c>
      <c r="C837" s="9">
        <v>46143</v>
      </c>
      <c r="D837">
        <v>45</v>
      </c>
      <c r="E837" s="16" t="s">
        <v>136</v>
      </c>
      <c r="F837" s="16" t="s">
        <v>85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39</v>
      </c>
      <c r="C838" s="9">
        <v>46174</v>
      </c>
      <c r="D838">
        <v>45</v>
      </c>
      <c r="E838" s="16" t="s">
        <v>136</v>
      </c>
      <c r="F838" s="16" t="s">
        <v>85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39</v>
      </c>
      <c r="C839" s="9">
        <v>46204</v>
      </c>
      <c r="D839">
        <v>45</v>
      </c>
      <c r="E839" s="16" t="s">
        <v>136</v>
      </c>
      <c r="F839" s="16" t="s">
        <v>85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39</v>
      </c>
      <c r="C840" s="9">
        <v>46235</v>
      </c>
      <c r="D840">
        <v>45</v>
      </c>
      <c r="E840" s="16" t="s">
        <v>136</v>
      </c>
      <c r="F840" s="16" t="s">
        <v>85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39</v>
      </c>
      <c r="C841" s="9">
        <v>46266</v>
      </c>
      <c r="D841">
        <v>45</v>
      </c>
      <c r="E841" s="16" t="s">
        <v>136</v>
      </c>
      <c r="F841" s="16" t="s">
        <v>85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39</v>
      </c>
      <c r="C842" s="9">
        <v>45689</v>
      </c>
      <c r="D842">
        <v>46</v>
      </c>
      <c r="E842" s="16" t="s">
        <v>137</v>
      </c>
      <c r="F842" s="16" t="s">
        <v>110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39</v>
      </c>
      <c r="C843" s="9">
        <v>45717</v>
      </c>
      <c r="D843">
        <v>46</v>
      </c>
      <c r="E843" s="16" t="s">
        <v>137</v>
      </c>
      <c r="F843" s="16" t="s">
        <v>110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39</v>
      </c>
      <c r="C844" s="9">
        <v>45748</v>
      </c>
      <c r="D844">
        <v>46</v>
      </c>
      <c r="E844" s="16" t="s">
        <v>137</v>
      </c>
      <c r="F844" s="16" t="s">
        <v>110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39</v>
      </c>
      <c r="C845" s="9">
        <v>45778</v>
      </c>
      <c r="D845">
        <v>46</v>
      </c>
      <c r="E845" s="16" t="s">
        <v>137</v>
      </c>
      <c r="F845" s="16" t="s">
        <v>110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39</v>
      </c>
      <c r="C846" s="9">
        <v>45809</v>
      </c>
      <c r="D846">
        <v>46</v>
      </c>
      <c r="E846" s="16" t="s">
        <v>137</v>
      </c>
      <c r="F846" s="16" t="s">
        <v>110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39</v>
      </c>
      <c r="C847" s="9">
        <v>45839</v>
      </c>
      <c r="D847">
        <v>46</v>
      </c>
      <c r="E847" s="16" t="s">
        <v>137</v>
      </c>
      <c r="F847" s="16" t="s">
        <v>110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39</v>
      </c>
      <c r="C848" s="9">
        <v>45870</v>
      </c>
      <c r="D848">
        <v>46</v>
      </c>
      <c r="E848" s="16" t="s">
        <v>137</v>
      </c>
      <c r="F848" s="16" t="s">
        <v>110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39</v>
      </c>
      <c r="C849" s="9">
        <v>45901</v>
      </c>
      <c r="D849">
        <v>46</v>
      </c>
      <c r="E849" s="16" t="s">
        <v>137</v>
      </c>
      <c r="F849" s="16" t="s">
        <v>110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39</v>
      </c>
      <c r="C850" s="9">
        <v>45931</v>
      </c>
      <c r="D850">
        <v>46</v>
      </c>
      <c r="E850" s="16" t="s">
        <v>137</v>
      </c>
      <c r="F850" s="16" t="s">
        <v>110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39</v>
      </c>
      <c r="C851" s="9">
        <v>45962</v>
      </c>
      <c r="D851">
        <v>46</v>
      </c>
      <c r="E851" s="16" t="s">
        <v>137</v>
      </c>
      <c r="F851" s="16" t="s">
        <v>110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39</v>
      </c>
      <c r="C852" s="9">
        <v>45992</v>
      </c>
      <c r="D852">
        <v>46</v>
      </c>
      <c r="E852" s="16" t="s">
        <v>137</v>
      </c>
      <c r="F852" s="16" t="s">
        <v>110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39</v>
      </c>
      <c r="C853" s="9">
        <v>46023</v>
      </c>
      <c r="D853">
        <v>46</v>
      </c>
      <c r="E853" s="16" t="s">
        <v>137</v>
      </c>
      <c r="F853" s="16" t="s">
        <v>110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39</v>
      </c>
      <c r="C854" s="9">
        <v>46054</v>
      </c>
      <c r="D854">
        <v>46</v>
      </c>
      <c r="E854" s="16" t="s">
        <v>137</v>
      </c>
      <c r="F854" s="16" t="s">
        <v>110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39</v>
      </c>
      <c r="C855" s="9">
        <v>46082</v>
      </c>
      <c r="D855">
        <v>46</v>
      </c>
      <c r="E855" s="16" t="s">
        <v>137</v>
      </c>
      <c r="F855" s="16" t="s">
        <v>110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39</v>
      </c>
      <c r="C856" s="9">
        <v>46113</v>
      </c>
      <c r="D856">
        <v>46</v>
      </c>
      <c r="E856" s="16" t="s">
        <v>137</v>
      </c>
      <c r="F856" s="16" t="s">
        <v>110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39</v>
      </c>
      <c r="C857" s="9">
        <v>46143</v>
      </c>
      <c r="D857">
        <v>46</v>
      </c>
      <c r="E857" s="16" t="s">
        <v>137</v>
      </c>
      <c r="F857" s="16" t="s">
        <v>110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39</v>
      </c>
      <c r="C858" s="9">
        <v>46174</v>
      </c>
      <c r="D858">
        <v>46</v>
      </c>
      <c r="E858" s="16" t="s">
        <v>137</v>
      </c>
      <c r="F858" s="16" t="s">
        <v>110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39</v>
      </c>
      <c r="C859" s="9">
        <v>46204</v>
      </c>
      <c r="D859">
        <v>46</v>
      </c>
      <c r="E859" s="16" t="s">
        <v>137</v>
      </c>
      <c r="F859" s="16" t="s">
        <v>110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39</v>
      </c>
      <c r="C860" s="9">
        <v>46235</v>
      </c>
      <c r="D860">
        <v>46</v>
      </c>
      <c r="E860" s="16" t="s">
        <v>137</v>
      </c>
      <c r="F860" s="16" t="s">
        <v>110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39</v>
      </c>
      <c r="C861" s="9">
        <v>46266</v>
      </c>
      <c r="D861">
        <v>46</v>
      </c>
      <c r="E861" s="16" t="s">
        <v>137</v>
      </c>
      <c r="F861" s="16" t="s">
        <v>110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39</v>
      </c>
      <c r="C862" s="9">
        <v>45689</v>
      </c>
      <c r="D862">
        <v>47</v>
      </c>
      <c r="E862" s="16" t="s">
        <v>138</v>
      </c>
      <c r="F862" s="16" t="s">
        <v>94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39</v>
      </c>
      <c r="C863" s="9">
        <v>45717</v>
      </c>
      <c r="D863">
        <v>47</v>
      </c>
      <c r="E863" s="16" t="s">
        <v>138</v>
      </c>
      <c r="F863" s="16" t="s">
        <v>94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39</v>
      </c>
      <c r="C864" s="9">
        <v>45748</v>
      </c>
      <c r="D864">
        <v>47</v>
      </c>
      <c r="E864" s="16" t="s">
        <v>138</v>
      </c>
      <c r="F864" s="16" t="s">
        <v>94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39</v>
      </c>
      <c r="C865" s="9">
        <v>45778</v>
      </c>
      <c r="D865">
        <v>47</v>
      </c>
      <c r="E865" s="16" t="s">
        <v>138</v>
      </c>
      <c r="F865" s="16" t="s">
        <v>94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39</v>
      </c>
      <c r="C866" s="9">
        <v>45809</v>
      </c>
      <c r="D866">
        <v>47</v>
      </c>
      <c r="E866" s="16" t="s">
        <v>138</v>
      </c>
      <c r="F866" s="16" t="s">
        <v>94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39</v>
      </c>
      <c r="C867" s="9">
        <v>45839</v>
      </c>
      <c r="D867">
        <v>47</v>
      </c>
      <c r="E867" s="16" t="s">
        <v>138</v>
      </c>
      <c r="F867" s="16" t="s">
        <v>94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39</v>
      </c>
      <c r="C868" s="9">
        <v>45870</v>
      </c>
      <c r="D868">
        <v>47</v>
      </c>
      <c r="E868" s="16" t="s">
        <v>138</v>
      </c>
      <c r="F868" s="16" t="s">
        <v>94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39</v>
      </c>
      <c r="C869" s="9">
        <v>45901</v>
      </c>
      <c r="D869">
        <v>47</v>
      </c>
      <c r="E869" s="16" t="s">
        <v>138</v>
      </c>
      <c r="F869" s="16" t="s">
        <v>94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39</v>
      </c>
      <c r="C870" s="9">
        <v>45931</v>
      </c>
      <c r="D870">
        <v>47</v>
      </c>
      <c r="E870" s="16" t="s">
        <v>138</v>
      </c>
      <c r="F870" s="16" t="s">
        <v>94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39</v>
      </c>
      <c r="C871" s="9">
        <v>45962</v>
      </c>
      <c r="D871">
        <v>47</v>
      </c>
      <c r="E871" s="16" t="s">
        <v>138</v>
      </c>
      <c r="F871" s="16" t="s">
        <v>94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39</v>
      </c>
      <c r="C872" s="9">
        <v>45992</v>
      </c>
      <c r="D872">
        <v>47</v>
      </c>
      <c r="E872" s="16" t="s">
        <v>138</v>
      </c>
      <c r="F872" s="16" t="s">
        <v>94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39</v>
      </c>
      <c r="C873" s="9">
        <v>46023</v>
      </c>
      <c r="D873">
        <v>47</v>
      </c>
      <c r="E873" s="16" t="s">
        <v>138</v>
      </c>
      <c r="F873" s="16" t="s">
        <v>94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39</v>
      </c>
      <c r="C874" s="9">
        <v>46054</v>
      </c>
      <c r="D874">
        <v>47</v>
      </c>
      <c r="E874" s="16" t="s">
        <v>138</v>
      </c>
      <c r="F874" s="16" t="s">
        <v>94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39</v>
      </c>
      <c r="C875" s="9">
        <v>46082</v>
      </c>
      <c r="D875">
        <v>47</v>
      </c>
      <c r="E875" s="16" t="s">
        <v>138</v>
      </c>
      <c r="F875" s="16" t="s">
        <v>94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39</v>
      </c>
      <c r="C876" s="9">
        <v>46113</v>
      </c>
      <c r="D876">
        <v>47</v>
      </c>
      <c r="E876" s="16" t="s">
        <v>138</v>
      </c>
      <c r="F876" s="16" t="s">
        <v>94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39</v>
      </c>
      <c r="C877" s="9">
        <v>46143</v>
      </c>
      <c r="D877">
        <v>47</v>
      </c>
      <c r="E877" s="16" t="s">
        <v>138</v>
      </c>
      <c r="F877" s="16" t="s">
        <v>94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39</v>
      </c>
      <c r="C878" s="9">
        <v>46174</v>
      </c>
      <c r="D878">
        <v>47</v>
      </c>
      <c r="E878" s="16" t="s">
        <v>138</v>
      </c>
      <c r="F878" s="16" t="s">
        <v>94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39</v>
      </c>
      <c r="C879" s="9">
        <v>46204</v>
      </c>
      <c r="D879">
        <v>47</v>
      </c>
      <c r="E879" s="16" t="s">
        <v>138</v>
      </c>
      <c r="F879" s="16" t="s">
        <v>94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39</v>
      </c>
      <c r="C880" s="9">
        <v>46235</v>
      </c>
      <c r="D880">
        <v>47</v>
      </c>
      <c r="E880" s="16" t="s">
        <v>138</v>
      </c>
      <c r="F880" s="16" t="s">
        <v>94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39</v>
      </c>
      <c r="C881" s="9">
        <v>46266</v>
      </c>
      <c r="D881">
        <v>47</v>
      </c>
      <c r="E881" s="16" t="s">
        <v>138</v>
      </c>
      <c r="F881" s="16" t="s">
        <v>94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39</v>
      </c>
      <c r="C882" s="9">
        <v>45689</v>
      </c>
      <c r="D882">
        <v>48</v>
      </c>
      <c r="E882" s="16" t="s">
        <v>139</v>
      </c>
      <c r="F882" s="16" t="s">
        <v>140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39</v>
      </c>
      <c r="C883" s="9">
        <v>45717</v>
      </c>
      <c r="D883">
        <v>48</v>
      </c>
      <c r="E883" s="16" t="s">
        <v>139</v>
      </c>
      <c r="F883" s="16" t="s">
        <v>140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39</v>
      </c>
      <c r="C884" s="9">
        <v>45748</v>
      </c>
      <c r="D884">
        <v>48</v>
      </c>
      <c r="E884" s="16" t="s">
        <v>139</v>
      </c>
      <c r="F884" s="16" t="s">
        <v>140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39</v>
      </c>
      <c r="C885" s="9">
        <v>45778</v>
      </c>
      <c r="D885">
        <v>48</v>
      </c>
      <c r="E885" s="16" t="s">
        <v>139</v>
      </c>
      <c r="F885" s="16" t="s">
        <v>140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39</v>
      </c>
      <c r="C886" s="9">
        <v>45809</v>
      </c>
      <c r="D886">
        <v>48</v>
      </c>
      <c r="E886" s="16" t="s">
        <v>139</v>
      </c>
      <c r="F886" s="16" t="s">
        <v>140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39</v>
      </c>
      <c r="C887" s="9">
        <v>45839</v>
      </c>
      <c r="D887">
        <v>48</v>
      </c>
      <c r="E887" s="16" t="s">
        <v>139</v>
      </c>
      <c r="F887" s="16" t="s">
        <v>140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39</v>
      </c>
      <c r="C888" s="9">
        <v>45870</v>
      </c>
      <c r="D888">
        <v>48</v>
      </c>
      <c r="E888" s="16" t="s">
        <v>139</v>
      </c>
      <c r="F888" s="16" t="s">
        <v>140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39</v>
      </c>
      <c r="C889" s="9">
        <v>45901</v>
      </c>
      <c r="D889">
        <v>48</v>
      </c>
      <c r="E889" s="16" t="s">
        <v>139</v>
      </c>
      <c r="F889" s="16" t="s">
        <v>140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39</v>
      </c>
      <c r="C890" s="9">
        <v>45931</v>
      </c>
      <c r="D890">
        <v>48</v>
      </c>
      <c r="E890" s="16" t="s">
        <v>139</v>
      </c>
      <c r="F890" s="16" t="s">
        <v>140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39</v>
      </c>
      <c r="C891" s="9">
        <v>45962</v>
      </c>
      <c r="D891">
        <v>48</v>
      </c>
      <c r="E891" s="16" t="s">
        <v>139</v>
      </c>
      <c r="F891" s="16" t="s">
        <v>140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39</v>
      </c>
      <c r="C892" s="9">
        <v>45992</v>
      </c>
      <c r="D892">
        <v>48</v>
      </c>
      <c r="E892" s="16" t="s">
        <v>139</v>
      </c>
      <c r="F892" s="16" t="s">
        <v>140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39</v>
      </c>
      <c r="C893" s="9">
        <v>46023</v>
      </c>
      <c r="D893">
        <v>48</v>
      </c>
      <c r="E893" s="16" t="s">
        <v>139</v>
      </c>
      <c r="F893" s="16" t="s">
        <v>140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39</v>
      </c>
      <c r="C894" s="9">
        <v>46054</v>
      </c>
      <c r="D894">
        <v>48</v>
      </c>
      <c r="E894" s="16" t="s">
        <v>139</v>
      </c>
      <c r="F894" s="16" t="s">
        <v>140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39</v>
      </c>
      <c r="C895" s="9">
        <v>46082</v>
      </c>
      <c r="D895">
        <v>48</v>
      </c>
      <c r="E895" s="16" t="s">
        <v>139</v>
      </c>
      <c r="F895" s="16" t="s">
        <v>140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39</v>
      </c>
      <c r="C896" s="9">
        <v>46113</v>
      </c>
      <c r="D896">
        <v>48</v>
      </c>
      <c r="E896" s="16" t="s">
        <v>139</v>
      </c>
      <c r="F896" s="16" t="s">
        <v>140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39</v>
      </c>
      <c r="C897" s="9">
        <v>46143</v>
      </c>
      <c r="D897">
        <v>48</v>
      </c>
      <c r="E897" s="16" t="s">
        <v>139</v>
      </c>
      <c r="F897" s="16" t="s">
        <v>140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39</v>
      </c>
      <c r="C898" s="9">
        <v>46174</v>
      </c>
      <c r="D898">
        <v>48</v>
      </c>
      <c r="E898" s="16" t="s">
        <v>139</v>
      </c>
      <c r="F898" s="16" t="s">
        <v>140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39</v>
      </c>
      <c r="C899" s="9">
        <v>46204</v>
      </c>
      <c r="D899">
        <v>48</v>
      </c>
      <c r="E899" s="16" t="s">
        <v>139</v>
      </c>
      <c r="F899" s="16" t="s">
        <v>140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39</v>
      </c>
      <c r="C900" s="9">
        <v>46235</v>
      </c>
      <c r="D900">
        <v>48</v>
      </c>
      <c r="E900" s="16" t="s">
        <v>139</v>
      </c>
      <c r="F900" s="16" t="s">
        <v>140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39</v>
      </c>
      <c r="C901" s="9">
        <v>46266</v>
      </c>
      <c r="D901">
        <v>48</v>
      </c>
      <c r="E901" s="16" t="s">
        <v>139</v>
      </c>
      <c r="F901" s="16" t="s">
        <v>140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39</v>
      </c>
      <c r="C902" s="9">
        <v>45689</v>
      </c>
      <c r="D902">
        <v>49</v>
      </c>
      <c r="E902" s="16" t="s">
        <v>141</v>
      </c>
      <c r="F902" s="16" t="s">
        <v>140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39</v>
      </c>
      <c r="C903" s="9">
        <v>45717</v>
      </c>
      <c r="D903">
        <v>49</v>
      </c>
      <c r="E903" s="16" t="s">
        <v>141</v>
      </c>
      <c r="F903" s="16" t="s">
        <v>140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39</v>
      </c>
      <c r="C904" s="9">
        <v>45748</v>
      </c>
      <c r="D904">
        <v>49</v>
      </c>
      <c r="E904" s="16" t="s">
        <v>141</v>
      </c>
      <c r="F904" s="16" t="s">
        <v>140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39</v>
      </c>
      <c r="C905" s="9">
        <v>45778</v>
      </c>
      <c r="D905">
        <v>49</v>
      </c>
      <c r="E905" s="16" t="s">
        <v>141</v>
      </c>
      <c r="F905" s="16" t="s">
        <v>140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39</v>
      </c>
      <c r="C906" s="9">
        <v>45809</v>
      </c>
      <c r="D906">
        <v>49</v>
      </c>
      <c r="E906" s="16" t="s">
        <v>141</v>
      </c>
      <c r="F906" s="16" t="s">
        <v>140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39</v>
      </c>
      <c r="C907" s="9">
        <v>45839</v>
      </c>
      <c r="D907">
        <v>49</v>
      </c>
      <c r="E907" s="16" t="s">
        <v>141</v>
      </c>
      <c r="F907" s="16" t="s">
        <v>140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39</v>
      </c>
      <c r="C908" s="9">
        <v>45870</v>
      </c>
      <c r="D908">
        <v>49</v>
      </c>
      <c r="E908" s="16" t="s">
        <v>141</v>
      </c>
      <c r="F908" s="16" t="s">
        <v>140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39</v>
      </c>
      <c r="C909" s="9">
        <v>45901</v>
      </c>
      <c r="D909">
        <v>49</v>
      </c>
      <c r="E909" s="16" t="s">
        <v>141</v>
      </c>
      <c r="F909" s="16" t="s">
        <v>140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39</v>
      </c>
      <c r="C910" s="9">
        <v>45931</v>
      </c>
      <c r="D910">
        <v>49</v>
      </c>
      <c r="E910" s="16" t="s">
        <v>141</v>
      </c>
      <c r="F910" s="16" t="s">
        <v>140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39</v>
      </c>
      <c r="C911" s="9">
        <v>45962</v>
      </c>
      <c r="D911">
        <v>49</v>
      </c>
      <c r="E911" s="16" t="s">
        <v>141</v>
      </c>
      <c r="F911" s="16" t="s">
        <v>140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39</v>
      </c>
      <c r="C912" s="9">
        <v>45992</v>
      </c>
      <c r="D912">
        <v>49</v>
      </c>
      <c r="E912" s="16" t="s">
        <v>141</v>
      </c>
      <c r="F912" s="16" t="s">
        <v>140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39</v>
      </c>
      <c r="C913" s="9">
        <v>46023</v>
      </c>
      <c r="D913">
        <v>49</v>
      </c>
      <c r="E913" s="16" t="s">
        <v>141</v>
      </c>
      <c r="F913" s="16" t="s">
        <v>140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39</v>
      </c>
      <c r="C914" s="9">
        <v>46054</v>
      </c>
      <c r="D914">
        <v>49</v>
      </c>
      <c r="E914" s="16" t="s">
        <v>141</v>
      </c>
      <c r="F914" s="16" t="s">
        <v>140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39</v>
      </c>
      <c r="C915" s="9">
        <v>46082</v>
      </c>
      <c r="D915">
        <v>49</v>
      </c>
      <c r="E915" s="16" t="s">
        <v>141</v>
      </c>
      <c r="F915" s="16" t="s">
        <v>140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39</v>
      </c>
      <c r="C916" s="9">
        <v>46113</v>
      </c>
      <c r="D916">
        <v>49</v>
      </c>
      <c r="E916" s="16" t="s">
        <v>141</v>
      </c>
      <c r="F916" s="16" t="s">
        <v>140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39</v>
      </c>
      <c r="C917" s="9">
        <v>46143</v>
      </c>
      <c r="D917">
        <v>49</v>
      </c>
      <c r="E917" s="16" t="s">
        <v>141</v>
      </c>
      <c r="F917" s="16" t="s">
        <v>140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39</v>
      </c>
      <c r="C918" s="9">
        <v>46174</v>
      </c>
      <c r="D918">
        <v>49</v>
      </c>
      <c r="E918" s="16" t="s">
        <v>141</v>
      </c>
      <c r="F918" s="16" t="s">
        <v>140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39</v>
      </c>
      <c r="C919" s="9">
        <v>46204</v>
      </c>
      <c r="D919">
        <v>49</v>
      </c>
      <c r="E919" s="16" t="s">
        <v>141</v>
      </c>
      <c r="F919" s="16" t="s">
        <v>140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39</v>
      </c>
      <c r="C920" s="9">
        <v>46235</v>
      </c>
      <c r="D920">
        <v>49</v>
      </c>
      <c r="E920" s="16" t="s">
        <v>141</v>
      </c>
      <c r="F920" s="16" t="s">
        <v>140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39</v>
      </c>
      <c r="C921" s="9">
        <v>46266</v>
      </c>
      <c r="D921">
        <v>49</v>
      </c>
      <c r="E921" s="16" t="s">
        <v>141</v>
      </c>
      <c r="F921" s="16" t="s">
        <v>140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39</v>
      </c>
      <c r="C922" s="9">
        <v>45689</v>
      </c>
      <c r="D922">
        <v>50</v>
      </c>
      <c r="E922" s="16" t="s">
        <v>142</v>
      </c>
      <c r="F922" s="16" t="s">
        <v>140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39</v>
      </c>
      <c r="C923" s="9">
        <v>45717</v>
      </c>
      <c r="D923">
        <v>50</v>
      </c>
      <c r="E923" s="16" t="s">
        <v>142</v>
      </c>
      <c r="F923" s="16" t="s">
        <v>140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39</v>
      </c>
      <c r="C924" s="9">
        <v>45748</v>
      </c>
      <c r="D924">
        <v>50</v>
      </c>
      <c r="E924" s="16" t="s">
        <v>142</v>
      </c>
      <c r="F924" s="16" t="s">
        <v>140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39</v>
      </c>
      <c r="C925" s="9">
        <v>45778</v>
      </c>
      <c r="D925">
        <v>50</v>
      </c>
      <c r="E925" s="16" t="s">
        <v>142</v>
      </c>
      <c r="F925" s="16" t="s">
        <v>140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39</v>
      </c>
      <c r="C926" s="9">
        <v>45809</v>
      </c>
      <c r="D926">
        <v>50</v>
      </c>
      <c r="E926" s="16" t="s">
        <v>142</v>
      </c>
      <c r="F926" s="16" t="s">
        <v>140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39</v>
      </c>
      <c r="C927" s="9">
        <v>45839</v>
      </c>
      <c r="D927">
        <v>50</v>
      </c>
      <c r="E927" s="16" t="s">
        <v>142</v>
      </c>
      <c r="F927" s="16" t="s">
        <v>140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39</v>
      </c>
      <c r="C928" s="9">
        <v>45870</v>
      </c>
      <c r="D928">
        <v>50</v>
      </c>
      <c r="E928" s="16" t="s">
        <v>142</v>
      </c>
      <c r="F928" s="16" t="s">
        <v>140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39</v>
      </c>
      <c r="C929" s="9">
        <v>45901</v>
      </c>
      <c r="D929">
        <v>50</v>
      </c>
      <c r="E929" s="16" t="s">
        <v>142</v>
      </c>
      <c r="F929" s="16" t="s">
        <v>140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39</v>
      </c>
      <c r="C930" s="9">
        <v>45931</v>
      </c>
      <c r="D930">
        <v>50</v>
      </c>
      <c r="E930" s="16" t="s">
        <v>142</v>
      </c>
      <c r="F930" s="16" t="s">
        <v>140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39</v>
      </c>
      <c r="C931" s="9">
        <v>45962</v>
      </c>
      <c r="D931">
        <v>50</v>
      </c>
      <c r="E931" s="16" t="s">
        <v>142</v>
      </c>
      <c r="F931" s="16" t="s">
        <v>140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39</v>
      </c>
      <c r="C932" s="9">
        <v>45992</v>
      </c>
      <c r="D932">
        <v>50</v>
      </c>
      <c r="E932" s="16" t="s">
        <v>142</v>
      </c>
      <c r="F932" s="16" t="s">
        <v>140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39</v>
      </c>
      <c r="C933" s="9">
        <v>46023</v>
      </c>
      <c r="D933">
        <v>50</v>
      </c>
      <c r="E933" s="16" t="s">
        <v>142</v>
      </c>
      <c r="F933" s="16" t="s">
        <v>140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39</v>
      </c>
      <c r="C934" s="9">
        <v>46054</v>
      </c>
      <c r="D934">
        <v>50</v>
      </c>
      <c r="E934" s="16" t="s">
        <v>142</v>
      </c>
      <c r="F934" s="16" t="s">
        <v>140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39</v>
      </c>
      <c r="C935" s="9">
        <v>46082</v>
      </c>
      <c r="D935">
        <v>50</v>
      </c>
      <c r="E935" s="16" t="s">
        <v>142</v>
      </c>
      <c r="F935" s="16" t="s">
        <v>140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39</v>
      </c>
      <c r="C936" s="9">
        <v>46113</v>
      </c>
      <c r="D936">
        <v>50</v>
      </c>
      <c r="E936" s="16" t="s">
        <v>142</v>
      </c>
      <c r="F936" s="16" t="s">
        <v>140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39</v>
      </c>
      <c r="C937" s="9">
        <v>46143</v>
      </c>
      <c r="D937">
        <v>50</v>
      </c>
      <c r="E937" s="16" t="s">
        <v>142</v>
      </c>
      <c r="F937" s="16" t="s">
        <v>140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39</v>
      </c>
      <c r="C938" s="9">
        <v>46174</v>
      </c>
      <c r="D938">
        <v>50</v>
      </c>
      <c r="E938" s="16" t="s">
        <v>142</v>
      </c>
      <c r="F938" s="16" t="s">
        <v>140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39</v>
      </c>
      <c r="C939" s="9">
        <v>46204</v>
      </c>
      <c r="D939">
        <v>50</v>
      </c>
      <c r="E939" s="16" t="s">
        <v>142</v>
      </c>
      <c r="F939" s="16" t="s">
        <v>140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39</v>
      </c>
      <c r="C940" s="9">
        <v>46235</v>
      </c>
      <c r="D940">
        <v>50</v>
      </c>
      <c r="E940" s="16" t="s">
        <v>142</v>
      </c>
      <c r="F940" s="16" t="s">
        <v>140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39</v>
      </c>
      <c r="C941" s="9">
        <v>46266</v>
      </c>
      <c r="D941">
        <v>50</v>
      </c>
      <c r="E941" s="16" t="s">
        <v>142</v>
      </c>
      <c r="F941" s="16" t="s">
        <v>140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39</v>
      </c>
      <c r="C942" s="9">
        <v>45689</v>
      </c>
      <c r="D942">
        <v>51</v>
      </c>
      <c r="E942" s="16" t="s">
        <v>143</v>
      </c>
      <c r="F942" s="16" t="s">
        <v>83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39</v>
      </c>
      <c r="C943" s="9">
        <v>45717</v>
      </c>
      <c r="D943">
        <v>51</v>
      </c>
      <c r="E943" s="16" t="s">
        <v>143</v>
      </c>
      <c r="F943" s="16" t="s">
        <v>83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39</v>
      </c>
      <c r="C944" s="9">
        <v>45748</v>
      </c>
      <c r="D944">
        <v>51</v>
      </c>
      <c r="E944" s="16" t="s">
        <v>143</v>
      </c>
      <c r="F944" s="16" t="s">
        <v>83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39</v>
      </c>
      <c r="C945" s="9">
        <v>45778</v>
      </c>
      <c r="D945">
        <v>51</v>
      </c>
      <c r="E945" s="16" t="s">
        <v>143</v>
      </c>
      <c r="F945" s="16" t="s">
        <v>83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39</v>
      </c>
      <c r="C946" s="9">
        <v>45809</v>
      </c>
      <c r="D946">
        <v>51</v>
      </c>
      <c r="E946" s="16" t="s">
        <v>143</v>
      </c>
      <c r="F946" s="16" t="s">
        <v>83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39</v>
      </c>
      <c r="C947" s="9">
        <v>45839</v>
      </c>
      <c r="D947">
        <v>51</v>
      </c>
      <c r="E947" s="16" t="s">
        <v>143</v>
      </c>
      <c r="F947" s="16" t="s">
        <v>83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39</v>
      </c>
      <c r="C948" s="9">
        <v>45870</v>
      </c>
      <c r="D948">
        <v>51</v>
      </c>
      <c r="E948" s="16" t="s">
        <v>143</v>
      </c>
      <c r="F948" s="16" t="s">
        <v>83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39</v>
      </c>
      <c r="C949" s="9">
        <v>45901</v>
      </c>
      <c r="D949">
        <v>51</v>
      </c>
      <c r="E949" s="16" t="s">
        <v>143</v>
      </c>
      <c r="F949" s="16" t="s">
        <v>83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39</v>
      </c>
      <c r="C950" s="9">
        <v>45931</v>
      </c>
      <c r="D950">
        <v>51</v>
      </c>
      <c r="E950" s="16" t="s">
        <v>143</v>
      </c>
      <c r="F950" s="16" t="s">
        <v>83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39</v>
      </c>
      <c r="C951" s="9">
        <v>45962</v>
      </c>
      <c r="D951">
        <v>51</v>
      </c>
      <c r="E951" s="16" t="s">
        <v>143</v>
      </c>
      <c r="F951" s="16" t="s">
        <v>83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39</v>
      </c>
      <c r="C952" s="9">
        <v>45992</v>
      </c>
      <c r="D952">
        <v>51</v>
      </c>
      <c r="E952" s="16" t="s">
        <v>143</v>
      </c>
      <c r="F952" s="16" t="s">
        <v>83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39</v>
      </c>
      <c r="C953" s="9">
        <v>46023</v>
      </c>
      <c r="D953">
        <v>51</v>
      </c>
      <c r="E953" s="16" t="s">
        <v>143</v>
      </c>
      <c r="F953" s="16" t="s">
        <v>83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39</v>
      </c>
      <c r="C954" s="9">
        <v>46054</v>
      </c>
      <c r="D954">
        <v>51</v>
      </c>
      <c r="E954" s="16" t="s">
        <v>143</v>
      </c>
      <c r="F954" s="16" t="s">
        <v>83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39</v>
      </c>
      <c r="C955" s="9">
        <v>46082</v>
      </c>
      <c r="D955">
        <v>51</v>
      </c>
      <c r="E955" s="16" t="s">
        <v>143</v>
      </c>
      <c r="F955" s="16" t="s">
        <v>83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39</v>
      </c>
      <c r="C956" s="9">
        <v>46113</v>
      </c>
      <c r="D956">
        <v>51</v>
      </c>
      <c r="E956" s="16" t="s">
        <v>143</v>
      </c>
      <c r="F956" s="16" t="s">
        <v>83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39</v>
      </c>
      <c r="C957" s="9">
        <v>46143</v>
      </c>
      <c r="D957">
        <v>51</v>
      </c>
      <c r="E957" s="16" t="s">
        <v>143</v>
      </c>
      <c r="F957" s="16" t="s">
        <v>83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39</v>
      </c>
      <c r="C958" s="9">
        <v>46174</v>
      </c>
      <c r="D958">
        <v>51</v>
      </c>
      <c r="E958" s="16" t="s">
        <v>143</v>
      </c>
      <c r="F958" s="16" t="s">
        <v>83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39</v>
      </c>
      <c r="C959" s="9">
        <v>46204</v>
      </c>
      <c r="D959">
        <v>51</v>
      </c>
      <c r="E959" s="16" t="s">
        <v>143</v>
      </c>
      <c r="F959" s="16" t="s">
        <v>83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39</v>
      </c>
      <c r="C960" s="9">
        <v>46235</v>
      </c>
      <c r="D960">
        <v>51</v>
      </c>
      <c r="E960" s="16" t="s">
        <v>143</v>
      </c>
      <c r="F960" s="16" t="s">
        <v>83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39</v>
      </c>
      <c r="C961" s="9">
        <v>46266</v>
      </c>
      <c r="D961">
        <v>51</v>
      </c>
      <c r="E961" s="16" t="s">
        <v>143</v>
      </c>
      <c r="F961" s="16" t="s">
        <v>83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39</v>
      </c>
      <c r="C962" s="9">
        <v>45689</v>
      </c>
      <c r="D962">
        <v>52</v>
      </c>
      <c r="E962" s="16" t="s">
        <v>144</v>
      </c>
      <c r="F962" s="16" t="s">
        <v>110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39</v>
      </c>
      <c r="C963" s="9">
        <v>45748</v>
      </c>
      <c r="D963">
        <v>52</v>
      </c>
      <c r="E963" s="16" t="s">
        <v>144</v>
      </c>
      <c r="F963" s="16" t="s">
        <v>110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39</v>
      </c>
      <c r="C964" s="9">
        <v>45809</v>
      </c>
      <c r="D964">
        <v>52</v>
      </c>
      <c r="E964" s="16" t="s">
        <v>144</v>
      </c>
      <c r="F964" s="16" t="s">
        <v>110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39</v>
      </c>
      <c r="C965" s="9">
        <v>45839</v>
      </c>
      <c r="D965">
        <v>52</v>
      </c>
      <c r="E965" s="16" t="s">
        <v>144</v>
      </c>
      <c r="F965" s="16" t="s">
        <v>110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39</v>
      </c>
      <c r="C966" s="9">
        <v>45901</v>
      </c>
      <c r="D966">
        <v>52</v>
      </c>
      <c r="E966" s="16" t="s">
        <v>144</v>
      </c>
      <c r="F966" s="16" t="s">
        <v>110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39</v>
      </c>
      <c r="C967" s="9">
        <v>45931</v>
      </c>
      <c r="D967">
        <v>52</v>
      </c>
      <c r="E967" s="16" t="s">
        <v>144</v>
      </c>
      <c r="F967" s="16" t="s">
        <v>110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39</v>
      </c>
      <c r="C968" s="9">
        <v>45962</v>
      </c>
      <c r="D968">
        <v>52</v>
      </c>
      <c r="E968" s="16" t="s">
        <v>144</v>
      </c>
      <c r="F968" s="16" t="s">
        <v>110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39</v>
      </c>
      <c r="C969" s="9">
        <v>46023</v>
      </c>
      <c r="D969">
        <v>52</v>
      </c>
      <c r="E969" s="16" t="s">
        <v>144</v>
      </c>
      <c r="F969" s="16" t="s">
        <v>110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39</v>
      </c>
      <c r="C970" s="9">
        <v>46054</v>
      </c>
      <c r="D970">
        <v>52</v>
      </c>
      <c r="E970" s="16" t="s">
        <v>144</v>
      </c>
      <c r="F970" s="16" t="s">
        <v>110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39</v>
      </c>
      <c r="C971" s="9">
        <v>46082</v>
      </c>
      <c r="D971">
        <v>52</v>
      </c>
      <c r="E971" s="16" t="s">
        <v>144</v>
      </c>
      <c r="F971" s="16" t="s">
        <v>110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39</v>
      </c>
      <c r="C972" s="9">
        <v>46113</v>
      </c>
      <c r="D972">
        <v>52</v>
      </c>
      <c r="E972" s="16" t="s">
        <v>144</v>
      </c>
      <c r="F972" s="16" t="s">
        <v>110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39</v>
      </c>
      <c r="C973" s="9">
        <v>46174</v>
      </c>
      <c r="D973">
        <v>52</v>
      </c>
      <c r="E973" s="16" t="s">
        <v>144</v>
      </c>
      <c r="F973" s="16" t="s">
        <v>110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39</v>
      </c>
      <c r="C974" s="9">
        <v>46204</v>
      </c>
      <c r="D974">
        <v>52</v>
      </c>
      <c r="E974" s="16" t="s">
        <v>144</v>
      </c>
      <c r="F974" s="16" t="s">
        <v>110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39</v>
      </c>
      <c r="C975" s="9">
        <v>46266</v>
      </c>
      <c r="D975">
        <v>52</v>
      </c>
      <c r="E975" s="16" t="s">
        <v>144</v>
      </c>
      <c r="F975" s="16" t="s">
        <v>110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39</v>
      </c>
      <c r="C976" s="9">
        <v>45689</v>
      </c>
      <c r="D976">
        <v>53</v>
      </c>
      <c r="E976" s="16" t="s">
        <v>145</v>
      </c>
      <c r="F976" s="16" t="s">
        <v>105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39</v>
      </c>
      <c r="C977" s="9">
        <v>45717</v>
      </c>
      <c r="D977">
        <v>53</v>
      </c>
      <c r="E977" s="16" t="s">
        <v>145</v>
      </c>
      <c r="F977" s="16" t="s">
        <v>105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39</v>
      </c>
      <c r="C978" s="9">
        <v>45748</v>
      </c>
      <c r="D978">
        <v>53</v>
      </c>
      <c r="E978" s="16" t="s">
        <v>145</v>
      </c>
      <c r="F978" s="16" t="s">
        <v>105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39</v>
      </c>
      <c r="C979" s="9">
        <v>45778</v>
      </c>
      <c r="D979">
        <v>53</v>
      </c>
      <c r="E979" s="16" t="s">
        <v>145</v>
      </c>
      <c r="F979" s="16" t="s">
        <v>105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39</v>
      </c>
      <c r="C980" s="9">
        <v>45809</v>
      </c>
      <c r="D980">
        <v>53</v>
      </c>
      <c r="E980" s="16" t="s">
        <v>145</v>
      </c>
      <c r="F980" s="16" t="s">
        <v>105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39</v>
      </c>
      <c r="C981" s="9">
        <v>45839</v>
      </c>
      <c r="D981">
        <v>53</v>
      </c>
      <c r="E981" s="16" t="s">
        <v>145</v>
      </c>
      <c r="F981" s="16" t="s">
        <v>105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39</v>
      </c>
      <c r="C982" s="9">
        <v>45870</v>
      </c>
      <c r="D982">
        <v>53</v>
      </c>
      <c r="E982" s="16" t="s">
        <v>145</v>
      </c>
      <c r="F982" s="16" t="s">
        <v>105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39</v>
      </c>
      <c r="C983" s="9">
        <v>45901</v>
      </c>
      <c r="D983">
        <v>53</v>
      </c>
      <c r="E983" s="16" t="s">
        <v>145</v>
      </c>
      <c r="F983" s="16" t="s">
        <v>105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39</v>
      </c>
      <c r="C984" s="9">
        <v>45931</v>
      </c>
      <c r="D984">
        <v>53</v>
      </c>
      <c r="E984" s="16" t="s">
        <v>145</v>
      </c>
      <c r="F984" s="16" t="s">
        <v>105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39</v>
      </c>
      <c r="C985" s="9">
        <v>45962</v>
      </c>
      <c r="D985">
        <v>53</v>
      </c>
      <c r="E985" s="16" t="s">
        <v>145</v>
      </c>
      <c r="F985" s="16" t="s">
        <v>105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39</v>
      </c>
      <c r="C986" s="9">
        <v>45992</v>
      </c>
      <c r="D986">
        <v>53</v>
      </c>
      <c r="E986" s="16" t="s">
        <v>145</v>
      </c>
      <c r="F986" s="16" t="s">
        <v>105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39</v>
      </c>
      <c r="C987" s="9">
        <v>46023</v>
      </c>
      <c r="D987">
        <v>53</v>
      </c>
      <c r="E987" s="16" t="s">
        <v>145</v>
      </c>
      <c r="F987" s="16" t="s">
        <v>105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39</v>
      </c>
      <c r="C988" s="9">
        <v>46054</v>
      </c>
      <c r="D988">
        <v>53</v>
      </c>
      <c r="E988" s="16" t="s">
        <v>145</v>
      </c>
      <c r="F988" s="16" t="s">
        <v>105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39</v>
      </c>
      <c r="C989" s="9">
        <v>46082</v>
      </c>
      <c r="D989">
        <v>53</v>
      </c>
      <c r="E989" s="16" t="s">
        <v>145</v>
      </c>
      <c r="F989" s="16" t="s">
        <v>105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39</v>
      </c>
      <c r="C990" s="9">
        <v>46113</v>
      </c>
      <c r="D990">
        <v>53</v>
      </c>
      <c r="E990" s="16" t="s">
        <v>145</v>
      </c>
      <c r="F990" s="16" t="s">
        <v>105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39</v>
      </c>
      <c r="C991" s="9">
        <v>46143</v>
      </c>
      <c r="D991">
        <v>53</v>
      </c>
      <c r="E991" s="16" t="s">
        <v>145</v>
      </c>
      <c r="F991" s="16" t="s">
        <v>105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39</v>
      </c>
      <c r="C992" s="9">
        <v>46174</v>
      </c>
      <c r="D992">
        <v>53</v>
      </c>
      <c r="E992" s="16" t="s">
        <v>145</v>
      </c>
      <c r="F992" s="16" t="s">
        <v>105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39</v>
      </c>
      <c r="C993" s="9">
        <v>46204</v>
      </c>
      <c r="D993">
        <v>53</v>
      </c>
      <c r="E993" s="16" t="s">
        <v>145</v>
      </c>
      <c r="F993" s="16" t="s">
        <v>105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39</v>
      </c>
      <c r="C994" s="9">
        <v>46235</v>
      </c>
      <c r="D994">
        <v>53</v>
      </c>
      <c r="E994" s="16" t="s">
        <v>145</v>
      </c>
      <c r="F994" s="16" t="s">
        <v>105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39</v>
      </c>
      <c r="C995" s="9">
        <v>46266</v>
      </c>
      <c r="D995">
        <v>53</v>
      </c>
      <c r="E995" s="16" t="s">
        <v>145</v>
      </c>
      <c r="F995" s="16" t="s">
        <v>105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39</v>
      </c>
      <c r="C996" s="9">
        <v>45689</v>
      </c>
      <c r="D996">
        <v>54</v>
      </c>
      <c r="E996" s="16" t="s">
        <v>146</v>
      </c>
      <c r="F996" s="16" t="s">
        <v>105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39</v>
      </c>
      <c r="C997" s="9">
        <v>45717</v>
      </c>
      <c r="D997">
        <v>54</v>
      </c>
      <c r="E997" s="16" t="s">
        <v>146</v>
      </c>
      <c r="F997" s="16" t="s">
        <v>105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39</v>
      </c>
      <c r="C998" s="9">
        <v>45748</v>
      </c>
      <c r="D998">
        <v>54</v>
      </c>
      <c r="E998" s="16" t="s">
        <v>146</v>
      </c>
      <c r="F998" s="16" t="s">
        <v>105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39</v>
      </c>
      <c r="C999" s="9">
        <v>45778</v>
      </c>
      <c r="D999">
        <v>54</v>
      </c>
      <c r="E999" s="16" t="s">
        <v>146</v>
      </c>
      <c r="F999" s="16" t="s">
        <v>105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39</v>
      </c>
      <c r="C1000" s="9">
        <v>45809</v>
      </c>
      <c r="D1000">
        <v>54</v>
      </c>
      <c r="E1000" s="16" t="s">
        <v>146</v>
      </c>
      <c r="F1000" s="16" t="s">
        <v>105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39</v>
      </c>
      <c r="C1001" s="9">
        <v>45839</v>
      </c>
      <c r="D1001">
        <v>54</v>
      </c>
      <c r="E1001" s="16" t="s">
        <v>146</v>
      </c>
      <c r="F1001" s="16" t="s">
        <v>105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39</v>
      </c>
      <c r="C1002" s="9">
        <v>45870</v>
      </c>
      <c r="D1002">
        <v>54</v>
      </c>
      <c r="E1002" s="16" t="s">
        <v>146</v>
      </c>
      <c r="F1002" s="16" t="s">
        <v>105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39</v>
      </c>
      <c r="C1003" s="9">
        <v>45901</v>
      </c>
      <c r="D1003">
        <v>54</v>
      </c>
      <c r="E1003" s="16" t="s">
        <v>146</v>
      </c>
      <c r="F1003" s="16" t="s">
        <v>105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39</v>
      </c>
      <c r="C1004" s="9">
        <v>45931</v>
      </c>
      <c r="D1004">
        <v>54</v>
      </c>
      <c r="E1004" s="16" t="s">
        <v>146</v>
      </c>
      <c r="F1004" s="16" t="s">
        <v>105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39</v>
      </c>
      <c r="C1005" s="9">
        <v>45962</v>
      </c>
      <c r="D1005">
        <v>54</v>
      </c>
      <c r="E1005" s="16" t="s">
        <v>146</v>
      </c>
      <c r="F1005" s="16" t="s">
        <v>105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39</v>
      </c>
      <c r="C1006" s="9">
        <v>45992</v>
      </c>
      <c r="D1006">
        <v>54</v>
      </c>
      <c r="E1006" s="16" t="s">
        <v>146</v>
      </c>
      <c r="F1006" s="16" t="s">
        <v>105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39</v>
      </c>
      <c r="C1007" s="9">
        <v>46023</v>
      </c>
      <c r="D1007">
        <v>54</v>
      </c>
      <c r="E1007" s="16" t="s">
        <v>146</v>
      </c>
      <c r="F1007" s="16" t="s">
        <v>105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39</v>
      </c>
      <c r="C1008" s="9">
        <v>46054</v>
      </c>
      <c r="D1008">
        <v>54</v>
      </c>
      <c r="E1008" s="16" t="s">
        <v>146</v>
      </c>
      <c r="F1008" s="16" t="s">
        <v>105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39</v>
      </c>
      <c r="C1009" s="9">
        <v>46082</v>
      </c>
      <c r="D1009">
        <v>54</v>
      </c>
      <c r="E1009" s="16" t="s">
        <v>146</v>
      </c>
      <c r="F1009" s="16" t="s">
        <v>105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39</v>
      </c>
      <c r="C1010" s="9">
        <v>46113</v>
      </c>
      <c r="D1010">
        <v>54</v>
      </c>
      <c r="E1010" s="16" t="s">
        <v>146</v>
      </c>
      <c r="F1010" s="16" t="s">
        <v>105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39</v>
      </c>
      <c r="C1011" s="9">
        <v>46143</v>
      </c>
      <c r="D1011">
        <v>54</v>
      </c>
      <c r="E1011" s="16" t="s">
        <v>146</v>
      </c>
      <c r="F1011" s="16" t="s">
        <v>105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39</v>
      </c>
      <c r="C1012" s="9">
        <v>46174</v>
      </c>
      <c r="D1012">
        <v>54</v>
      </c>
      <c r="E1012" s="16" t="s">
        <v>146</v>
      </c>
      <c r="F1012" s="16" t="s">
        <v>105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39</v>
      </c>
      <c r="C1013" s="9">
        <v>46204</v>
      </c>
      <c r="D1013">
        <v>54</v>
      </c>
      <c r="E1013" s="16" t="s">
        <v>146</v>
      </c>
      <c r="F1013" s="16" t="s">
        <v>105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39</v>
      </c>
      <c r="C1014" s="9">
        <v>46235</v>
      </c>
      <c r="D1014">
        <v>54</v>
      </c>
      <c r="E1014" s="16" t="s">
        <v>146</v>
      </c>
      <c r="F1014" s="16" t="s">
        <v>105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39</v>
      </c>
      <c r="C1015" s="9">
        <v>46266</v>
      </c>
      <c r="D1015">
        <v>54</v>
      </c>
      <c r="E1015" s="16" t="s">
        <v>146</v>
      </c>
      <c r="F1015" s="16" t="s">
        <v>105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39</v>
      </c>
      <c r="C1016" s="9">
        <v>45689</v>
      </c>
      <c r="D1016">
        <v>55</v>
      </c>
      <c r="E1016" s="16" t="s">
        <v>147</v>
      </c>
      <c r="F1016" s="16" t="s">
        <v>85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39</v>
      </c>
      <c r="C1017" s="9">
        <v>45717</v>
      </c>
      <c r="D1017">
        <v>55</v>
      </c>
      <c r="E1017" s="16" t="s">
        <v>147</v>
      </c>
      <c r="F1017" s="16" t="s">
        <v>85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39</v>
      </c>
      <c r="C1018" s="9">
        <v>45748</v>
      </c>
      <c r="D1018">
        <v>55</v>
      </c>
      <c r="E1018" s="16" t="s">
        <v>147</v>
      </c>
      <c r="F1018" s="16" t="s">
        <v>85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39</v>
      </c>
      <c r="C1019" s="9">
        <v>45778</v>
      </c>
      <c r="D1019">
        <v>55</v>
      </c>
      <c r="E1019" s="16" t="s">
        <v>147</v>
      </c>
      <c r="F1019" s="16" t="s">
        <v>85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39</v>
      </c>
      <c r="C1020" s="9">
        <v>45809</v>
      </c>
      <c r="D1020">
        <v>55</v>
      </c>
      <c r="E1020" s="16" t="s">
        <v>147</v>
      </c>
      <c r="F1020" s="16" t="s">
        <v>85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39</v>
      </c>
      <c r="C1021" s="9">
        <v>45839</v>
      </c>
      <c r="D1021">
        <v>55</v>
      </c>
      <c r="E1021" s="16" t="s">
        <v>147</v>
      </c>
      <c r="F1021" s="16" t="s">
        <v>85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39</v>
      </c>
      <c r="C1022" s="9">
        <v>45870</v>
      </c>
      <c r="D1022">
        <v>55</v>
      </c>
      <c r="E1022" s="16" t="s">
        <v>147</v>
      </c>
      <c r="F1022" s="16" t="s">
        <v>85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39</v>
      </c>
      <c r="C1023" s="9">
        <v>45901</v>
      </c>
      <c r="D1023">
        <v>55</v>
      </c>
      <c r="E1023" s="16" t="s">
        <v>147</v>
      </c>
      <c r="F1023" s="16" t="s">
        <v>85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39</v>
      </c>
      <c r="C1024" s="9">
        <v>45931</v>
      </c>
      <c r="D1024">
        <v>55</v>
      </c>
      <c r="E1024" s="16" t="s">
        <v>147</v>
      </c>
      <c r="F1024" s="16" t="s">
        <v>85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39</v>
      </c>
      <c r="C1025" s="9">
        <v>45962</v>
      </c>
      <c r="D1025">
        <v>55</v>
      </c>
      <c r="E1025" s="16" t="s">
        <v>147</v>
      </c>
      <c r="F1025" s="16" t="s">
        <v>85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39</v>
      </c>
      <c r="C1026" s="9">
        <v>45992</v>
      </c>
      <c r="D1026">
        <v>55</v>
      </c>
      <c r="E1026" s="16" t="s">
        <v>147</v>
      </c>
      <c r="F1026" s="16" t="s">
        <v>85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39</v>
      </c>
      <c r="C1027" s="9">
        <v>46023</v>
      </c>
      <c r="D1027">
        <v>55</v>
      </c>
      <c r="E1027" s="16" t="s">
        <v>147</v>
      </c>
      <c r="F1027" s="16" t="s">
        <v>85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39</v>
      </c>
      <c r="C1028" s="9">
        <v>46054</v>
      </c>
      <c r="D1028">
        <v>55</v>
      </c>
      <c r="E1028" s="16" t="s">
        <v>147</v>
      </c>
      <c r="F1028" s="16" t="s">
        <v>85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39</v>
      </c>
      <c r="C1029" s="9">
        <v>46082</v>
      </c>
      <c r="D1029">
        <v>55</v>
      </c>
      <c r="E1029" s="16" t="s">
        <v>147</v>
      </c>
      <c r="F1029" s="16" t="s">
        <v>85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39</v>
      </c>
      <c r="C1030" s="9">
        <v>46113</v>
      </c>
      <c r="D1030">
        <v>55</v>
      </c>
      <c r="E1030" s="16" t="s">
        <v>147</v>
      </c>
      <c r="F1030" s="16" t="s">
        <v>85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39</v>
      </c>
      <c r="C1031" s="9">
        <v>46143</v>
      </c>
      <c r="D1031">
        <v>55</v>
      </c>
      <c r="E1031" s="16" t="s">
        <v>147</v>
      </c>
      <c r="F1031" s="16" t="s">
        <v>85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39</v>
      </c>
      <c r="C1032" s="9">
        <v>46174</v>
      </c>
      <c r="D1032">
        <v>55</v>
      </c>
      <c r="E1032" s="16" t="s">
        <v>147</v>
      </c>
      <c r="F1032" s="16" t="s">
        <v>85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39</v>
      </c>
      <c r="C1033" s="9">
        <v>46204</v>
      </c>
      <c r="D1033">
        <v>55</v>
      </c>
      <c r="E1033" s="16" t="s">
        <v>147</v>
      </c>
      <c r="F1033" s="16" t="s">
        <v>85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39</v>
      </c>
      <c r="C1034" s="9">
        <v>46235</v>
      </c>
      <c r="D1034">
        <v>55</v>
      </c>
      <c r="E1034" s="16" t="s">
        <v>147</v>
      </c>
      <c r="F1034" s="16" t="s">
        <v>85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39</v>
      </c>
      <c r="C1035" s="9">
        <v>46266</v>
      </c>
      <c r="D1035">
        <v>55</v>
      </c>
      <c r="E1035" s="16" t="s">
        <v>147</v>
      </c>
      <c r="F1035" s="16" t="s">
        <v>85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39</v>
      </c>
      <c r="C1036" s="9">
        <v>45689</v>
      </c>
      <c r="D1036">
        <v>56</v>
      </c>
      <c r="E1036" s="16" t="s">
        <v>148</v>
      </c>
      <c r="F1036" s="16" t="s">
        <v>140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39</v>
      </c>
      <c r="C1037" s="9">
        <v>45717</v>
      </c>
      <c r="D1037">
        <v>56</v>
      </c>
      <c r="E1037" s="16" t="s">
        <v>148</v>
      </c>
      <c r="F1037" s="16" t="s">
        <v>140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39</v>
      </c>
      <c r="C1038" s="9">
        <v>45748</v>
      </c>
      <c r="D1038">
        <v>56</v>
      </c>
      <c r="E1038" s="16" t="s">
        <v>148</v>
      </c>
      <c r="F1038" s="16" t="s">
        <v>140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39</v>
      </c>
      <c r="C1039" s="9">
        <v>45778</v>
      </c>
      <c r="D1039">
        <v>56</v>
      </c>
      <c r="E1039" s="16" t="s">
        <v>148</v>
      </c>
      <c r="F1039" s="16" t="s">
        <v>140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39</v>
      </c>
      <c r="C1040" s="9">
        <v>45809</v>
      </c>
      <c r="D1040">
        <v>56</v>
      </c>
      <c r="E1040" s="16" t="s">
        <v>148</v>
      </c>
      <c r="F1040" s="16" t="s">
        <v>140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39</v>
      </c>
      <c r="C1041" s="9">
        <v>45839</v>
      </c>
      <c r="D1041">
        <v>56</v>
      </c>
      <c r="E1041" s="16" t="s">
        <v>148</v>
      </c>
      <c r="F1041" s="16" t="s">
        <v>140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39</v>
      </c>
      <c r="C1042" s="9">
        <v>45870</v>
      </c>
      <c r="D1042">
        <v>56</v>
      </c>
      <c r="E1042" s="16" t="s">
        <v>148</v>
      </c>
      <c r="F1042" s="16" t="s">
        <v>140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39</v>
      </c>
      <c r="C1043" s="9">
        <v>45901</v>
      </c>
      <c r="D1043">
        <v>56</v>
      </c>
      <c r="E1043" s="16" t="s">
        <v>148</v>
      </c>
      <c r="F1043" s="16" t="s">
        <v>140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39</v>
      </c>
      <c r="C1044" s="9">
        <v>45931</v>
      </c>
      <c r="D1044">
        <v>56</v>
      </c>
      <c r="E1044" s="16" t="s">
        <v>148</v>
      </c>
      <c r="F1044" s="16" t="s">
        <v>140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39</v>
      </c>
      <c r="C1045" s="9">
        <v>45962</v>
      </c>
      <c r="D1045">
        <v>56</v>
      </c>
      <c r="E1045" s="16" t="s">
        <v>148</v>
      </c>
      <c r="F1045" s="16" t="s">
        <v>140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39</v>
      </c>
      <c r="C1046" s="9">
        <v>45992</v>
      </c>
      <c r="D1046">
        <v>56</v>
      </c>
      <c r="E1046" s="16" t="s">
        <v>148</v>
      </c>
      <c r="F1046" s="16" t="s">
        <v>140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39</v>
      </c>
      <c r="C1047" s="9">
        <v>46023</v>
      </c>
      <c r="D1047">
        <v>56</v>
      </c>
      <c r="E1047" s="16" t="s">
        <v>148</v>
      </c>
      <c r="F1047" s="16" t="s">
        <v>140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39</v>
      </c>
      <c r="C1048" s="9">
        <v>46054</v>
      </c>
      <c r="D1048">
        <v>56</v>
      </c>
      <c r="E1048" s="16" t="s">
        <v>148</v>
      </c>
      <c r="F1048" s="16" t="s">
        <v>140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39</v>
      </c>
      <c r="C1049" s="9">
        <v>46082</v>
      </c>
      <c r="D1049">
        <v>56</v>
      </c>
      <c r="E1049" s="16" t="s">
        <v>148</v>
      </c>
      <c r="F1049" s="16" t="s">
        <v>140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39</v>
      </c>
      <c r="C1050" s="9">
        <v>46113</v>
      </c>
      <c r="D1050">
        <v>56</v>
      </c>
      <c r="E1050" s="16" t="s">
        <v>148</v>
      </c>
      <c r="F1050" s="16" t="s">
        <v>140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39</v>
      </c>
      <c r="C1051" s="9">
        <v>46143</v>
      </c>
      <c r="D1051">
        <v>56</v>
      </c>
      <c r="E1051" s="16" t="s">
        <v>148</v>
      </c>
      <c r="F1051" s="16" t="s">
        <v>140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39</v>
      </c>
      <c r="C1052" s="9">
        <v>46174</v>
      </c>
      <c r="D1052">
        <v>56</v>
      </c>
      <c r="E1052" s="16" t="s">
        <v>148</v>
      </c>
      <c r="F1052" s="16" t="s">
        <v>140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39</v>
      </c>
      <c r="C1053" s="9">
        <v>46204</v>
      </c>
      <c r="D1053">
        <v>56</v>
      </c>
      <c r="E1053" s="16" t="s">
        <v>148</v>
      </c>
      <c r="F1053" s="16" t="s">
        <v>140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39</v>
      </c>
      <c r="C1054" s="9">
        <v>46235</v>
      </c>
      <c r="D1054">
        <v>56</v>
      </c>
      <c r="E1054" s="16" t="s">
        <v>148</v>
      </c>
      <c r="F1054" s="16" t="s">
        <v>140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39</v>
      </c>
      <c r="C1055" s="9">
        <v>46266</v>
      </c>
      <c r="D1055">
        <v>56</v>
      </c>
      <c r="E1055" s="16" t="s">
        <v>148</v>
      </c>
      <c r="F1055" s="16" t="s">
        <v>140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58</v>
      </c>
      <c r="C1056" s="9">
        <v>45689</v>
      </c>
      <c r="D1056">
        <v>1</v>
      </c>
      <c r="E1056" s="16" t="s">
        <v>82</v>
      </c>
      <c r="F1056" s="16" t="s">
        <v>83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58</v>
      </c>
      <c r="C1057" s="9">
        <v>45717</v>
      </c>
      <c r="D1057">
        <v>1</v>
      </c>
      <c r="E1057" s="16" t="s">
        <v>82</v>
      </c>
      <c r="F1057" s="16" t="s">
        <v>83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58</v>
      </c>
      <c r="C1058" s="9">
        <v>45748</v>
      </c>
      <c r="D1058">
        <v>1</v>
      </c>
      <c r="E1058" s="16" t="s">
        <v>82</v>
      </c>
      <c r="F1058" s="16" t="s">
        <v>83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58</v>
      </c>
      <c r="C1059" s="9">
        <v>45778</v>
      </c>
      <c r="D1059">
        <v>1</v>
      </c>
      <c r="E1059" s="16" t="s">
        <v>82</v>
      </c>
      <c r="F1059" s="16" t="s">
        <v>83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58</v>
      </c>
      <c r="C1060" s="9">
        <v>45809</v>
      </c>
      <c r="D1060">
        <v>1</v>
      </c>
      <c r="E1060" s="16" t="s">
        <v>82</v>
      </c>
      <c r="F1060" s="16" t="s">
        <v>83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58</v>
      </c>
      <c r="C1061" s="9">
        <v>45839</v>
      </c>
      <c r="D1061">
        <v>1</v>
      </c>
      <c r="E1061" s="16" t="s">
        <v>82</v>
      </c>
      <c r="F1061" s="16" t="s">
        <v>83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58</v>
      </c>
      <c r="C1062" s="9">
        <v>45870</v>
      </c>
      <c r="D1062">
        <v>1</v>
      </c>
      <c r="E1062" s="16" t="s">
        <v>82</v>
      </c>
      <c r="F1062" s="16" t="s">
        <v>83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58</v>
      </c>
      <c r="C1063" s="9">
        <v>45901</v>
      </c>
      <c r="D1063">
        <v>1</v>
      </c>
      <c r="E1063" s="16" t="s">
        <v>82</v>
      </c>
      <c r="F1063" s="16" t="s">
        <v>83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58</v>
      </c>
      <c r="C1064" s="9">
        <v>45931</v>
      </c>
      <c r="D1064">
        <v>1</v>
      </c>
      <c r="E1064" s="16" t="s">
        <v>82</v>
      </c>
      <c r="F1064" s="16" t="s">
        <v>83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58</v>
      </c>
      <c r="C1065" s="9">
        <v>45962</v>
      </c>
      <c r="D1065">
        <v>1</v>
      </c>
      <c r="E1065" s="16" t="s">
        <v>82</v>
      </c>
      <c r="F1065" s="16" t="s">
        <v>83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58</v>
      </c>
      <c r="C1066" s="9">
        <v>45992</v>
      </c>
      <c r="D1066">
        <v>1</v>
      </c>
      <c r="E1066" s="16" t="s">
        <v>82</v>
      </c>
      <c r="F1066" s="16" t="s">
        <v>83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58</v>
      </c>
      <c r="C1067" s="9">
        <v>46023</v>
      </c>
      <c r="D1067">
        <v>1</v>
      </c>
      <c r="E1067" s="16" t="s">
        <v>82</v>
      </c>
      <c r="F1067" s="16" t="s">
        <v>83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58</v>
      </c>
      <c r="C1068" s="9">
        <v>46054</v>
      </c>
      <c r="D1068">
        <v>1</v>
      </c>
      <c r="E1068" s="16" t="s">
        <v>82</v>
      </c>
      <c r="F1068" s="16" t="s">
        <v>83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58</v>
      </c>
      <c r="C1069" s="9">
        <v>46082</v>
      </c>
      <c r="D1069">
        <v>1</v>
      </c>
      <c r="E1069" s="16" t="s">
        <v>82</v>
      </c>
      <c r="F1069" s="16" t="s">
        <v>83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58</v>
      </c>
      <c r="C1070" s="9">
        <v>46113</v>
      </c>
      <c r="D1070">
        <v>1</v>
      </c>
      <c r="E1070" s="16" t="s">
        <v>82</v>
      </c>
      <c r="F1070" s="16" t="s">
        <v>83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58</v>
      </c>
      <c r="C1071" s="9">
        <v>46143</v>
      </c>
      <c r="D1071">
        <v>1</v>
      </c>
      <c r="E1071" s="16" t="s">
        <v>82</v>
      </c>
      <c r="F1071" s="16" t="s">
        <v>83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58</v>
      </c>
      <c r="C1072" s="9">
        <v>46174</v>
      </c>
      <c r="D1072">
        <v>1</v>
      </c>
      <c r="E1072" s="16" t="s">
        <v>82</v>
      </c>
      <c r="F1072" s="16" t="s">
        <v>83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58</v>
      </c>
      <c r="C1073" s="9">
        <v>46204</v>
      </c>
      <c r="D1073">
        <v>1</v>
      </c>
      <c r="E1073" s="16" t="s">
        <v>82</v>
      </c>
      <c r="F1073" s="16" t="s">
        <v>83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58</v>
      </c>
      <c r="C1074" s="9">
        <v>46235</v>
      </c>
      <c r="D1074">
        <v>1</v>
      </c>
      <c r="E1074" s="16" t="s">
        <v>82</v>
      </c>
      <c r="F1074" s="16" t="s">
        <v>83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58</v>
      </c>
      <c r="C1075" s="9">
        <v>46266</v>
      </c>
      <c r="D1075">
        <v>1</v>
      </c>
      <c r="E1075" s="16" t="s">
        <v>82</v>
      </c>
      <c r="F1075" s="16" t="s">
        <v>83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58</v>
      </c>
      <c r="C1076" s="9">
        <v>45689</v>
      </c>
      <c r="D1076">
        <v>2</v>
      </c>
      <c r="E1076" s="16" t="s">
        <v>84</v>
      </c>
      <c r="F1076" s="16" t="s">
        <v>85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58</v>
      </c>
      <c r="C1077" s="9">
        <v>45717</v>
      </c>
      <c r="D1077">
        <v>2</v>
      </c>
      <c r="E1077" s="16" t="s">
        <v>84</v>
      </c>
      <c r="F1077" s="16" t="s">
        <v>85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58</v>
      </c>
      <c r="C1078" s="9">
        <v>45748</v>
      </c>
      <c r="D1078">
        <v>2</v>
      </c>
      <c r="E1078" s="16" t="s">
        <v>84</v>
      </c>
      <c r="F1078" s="16" t="s">
        <v>85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58</v>
      </c>
      <c r="C1079" s="9">
        <v>45778</v>
      </c>
      <c r="D1079">
        <v>2</v>
      </c>
      <c r="E1079" s="16" t="s">
        <v>84</v>
      </c>
      <c r="F1079" s="16" t="s">
        <v>85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58</v>
      </c>
      <c r="C1080" s="9">
        <v>45809</v>
      </c>
      <c r="D1080">
        <v>2</v>
      </c>
      <c r="E1080" s="16" t="s">
        <v>84</v>
      </c>
      <c r="F1080" s="16" t="s">
        <v>85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58</v>
      </c>
      <c r="C1081" s="9">
        <v>45839</v>
      </c>
      <c r="D1081">
        <v>2</v>
      </c>
      <c r="E1081" s="16" t="s">
        <v>84</v>
      </c>
      <c r="F1081" s="16" t="s">
        <v>85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58</v>
      </c>
      <c r="C1082" s="9">
        <v>45870</v>
      </c>
      <c r="D1082">
        <v>2</v>
      </c>
      <c r="E1082" s="16" t="s">
        <v>84</v>
      </c>
      <c r="F1082" s="16" t="s">
        <v>85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58</v>
      </c>
      <c r="C1083" s="9">
        <v>45901</v>
      </c>
      <c r="D1083">
        <v>2</v>
      </c>
      <c r="E1083" s="16" t="s">
        <v>84</v>
      </c>
      <c r="F1083" s="16" t="s">
        <v>85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58</v>
      </c>
      <c r="C1084" s="9">
        <v>45931</v>
      </c>
      <c r="D1084">
        <v>2</v>
      </c>
      <c r="E1084" s="16" t="s">
        <v>84</v>
      </c>
      <c r="F1084" s="16" t="s">
        <v>85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58</v>
      </c>
      <c r="C1085" s="9">
        <v>45962</v>
      </c>
      <c r="D1085">
        <v>2</v>
      </c>
      <c r="E1085" s="16" t="s">
        <v>84</v>
      </c>
      <c r="F1085" s="16" t="s">
        <v>85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58</v>
      </c>
      <c r="C1086" s="9">
        <v>45992</v>
      </c>
      <c r="D1086">
        <v>2</v>
      </c>
      <c r="E1086" s="16" t="s">
        <v>84</v>
      </c>
      <c r="F1086" s="16" t="s">
        <v>85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58</v>
      </c>
      <c r="C1087" s="9">
        <v>46023</v>
      </c>
      <c r="D1087">
        <v>2</v>
      </c>
      <c r="E1087" s="16" t="s">
        <v>84</v>
      </c>
      <c r="F1087" s="16" t="s">
        <v>85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58</v>
      </c>
      <c r="C1088" s="9">
        <v>46054</v>
      </c>
      <c r="D1088">
        <v>2</v>
      </c>
      <c r="E1088" s="16" t="s">
        <v>84</v>
      </c>
      <c r="F1088" s="16" t="s">
        <v>85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58</v>
      </c>
      <c r="C1089" s="9">
        <v>46082</v>
      </c>
      <c r="D1089">
        <v>2</v>
      </c>
      <c r="E1089" s="16" t="s">
        <v>84</v>
      </c>
      <c r="F1089" s="16" t="s">
        <v>85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58</v>
      </c>
      <c r="C1090" s="9">
        <v>46113</v>
      </c>
      <c r="D1090">
        <v>2</v>
      </c>
      <c r="E1090" s="16" t="s">
        <v>84</v>
      </c>
      <c r="F1090" s="16" t="s">
        <v>85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58</v>
      </c>
      <c r="C1091" s="9">
        <v>46143</v>
      </c>
      <c r="D1091">
        <v>2</v>
      </c>
      <c r="E1091" s="16" t="s">
        <v>84</v>
      </c>
      <c r="F1091" s="16" t="s">
        <v>85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58</v>
      </c>
      <c r="C1092" s="9">
        <v>46174</v>
      </c>
      <c r="D1092">
        <v>2</v>
      </c>
      <c r="E1092" s="16" t="s">
        <v>84</v>
      </c>
      <c r="F1092" s="16" t="s">
        <v>85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58</v>
      </c>
      <c r="C1093" s="9">
        <v>46204</v>
      </c>
      <c r="D1093">
        <v>2</v>
      </c>
      <c r="E1093" s="16" t="s">
        <v>84</v>
      </c>
      <c r="F1093" s="16" t="s">
        <v>85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58</v>
      </c>
      <c r="C1094" s="9">
        <v>46235</v>
      </c>
      <c r="D1094">
        <v>2</v>
      </c>
      <c r="E1094" s="16" t="s">
        <v>84</v>
      </c>
      <c r="F1094" s="16" t="s">
        <v>85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58</v>
      </c>
      <c r="C1095" s="9">
        <v>46266</v>
      </c>
      <c r="D1095">
        <v>2</v>
      </c>
      <c r="E1095" s="16" t="s">
        <v>84</v>
      </c>
      <c r="F1095" s="16" t="s">
        <v>85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58</v>
      </c>
      <c r="C1096" s="9">
        <v>45689</v>
      </c>
      <c r="D1096">
        <v>3</v>
      </c>
      <c r="E1096" s="16" t="s">
        <v>86</v>
      </c>
      <c r="F1096" s="16" t="s">
        <v>87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58</v>
      </c>
      <c r="C1097" s="9">
        <v>45717</v>
      </c>
      <c r="D1097">
        <v>3</v>
      </c>
      <c r="E1097" s="16" t="s">
        <v>86</v>
      </c>
      <c r="F1097" s="16" t="s">
        <v>87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58</v>
      </c>
      <c r="C1098" s="9">
        <v>45748</v>
      </c>
      <c r="D1098">
        <v>3</v>
      </c>
      <c r="E1098" s="16" t="s">
        <v>86</v>
      </c>
      <c r="F1098" s="16" t="s">
        <v>87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58</v>
      </c>
      <c r="C1099" s="9">
        <v>45778</v>
      </c>
      <c r="D1099">
        <v>3</v>
      </c>
      <c r="E1099" s="16" t="s">
        <v>86</v>
      </c>
      <c r="F1099" s="16" t="s">
        <v>87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58</v>
      </c>
      <c r="C1100" s="9">
        <v>45809</v>
      </c>
      <c r="D1100">
        <v>3</v>
      </c>
      <c r="E1100" s="16" t="s">
        <v>86</v>
      </c>
      <c r="F1100" s="16" t="s">
        <v>87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58</v>
      </c>
      <c r="C1101" s="9">
        <v>45839</v>
      </c>
      <c r="D1101">
        <v>3</v>
      </c>
      <c r="E1101" s="16" t="s">
        <v>86</v>
      </c>
      <c r="F1101" s="16" t="s">
        <v>87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58</v>
      </c>
      <c r="C1102" s="9">
        <v>45870</v>
      </c>
      <c r="D1102">
        <v>3</v>
      </c>
      <c r="E1102" s="16" t="s">
        <v>86</v>
      </c>
      <c r="F1102" s="16" t="s">
        <v>87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58</v>
      </c>
      <c r="C1103" s="9">
        <v>45901</v>
      </c>
      <c r="D1103">
        <v>3</v>
      </c>
      <c r="E1103" s="16" t="s">
        <v>86</v>
      </c>
      <c r="F1103" s="16" t="s">
        <v>87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58</v>
      </c>
      <c r="C1104" s="9">
        <v>45931</v>
      </c>
      <c r="D1104">
        <v>3</v>
      </c>
      <c r="E1104" s="16" t="s">
        <v>86</v>
      </c>
      <c r="F1104" s="16" t="s">
        <v>87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58</v>
      </c>
      <c r="C1105" s="9">
        <v>45962</v>
      </c>
      <c r="D1105">
        <v>3</v>
      </c>
      <c r="E1105" s="16" t="s">
        <v>86</v>
      </c>
      <c r="F1105" s="16" t="s">
        <v>87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58</v>
      </c>
      <c r="C1106" s="9">
        <v>45992</v>
      </c>
      <c r="D1106">
        <v>3</v>
      </c>
      <c r="E1106" s="16" t="s">
        <v>86</v>
      </c>
      <c r="F1106" s="16" t="s">
        <v>87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58</v>
      </c>
      <c r="C1107" s="9">
        <v>46023</v>
      </c>
      <c r="D1107">
        <v>3</v>
      </c>
      <c r="E1107" s="16" t="s">
        <v>86</v>
      </c>
      <c r="F1107" s="16" t="s">
        <v>87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58</v>
      </c>
      <c r="C1108" s="9">
        <v>46054</v>
      </c>
      <c r="D1108">
        <v>3</v>
      </c>
      <c r="E1108" s="16" t="s">
        <v>86</v>
      </c>
      <c r="F1108" s="16" t="s">
        <v>87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58</v>
      </c>
      <c r="C1109" s="9">
        <v>46082</v>
      </c>
      <c r="D1109">
        <v>3</v>
      </c>
      <c r="E1109" s="16" t="s">
        <v>86</v>
      </c>
      <c r="F1109" s="16" t="s">
        <v>87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58</v>
      </c>
      <c r="C1110" s="9">
        <v>46113</v>
      </c>
      <c r="D1110">
        <v>3</v>
      </c>
      <c r="E1110" s="16" t="s">
        <v>86</v>
      </c>
      <c r="F1110" s="16" t="s">
        <v>87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58</v>
      </c>
      <c r="C1111" s="9">
        <v>46143</v>
      </c>
      <c r="D1111">
        <v>3</v>
      </c>
      <c r="E1111" s="16" t="s">
        <v>86</v>
      </c>
      <c r="F1111" s="16" t="s">
        <v>87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58</v>
      </c>
      <c r="C1112" s="9">
        <v>46174</v>
      </c>
      <c r="D1112">
        <v>3</v>
      </c>
      <c r="E1112" s="16" t="s">
        <v>86</v>
      </c>
      <c r="F1112" s="16" t="s">
        <v>87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58</v>
      </c>
      <c r="C1113" s="9">
        <v>46204</v>
      </c>
      <c r="D1113">
        <v>3</v>
      </c>
      <c r="E1113" s="16" t="s">
        <v>86</v>
      </c>
      <c r="F1113" s="16" t="s">
        <v>87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58</v>
      </c>
      <c r="C1114" s="9">
        <v>46235</v>
      </c>
      <c r="D1114">
        <v>3</v>
      </c>
      <c r="E1114" s="16" t="s">
        <v>86</v>
      </c>
      <c r="F1114" s="16" t="s">
        <v>87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58</v>
      </c>
      <c r="C1115" s="9">
        <v>46266</v>
      </c>
      <c r="D1115">
        <v>3</v>
      </c>
      <c r="E1115" s="16" t="s">
        <v>86</v>
      </c>
      <c r="F1115" s="16" t="s">
        <v>87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58</v>
      </c>
      <c r="C1116" s="9">
        <v>45689</v>
      </c>
      <c r="D1116">
        <v>4</v>
      </c>
      <c r="E1116" s="16" t="s">
        <v>88</v>
      </c>
      <c r="F1116" s="16" t="s">
        <v>89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58</v>
      </c>
      <c r="C1117" s="9">
        <v>45717</v>
      </c>
      <c r="D1117">
        <v>4</v>
      </c>
      <c r="E1117" s="16" t="s">
        <v>88</v>
      </c>
      <c r="F1117" s="16" t="s">
        <v>89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58</v>
      </c>
      <c r="C1118" s="9">
        <v>45748</v>
      </c>
      <c r="D1118">
        <v>4</v>
      </c>
      <c r="E1118" s="16" t="s">
        <v>88</v>
      </c>
      <c r="F1118" s="16" t="s">
        <v>89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58</v>
      </c>
      <c r="C1119" s="9">
        <v>45778</v>
      </c>
      <c r="D1119">
        <v>4</v>
      </c>
      <c r="E1119" s="16" t="s">
        <v>88</v>
      </c>
      <c r="F1119" s="16" t="s">
        <v>89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58</v>
      </c>
      <c r="C1120" s="9">
        <v>45809</v>
      </c>
      <c r="D1120">
        <v>4</v>
      </c>
      <c r="E1120" s="16" t="s">
        <v>88</v>
      </c>
      <c r="F1120" s="16" t="s">
        <v>89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58</v>
      </c>
      <c r="C1121" s="9">
        <v>45839</v>
      </c>
      <c r="D1121">
        <v>4</v>
      </c>
      <c r="E1121" s="16" t="s">
        <v>88</v>
      </c>
      <c r="F1121" s="16" t="s">
        <v>89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58</v>
      </c>
      <c r="C1122" s="9">
        <v>45870</v>
      </c>
      <c r="D1122">
        <v>4</v>
      </c>
      <c r="E1122" s="16" t="s">
        <v>88</v>
      </c>
      <c r="F1122" s="16" t="s">
        <v>89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58</v>
      </c>
      <c r="C1123" s="9">
        <v>45901</v>
      </c>
      <c r="D1123">
        <v>4</v>
      </c>
      <c r="E1123" s="16" t="s">
        <v>88</v>
      </c>
      <c r="F1123" s="16" t="s">
        <v>89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58</v>
      </c>
      <c r="C1124" s="9">
        <v>45931</v>
      </c>
      <c r="D1124">
        <v>4</v>
      </c>
      <c r="E1124" s="16" t="s">
        <v>88</v>
      </c>
      <c r="F1124" s="16" t="s">
        <v>89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58</v>
      </c>
      <c r="C1125" s="9">
        <v>45962</v>
      </c>
      <c r="D1125">
        <v>4</v>
      </c>
      <c r="E1125" s="16" t="s">
        <v>88</v>
      </c>
      <c r="F1125" s="16" t="s">
        <v>89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58</v>
      </c>
      <c r="C1126" s="9">
        <v>45992</v>
      </c>
      <c r="D1126">
        <v>4</v>
      </c>
      <c r="E1126" s="16" t="s">
        <v>88</v>
      </c>
      <c r="F1126" s="16" t="s">
        <v>89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58</v>
      </c>
      <c r="C1127" s="9">
        <v>46023</v>
      </c>
      <c r="D1127">
        <v>4</v>
      </c>
      <c r="E1127" s="16" t="s">
        <v>88</v>
      </c>
      <c r="F1127" s="16" t="s">
        <v>89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58</v>
      </c>
      <c r="C1128" s="9">
        <v>46054</v>
      </c>
      <c r="D1128">
        <v>4</v>
      </c>
      <c r="E1128" s="16" t="s">
        <v>88</v>
      </c>
      <c r="F1128" s="16" t="s">
        <v>89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58</v>
      </c>
      <c r="C1129" s="9">
        <v>46082</v>
      </c>
      <c r="D1129">
        <v>4</v>
      </c>
      <c r="E1129" s="16" t="s">
        <v>88</v>
      </c>
      <c r="F1129" s="16" t="s">
        <v>89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58</v>
      </c>
      <c r="C1130" s="9">
        <v>46113</v>
      </c>
      <c r="D1130">
        <v>4</v>
      </c>
      <c r="E1130" s="16" t="s">
        <v>88</v>
      </c>
      <c r="F1130" s="16" t="s">
        <v>89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58</v>
      </c>
      <c r="C1131" s="9">
        <v>46143</v>
      </c>
      <c r="D1131">
        <v>4</v>
      </c>
      <c r="E1131" s="16" t="s">
        <v>88</v>
      </c>
      <c r="F1131" s="16" t="s">
        <v>89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58</v>
      </c>
      <c r="C1132" s="9">
        <v>46174</v>
      </c>
      <c r="D1132">
        <v>4</v>
      </c>
      <c r="E1132" s="16" t="s">
        <v>88</v>
      </c>
      <c r="F1132" s="16" t="s">
        <v>89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58</v>
      </c>
      <c r="C1133" s="9">
        <v>46204</v>
      </c>
      <c r="D1133">
        <v>4</v>
      </c>
      <c r="E1133" s="16" t="s">
        <v>88</v>
      </c>
      <c r="F1133" s="16" t="s">
        <v>89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58</v>
      </c>
      <c r="C1134" s="9">
        <v>46235</v>
      </c>
      <c r="D1134">
        <v>4</v>
      </c>
      <c r="E1134" s="16" t="s">
        <v>88</v>
      </c>
      <c r="F1134" s="16" t="s">
        <v>89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58</v>
      </c>
      <c r="C1135" s="9">
        <v>46266</v>
      </c>
      <c r="D1135">
        <v>4</v>
      </c>
      <c r="E1135" s="16" t="s">
        <v>88</v>
      </c>
      <c r="F1135" s="16" t="s">
        <v>89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58</v>
      </c>
      <c r="C1136" s="9">
        <v>45689</v>
      </c>
      <c r="D1136">
        <v>5</v>
      </c>
      <c r="E1136" s="16" t="s">
        <v>90</v>
      </c>
      <c r="F1136" s="16" t="s">
        <v>85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58</v>
      </c>
      <c r="C1137" s="9">
        <v>45717</v>
      </c>
      <c r="D1137">
        <v>5</v>
      </c>
      <c r="E1137" s="16" t="s">
        <v>90</v>
      </c>
      <c r="F1137" s="16" t="s">
        <v>85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58</v>
      </c>
      <c r="C1138" s="9">
        <v>45748</v>
      </c>
      <c r="D1138">
        <v>5</v>
      </c>
      <c r="E1138" s="16" t="s">
        <v>90</v>
      </c>
      <c r="F1138" s="16" t="s">
        <v>85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58</v>
      </c>
      <c r="C1139" s="9">
        <v>45778</v>
      </c>
      <c r="D1139">
        <v>5</v>
      </c>
      <c r="E1139" s="16" t="s">
        <v>90</v>
      </c>
      <c r="F1139" s="16" t="s">
        <v>85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58</v>
      </c>
      <c r="C1140" s="9">
        <v>45809</v>
      </c>
      <c r="D1140">
        <v>5</v>
      </c>
      <c r="E1140" s="16" t="s">
        <v>90</v>
      </c>
      <c r="F1140" s="16" t="s">
        <v>85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58</v>
      </c>
      <c r="C1141" s="9">
        <v>45839</v>
      </c>
      <c r="D1141">
        <v>5</v>
      </c>
      <c r="E1141" s="16" t="s">
        <v>90</v>
      </c>
      <c r="F1141" s="16" t="s">
        <v>85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58</v>
      </c>
      <c r="C1142" s="9">
        <v>45870</v>
      </c>
      <c r="D1142">
        <v>5</v>
      </c>
      <c r="E1142" s="16" t="s">
        <v>90</v>
      </c>
      <c r="F1142" s="16" t="s">
        <v>85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58</v>
      </c>
      <c r="C1143" s="9">
        <v>45901</v>
      </c>
      <c r="D1143">
        <v>5</v>
      </c>
      <c r="E1143" s="16" t="s">
        <v>90</v>
      </c>
      <c r="F1143" s="16" t="s">
        <v>85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58</v>
      </c>
      <c r="C1144" s="9">
        <v>45931</v>
      </c>
      <c r="D1144">
        <v>5</v>
      </c>
      <c r="E1144" s="16" t="s">
        <v>90</v>
      </c>
      <c r="F1144" s="16" t="s">
        <v>85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58</v>
      </c>
      <c r="C1145" s="9">
        <v>45962</v>
      </c>
      <c r="D1145">
        <v>5</v>
      </c>
      <c r="E1145" s="16" t="s">
        <v>90</v>
      </c>
      <c r="F1145" s="16" t="s">
        <v>85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58</v>
      </c>
      <c r="C1146" s="9">
        <v>45992</v>
      </c>
      <c r="D1146">
        <v>5</v>
      </c>
      <c r="E1146" s="16" t="s">
        <v>90</v>
      </c>
      <c r="F1146" s="16" t="s">
        <v>85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58</v>
      </c>
      <c r="C1147" s="9">
        <v>46023</v>
      </c>
      <c r="D1147">
        <v>5</v>
      </c>
      <c r="E1147" s="16" t="s">
        <v>90</v>
      </c>
      <c r="F1147" s="16" t="s">
        <v>85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58</v>
      </c>
      <c r="C1148" s="9">
        <v>46054</v>
      </c>
      <c r="D1148">
        <v>5</v>
      </c>
      <c r="E1148" s="16" t="s">
        <v>90</v>
      </c>
      <c r="F1148" s="16" t="s">
        <v>85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58</v>
      </c>
      <c r="C1149" s="9">
        <v>46082</v>
      </c>
      <c r="D1149">
        <v>5</v>
      </c>
      <c r="E1149" s="16" t="s">
        <v>90</v>
      </c>
      <c r="F1149" s="16" t="s">
        <v>85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58</v>
      </c>
      <c r="C1150" s="9">
        <v>46113</v>
      </c>
      <c r="D1150">
        <v>5</v>
      </c>
      <c r="E1150" s="16" t="s">
        <v>90</v>
      </c>
      <c r="F1150" s="16" t="s">
        <v>85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58</v>
      </c>
      <c r="C1151" s="9">
        <v>46143</v>
      </c>
      <c r="D1151">
        <v>5</v>
      </c>
      <c r="E1151" s="16" t="s">
        <v>90</v>
      </c>
      <c r="F1151" s="16" t="s">
        <v>85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58</v>
      </c>
      <c r="C1152" s="9">
        <v>46174</v>
      </c>
      <c r="D1152">
        <v>5</v>
      </c>
      <c r="E1152" s="16" t="s">
        <v>90</v>
      </c>
      <c r="F1152" s="16" t="s">
        <v>85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58</v>
      </c>
      <c r="C1153" s="9">
        <v>46204</v>
      </c>
      <c r="D1153">
        <v>5</v>
      </c>
      <c r="E1153" s="16" t="s">
        <v>90</v>
      </c>
      <c r="F1153" s="16" t="s">
        <v>85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58</v>
      </c>
      <c r="C1154" s="9">
        <v>46235</v>
      </c>
      <c r="D1154">
        <v>5</v>
      </c>
      <c r="E1154" s="16" t="s">
        <v>90</v>
      </c>
      <c r="F1154" s="16" t="s">
        <v>85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58</v>
      </c>
      <c r="C1155" s="9">
        <v>46266</v>
      </c>
      <c r="D1155">
        <v>5</v>
      </c>
      <c r="E1155" s="16" t="s">
        <v>90</v>
      </c>
      <c r="F1155" s="16" t="s">
        <v>85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58</v>
      </c>
      <c r="C1156" s="9">
        <v>45689</v>
      </c>
      <c r="D1156">
        <v>6</v>
      </c>
      <c r="E1156" s="16" t="s">
        <v>91</v>
      </c>
      <c r="F1156" s="16" t="s">
        <v>92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58</v>
      </c>
      <c r="C1157" s="9">
        <v>45717</v>
      </c>
      <c r="D1157">
        <v>6</v>
      </c>
      <c r="E1157" s="16" t="s">
        <v>91</v>
      </c>
      <c r="F1157" s="16" t="s">
        <v>92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58</v>
      </c>
      <c r="C1158" s="9">
        <v>45748</v>
      </c>
      <c r="D1158">
        <v>6</v>
      </c>
      <c r="E1158" s="16" t="s">
        <v>91</v>
      </c>
      <c r="F1158" s="16" t="s">
        <v>92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58</v>
      </c>
      <c r="C1159" s="9">
        <v>45778</v>
      </c>
      <c r="D1159">
        <v>6</v>
      </c>
      <c r="E1159" s="16" t="s">
        <v>91</v>
      </c>
      <c r="F1159" s="16" t="s">
        <v>92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58</v>
      </c>
      <c r="C1160" s="9">
        <v>45809</v>
      </c>
      <c r="D1160">
        <v>6</v>
      </c>
      <c r="E1160" s="16" t="s">
        <v>91</v>
      </c>
      <c r="F1160" s="16" t="s">
        <v>92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58</v>
      </c>
      <c r="C1161" s="9">
        <v>45839</v>
      </c>
      <c r="D1161">
        <v>6</v>
      </c>
      <c r="E1161" s="16" t="s">
        <v>91</v>
      </c>
      <c r="F1161" s="16" t="s">
        <v>92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58</v>
      </c>
      <c r="C1162" s="9">
        <v>45870</v>
      </c>
      <c r="D1162">
        <v>6</v>
      </c>
      <c r="E1162" s="16" t="s">
        <v>91</v>
      </c>
      <c r="F1162" s="16" t="s">
        <v>92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58</v>
      </c>
      <c r="C1163" s="9">
        <v>45901</v>
      </c>
      <c r="D1163">
        <v>6</v>
      </c>
      <c r="E1163" s="16" t="s">
        <v>91</v>
      </c>
      <c r="F1163" s="16" t="s">
        <v>92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58</v>
      </c>
      <c r="C1164" s="9">
        <v>45931</v>
      </c>
      <c r="D1164">
        <v>6</v>
      </c>
      <c r="E1164" s="16" t="s">
        <v>91</v>
      </c>
      <c r="F1164" s="16" t="s">
        <v>92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58</v>
      </c>
      <c r="C1165" s="9">
        <v>45962</v>
      </c>
      <c r="D1165">
        <v>6</v>
      </c>
      <c r="E1165" s="16" t="s">
        <v>91</v>
      </c>
      <c r="F1165" s="16" t="s">
        <v>92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58</v>
      </c>
      <c r="C1166" s="9">
        <v>45992</v>
      </c>
      <c r="D1166">
        <v>6</v>
      </c>
      <c r="E1166" s="16" t="s">
        <v>91</v>
      </c>
      <c r="F1166" s="16" t="s">
        <v>92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58</v>
      </c>
      <c r="C1167" s="9">
        <v>46023</v>
      </c>
      <c r="D1167">
        <v>6</v>
      </c>
      <c r="E1167" s="16" t="s">
        <v>91</v>
      </c>
      <c r="F1167" s="16" t="s">
        <v>92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58</v>
      </c>
      <c r="C1168" s="9">
        <v>46054</v>
      </c>
      <c r="D1168">
        <v>6</v>
      </c>
      <c r="E1168" s="16" t="s">
        <v>91</v>
      </c>
      <c r="F1168" s="16" t="s">
        <v>92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58</v>
      </c>
      <c r="C1169" s="9">
        <v>46082</v>
      </c>
      <c r="D1169">
        <v>6</v>
      </c>
      <c r="E1169" s="16" t="s">
        <v>91</v>
      </c>
      <c r="F1169" s="16" t="s">
        <v>92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58</v>
      </c>
      <c r="C1170" s="9">
        <v>46113</v>
      </c>
      <c r="D1170">
        <v>6</v>
      </c>
      <c r="E1170" s="16" t="s">
        <v>91</v>
      </c>
      <c r="F1170" s="16" t="s">
        <v>92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58</v>
      </c>
      <c r="C1171" s="9">
        <v>46143</v>
      </c>
      <c r="D1171">
        <v>6</v>
      </c>
      <c r="E1171" s="16" t="s">
        <v>91</v>
      </c>
      <c r="F1171" s="16" t="s">
        <v>92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58</v>
      </c>
      <c r="C1172" s="9">
        <v>46174</v>
      </c>
      <c r="D1172">
        <v>6</v>
      </c>
      <c r="E1172" s="16" t="s">
        <v>91</v>
      </c>
      <c r="F1172" s="16" t="s">
        <v>92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58</v>
      </c>
      <c r="C1173" s="9">
        <v>46204</v>
      </c>
      <c r="D1173">
        <v>6</v>
      </c>
      <c r="E1173" s="16" t="s">
        <v>91</v>
      </c>
      <c r="F1173" s="16" t="s">
        <v>92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58</v>
      </c>
      <c r="C1174" s="9">
        <v>46235</v>
      </c>
      <c r="D1174">
        <v>6</v>
      </c>
      <c r="E1174" s="16" t="s">
        <v>91</v>
      </c>
      <c r="F1174" s="16" t="s">
        <v>92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58</v>
      </c>
      <c r="C1175" s="9">
        <v>46266</v>
      </c>
      <c r="D1175">
        <v>6</v>
      </c>
      <c r="E1175" s="16" t="s">
        <v>91</v>
      </c>
      <c r="F1175" s="16" t="s">
        <v>92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58</v>
      </c>
      <c r="C1176" s="9">
        <v>45689</v>
      </c>
      <c r="D1176">
        <v>7</v>
      </c>
      <c r="E1176" s="16" t="s">
        <v>93</v>
      </c>
      <c r="F1176" s="16" t="s">
        <v>94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58</v>
      </c>
      <c r="C1177" s="9">
        <v>45717</v>
      </c>
      <c r="D1177">
        <v>7</v>
      </c>
      <c r="E1177" s="16" t="s">
        <v>93</v>
      </c>
      <c r="F1177" s="16" t="s">
        <v>94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58</v>
      </c>
      <c r="C1178" s="9">
        <v>45748</v>
      </c>
      <c r="D1178">
        <v>7</v>
      </c>
      <c r="E1178" s="16" t="s">
        <v>93</v>
      </c>
      <c r="F1178" s="16" t="s">
        <v>94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58</v>
      </c>
      <c r="C1179" s="9">
        <v>45778</v>
      </c>
      <c r="D1179">
        <v>7</v>
      </c>
      <c r="E1179" s="16" t="s">
        <v>93</v>
      </c>
      <c r="F1179" s="16" t="s">
        <v>94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58</v>
      </c>
      <c r="C1180" s="9">
        <v>45809</v>
      </c>
      <c r="D1180">
        <v>7</v>
      </c>
      <c r="E1180" s="16" t="s">
        <v>93</v>
      </c>
      <c r="F1180" s="16" t="s">
        <v>94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58</v>
      </c>
      <c r="C1181" s="9">
        <v>45839</v>
      </c>
      <c r="D1181">
        <v>7</v>
      </c>
      <c r="E1181" s="16" t="s">
        <v>93</v>
      </c>
      <c r="F1181" s="16" t="s">
        <v>94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58</v>
      </c>
      <c r="C1182" s="9">
        <v>45870</v>
      </c>
      <c r="D1182">
        <v>7</v>
      </c>
      <c r="E1182" s="16" t="s">
        <v>93</v>
      </c>
      <c r="F1182" s="16" t="s">
        <v>94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58</v>
      </c>
      <c r="C1183" s="9">
        <v>45901</v>
      </c>
      <c r="D1183">
        <v>7</v>
      </c>
      <c r="E1183" s="16" t="s">
        <v>93</v>
      </c>
      <c r="F1183" s="16" t="s">
        <v>94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58</v>
      </c>
      <c r="C1184" s="9">
        <v>45931</v>
      </c>
      <c r="D1184">
        <v>7</v>
      </c>
      <c r="E1184" s="16" t="s">
        <v>93</v>
      </c>
      <c r="F1184" s="16" t="s">
        <v>94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58</v>
      </c>
      <c r="C1185" s="9">
        <v>45962</v>
      </c>
      <c r="D1185">
        <v>7</v>
      </c>
      <c r="E1185" s="16" t="s">
        <v>93</v>
      </c>
      <c r="F1185" s="16" t="s">
        <v>94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58</v>
      </c>
      <c r="C1186" s="9">
        <v>45992</v>
      </c>
      <c r="D1186">
        <v>7</v>
      </c>
      <c r="E1186" s="16" t="s">
        <v>93</v>
      </c>
      <c r="F1186" s="16" t="s">
        <v>94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58</v>
      </c>
      <c r="C1187" s="9">
        <v>46023</v>
      </c>
      <c r="D1187">
        <v>7</v>
      </c>
      <c r="E1187" s="16" t="s">
        <v>93</v>
      </c>
      <c r="F1187" s="16" t="s">
        <v>94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58</v>
      </c>
      <c r="C1188" s="9">
        <v>46054</v>
      </c>
      <c r="D1188">
        <v>7</v>
      </c>
      <c r="E1188" s="16" t="s">
        <v>93</v>
      </c>
      <c r="F1188" s="16" t="s">
        <v>94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58</v>
      </c>
      <c r="C1189" s="9">
        <v>46082</v>
      </c>
      <c r="D1189">
        <v>7</v>
      </c>
      <c r="E1189" s="16" t="s">
        <v>93</v>
      </c>
      <c r="F1189" s="16" t="s">
        <v>94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58</v>
      </c>
      <c r="C1190" s="9">
        <v>46113</v>
      </c>
      <c r="D1190">
        <v>7</v>
      </c>
      <c r="E1190" s="16" t="s">
        <v>93</v>
      </c>
      <c r="F1190" s="16" t="s">
        <v>94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58</v>
      </c>
      <c r="C1191" s="9">
        <v>46143</v>
      </c>
      <c r="D1191">
        <v>7</v>
      </c>
      <c r="E1191" s="16" t="s">
        <v>93</v>
      </c>
      <c r="F1191" s="16" t="s">
        <v>94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58</v>
      </c>
      <c r="C1192" s="9">
        <v>46174</v>
      </c>
      <c r="D1192">
        <v>7</v>
      </c>
      <c r="E1192" s="16" t="s">
        <v>93</v>
      </c>
      <c r="F1192" s="16" t="s">
        <v>94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58</v>
      </c>
      <c r="C1193" s="9">
        <v>46204</v>
      </c>
      <c r="D1193">
        <v>7</v>
      </c>
      <c r="E1193" s="16" t="s">
        <v>93</v>
      </c>
      <c r="F1193" s="16" t="s">
        <v>94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58</v>
      </c>
      <c r="C1194" s="9">
        <v>46235</v>
      </c>
      <c r="D1194">
        <v>7</v>
      </c>
      <c r="E1194" s="16" t="s">
        <v>93</v>
      </c>
      <c r="F1194" s="16" t="s">
        <v>94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58</v>
      </c>
      <c r="C1195" s="9">
        <v>46266</v>
      </c>
      <c r="D1195">
        <v>7</v>
      </c>
      <c r="E1195" s="16" t="s">
        <v>93</v>
      </c>
      <c r="F1195" s="16" t="s">
        <v>94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58</v>
      </c>
      <c r="C1196" s="9">
        <v>45689</v>
      </c>
      <c r="D1196">
        <v>8</v>
      </c>
      <c r="E1196" s="16" t="s">
        <v>95</v>
      </c>
      <c r="F1196" s="16" t="s">
        <v>85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58</v>
      </c>
      <c r="C1197" s="9">
        <v>45717</v>
      </c>
      <c r="D1197">
        <v>8</v>
      </c>
      <c r="E1197" s="16" t="s">
        <v>95</v>
      </c>
      <c r="F1197" s="16" t="s">
        <v>85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58</v>
      </c>
      <c r="C1198" s="9">
        <v>45748</v>
      </c>
      <c r="D1198">
        <v>8</v>
      </c>
      <c r="E1198" s="16" t="s">
        <v>95</v>
      </c>
      <c r="F1198" s="16" t="s">
        <v>85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58</v>
      </c>
      <c r="C1199" s="9">
        <v>45778</v>
      </c>
      <c r="D1199">
        <v>8</v>
      </c>
      <c r="E1199" s="16" t="s">
        <v>95</v>
      </c>
      <c r="F1199" s="16" t="s">
        <v>85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58</v>
      </c>
      <c r="C1200" s="9">
        <v>45809</v>
      </c>
      <c r="D1200">
        <v>8</v>
      </c>
      <c r="E1200" s="16" t="s">
        <v>95</v>
      </c>
      <c r="F1200" s="16" t="s">
        <v>85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58</v>
      </c>
      <c r="C1201" s="9">
        <v>45839</v>
      </c>
      <c r="D1201">
        <v>8</v>
      </c>
      <c r="E1201" s="16" t="s">
        <v>95</v>
      </c>
      <c r="F1201" s="16" t="s">
        <v>85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58</v>
      </c>
      <c r="C1202" s="9">
        <v>45870</v>
      </c>
      <c r="D1202">
        <v>8</v>
      </c>
      <c r="E1202" s="16" t="s">
        <v>95</v>
      </c>
      <c r="F1202" s="16" t="s">
        <v>85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58</v>
      </c>
      <c r="C1203" s="9">
        <v>45901</v>
      </c>
      <c r="D1203">
        <v>8</v>
      </c>
      <c r="E1203" s="16" t="s">
        <v>95</v>
      </c>
      <c r="F1203" s="16" t="s">
        <v>85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58</v>
      </c>
      <c r="C1204" s="9">
        <v>45931</v>
      </c>
      <c r="D1204">
        <v>8</v>
      </c>
      <c r="E1204" s="16" t="s">
        <v>95</v>
      </c>
      <c r="F1204" s="16" t="s">
        <v>85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58</v>
      </c>
      <c r="C1205" s="9">
        <v>45962</v>
      </c>
      <c r="D1205">
        <v>8</v>
      </c>
      <c r="E1205" s="16" t="s">
        <v>95</v>
      </c>
      <c r="F1205" s="16" t="s">
        <v>85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58</v>
      </c>
      <c r="C1206" s="9">
        <v>45992</v>
      </c>
      <c r="D1206">
        <v>8</v>
      </c>
      <c r="E1206" s="16" t="s">
        <v>95</v>
      </c>
      <c r="F1206" s="16" t="s">
        <v>85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58</v>
      </c>
      <c r="C1207" s="9">
        <v>46023</v>
      </c>
      <c r="D1207">
        <v>8</v>
      </c>
      <c r="E1207" s="16" t="s">
        <v>95</v>
      </c>
      <c r="F1207" s="16" t="s">
        <v>85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58</v>
      </c>
      <c r="C1208" s="9">
        <v>46054</v>
      </c>
      <c r="D1208">
        <v>8</v>
      </c>
      <c r="E1208" s="16" t="s">
        <v>95</v>
      </c>
      <c r="F1208" s="16" t="s">
        <v>85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58</v>
      </c>
      <c r="C1209" s="9">
        <v>46082</v>
      </c>
      <c r="D1209">
        <v>8</v>
      </c>
      <c r="E1209" s="16" t="s">
        <v>95</v>
      </c>
      <c r="F1209" s="16" t="s">
        <v>85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58</v>
      </c>
      <c r="C1210" s="9">
        <v>46113</v>
      </c>
      <c r="D1210">
        <v>8</v>
      </c>
      <c r="E1210" s="16" t="s">
        <v>95</v>
      </c>
      <c r="F1210" s="16" t="s">
        <v>85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58</v>
      </c>
      <c r="C1211" s="9">
        <v>46143</v>
      </c>
      <c r="D1211">
        <v>8</v>
      </c>
      <c r="E1211" s="16" t="s">
        <v>95</v>
      </c>
      <c r="F1211" s="16" t="s">
        <v>85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58</v>
      </c>
      <c r="C1212" s="9">
        <v>46174</v>
      </c>
      <c r="D1212">
        <v>8</v>
      </c>
      <c r="E1212" s="16" t="s">
        <v>95</v>
      </c>
      <c r="F1212" s="16" t="s">
        <v>85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58</v>
      </c>
      <c r="C1213" s="9">
        <v>46204</v>
      </c>
      <c r="D1213">
        <v>8</v>
      </c>
      <c r="E1213" s="16" t="s">
        <v>95</v>
      </c>
      <c r="F1213" s="16" t="s">
        <v>85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58</v>
      </c>
      <c r="C1214" s="9">
        <v>46235</v>
      </c>
      <c r="D1214">
        <v>8</v>
      </c>
      <c r="E1214" s="16" t="s">
        <v>95</v>
      </c>
      <c r="F1214" s="16" t="s">
        <v>85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58</v>
      </c>
      <c r="C1215" s="9">
        <v>46266</v>
      </c>
      <c r="D1215">
        <v>8</v>
      </c>
      <c r="E1215" s="16" t="s">
        <v>95</v>
      </c>
      <c r="F1215" s="16" t="s">
        <v>85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58</v>
      </c>
      <c r="C1216" s="9">
        <v>45689</v>
      </c>
      <c r="D1216">
        <v>9</v>
      </c>
      <c r="E1216" s="16" t="s">
        <v>96</v>
      </c>
      <c r="F1216" s="16" t="s">
        <v>87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58</v>
      </c>
      <c r="C1217" s="9">
        <v>45717</v>
      </c>
      <c r="D1217">
        <v>9</v>
      </c>
      <c r="E1217" s="16" t="s">
        <v>96</v>
      </c>
      <c r="F1217" s="16" t="s">
        <v>87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58</v>
      </c>
      <c r="C1218" s="9">
        <v>45748</v>
      </c>
      <c r="D1218">
        <v>9</v>
      </c>
      <c r="E1218" s="16" t="s">
        <v>96</v>
      </c>
      <c r="F1218" s="16" t="s">
        <v>87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58</v>
      </c>
      <c r="C1219" s="9">
        <v>45778</v>
      </c>
      <c r="D1219">
        <v>9</v>
      </c>
      <c r="E1219" s="16" t="s">
        <v>96</v>
      </c>
      <c r="F1219" s="16" t="s">
        <v>87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58</v>
      </c>
      <c r="C1220" s="9">
        <v>45809</v>
      </c>
      <c r="D1220">
        <v>9</v>
      </c>
      <c r="E1220" s="16" t="s">
        <v>96</v>
      </c>
      <c r="F1220" s="16" t="s">
        <v>87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58</v>
      </c>
      <c r="C1221" s="9">
        <v>45839</v>
      </c>
      <c r="D1221">
        <v>9</v>
      </c>
      <c r="E1221" s="16" t="s">
        <v>96</v>
      </c>
      <c r="F1221" s="16" t="s">
        <v>87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58</v>
      </c>
      <c r="C1222" s="9">
        <v>45870</v>
      </c>
      <c r="D1222">
        <v>9</v>
      </c>
      <c r="E1222" s="16" t="s">
        <v>96</v>
      </c>
      <c r="F1222" s="16" t="s">
        <v>87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58</v>
      </c>
      <c r="C1223" s="9">
        <v>45901</v>
      </c>
      <c r="D1223">
        <v>9</v>
      </c>
      <c r="E1223" s="16" t="s">
        <v>96</v>
      </c>
      <c r="F1223" s="16" t="s">
        <v>87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58</v>
      </c>
      <c r="C1224" s="9">
        <v>45931</v>
      </c>
      <c r="D1224">
        <v>9</v>
      </c>
      <c r="E1224" s="16" t="s">
        <v>96</v>
      </c>
      <c r="F1224" s="16" t="s">
        <v>87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58</v>
      </c>
      <c r="C1225" s="9">
        <v>45962</v>
      </c>
      <c r="D1225">
        <v>9</v>
      </c>
      <c r="E1225" s="16" t="s">
        <v>96</v>
      </c>
      <c r="F1225" s="16" t="s">
        <v>87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58</v>
      </c>
      <c r="C1226" s="9">
        <v>45992</v>
      </c>
      <c r="D1226">
        <v>9</v>
      </c>
      <c r="E1226" s="16" t="s">
        <v>96</v>
      </c>
      <c r="F1226" s="16" t="s">
        <v>87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58</v>
      </c>
      <c r="C1227" s="9">
        <v>46023</v>
      </c>
      <c r="D1227">
        <v>9</v>
      </c>
      <c r="E1227" s="16" t="s">
        <v>96</v>
      </c>
      <c r="F1227" s="16" t="s">
        <v>87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58</v>
      </c>
      <c r="C1228" s="9">
        <v>46054</v>
      </c>
      <c r="D1228">
        <v>9</v>
      </c>
      <c r="E1228" s="16" t="s">
        <v>96</v>
      </c>
      <c r="F1228" s="16" t="s">
        <v>87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58</v>
      </c>
      <c r="C1229" s="9">
        <v>46082</v>
      </c>
      <c r="D1229">
        <v>9</v>
      </c>
      <c r="E1229" s="16" t="s">
        <v>96</v>
      </c>
      <c r="F1229" s="16" t="s">
        <v>87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58</v>
      </c>
      <c r="C1230" s="9">
        <v>46113</v>
      </c>
      <c r="D1230">
        <v>9</v>
      </c>
      <c r="E1230" s="16" t="s">
        <v>96</v>
      </c>
      <c r="F1230" s="16" t="s">
        <v>87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58</v>
      </c>
      <c r="C1231" s="9">
        <v>46143</v>
      </c>
      <c r="D1231">
        <v>9</v>
      </c>
      <c r="E1231" s="16" t="s">
        <v>96</v>
      </c>
      <c r="F1231" s="16" t="s">
        <v>87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58</v>
      </c>
      <c r="C1232" s="9">
        <v>46174</v>
      </c>
      <c r="D1232">
        <v>9</v>
      </c>
      <c r="E1232" s="16" t="s">
        <v>96</v>
      </c>
      <c r="F1232" s="16" t="s">
        <v>87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58</v>
      </c>
      <c r="C1233" s="9">
        <v>46204</v>
      </c>
      <c r="D1233">
        <v>9</v>
      </c>
      <c r="E1233" s="16" t="s">
        <v>96</v>
      </c>
      <c r="F1233" s="16" t="s">
        <v>87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58</v>
      </c>
      <c r="C1234" s="9">
        <v>46235</v>
      </c>
      <c r="D1234">
        <v>9</v>
      </c>
      <c r="E1234" s="16" t="s">
        <v>96</v>
      </c>
      <c r="F1234" s="16" t="s">
        <v>87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58</v>
      </c>
      <c r="C1235" s="9">
        <v>46266</v>
      </c>
      <c r="D1235">
        <v>9</v>
      </c>
      <c r="E1235" s="16" t="s">
        <v>96</v>
      </c>
      <c r="F1235" s="16" t="s">
        <v>87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58</v>
      </c>
      <c r="C1236" s="9">
        <v>45689</v>
      </c>
      <c r="D1236">
        <v>10</v>
      </c>
      <c r="E1236" s="16" t="s">
        <v>97</v>
      </c>
      <c r="F1236" s="16" t="s">
        <v>85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58</v>
      </c>
      <c r="C1237" s="9">
        <v>45717</v>
      </c>
      <c r="D1237">
        <v>10</v>
      </c>
      <c r="E1237" s="16" t="s">
        <v>97</v>
      </c>
      <c r="F1237" s="16" t="s">
        <v>85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58</v>
      </c>
      <c r="C1238" s="9">
        <v>45748</v>
      </c>
      <c r="D1238">
        <v>10</v>
      </c>
      <c r="E1238" s="16" t="s">
        <v>97</v>
      </c>
      <c r="F1238" s="16" t="s">
        <v>85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58</v>
      </c>
      <c r="C1239" s="9">
        <v>45778</v>
      </c>
      <c r="D1239">
        <v>10</v>
      </c>
      <c r="E1239" s="16" t="s">
        <v>97</v>
      </c>
      <c r="F1239" s="16" t="s">
        <v>85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58</v>
      </c>
      <c r="C1240" s="9">
        <v>45809</v>
      </c>
      <c r="D1240">
        <v>10</v>
      </c>
      <c r="E1240" s="16" t="s">
        <v>97</v>
      </c>
      <c r="F1240" s="16" t="s">
        <v>85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58</v>
      </c>
      <c r="C1241" s="9">
        <v>45839</v>
      </c>
      <c r="D1241">
        <v>10</v>
      </c>
      <c r="E1241" s="16" t="s">
        <v>97</v>
      </c>
      <c r="F1241" s="16" t="s">
        <v>85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58</v>
      </c>
      <c r="C1242" s="9">
        <v>45870</v>
      </c>
      <c r="D1242">
        <v>10</v>
      </c>
      <c r="E1242" s="16" t="s">
        <v>97</v>
      </c>
      <c r="F1242" s="16" t="s">
        <v>85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58</v>
      </c>
      <c r="C1243" s="9">
        <v>45901</v>
      </c>
      <c r="D1243">
        <v>10</v>
      </c>
      <c r="E1243" s="16" t="s">
        <v>97</v>
      </c>
      <c r="F1243" s="16" t="s">
        <v>85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58</v>
      </c>
      <c r="C1244" s="9">
        <v>45931</v>
      </c>
      <c r="D1244">
        <v>10</v>
      </c>
      <c r="E1244" s="16" t="s">
        <v>97</v>
      </c>
      <c r="F1244" s="16" t="s">
        <v>85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58</v>
      </c>
      <c r="C1245" s="9">
        <v>45962</v>
      </c>
      <c r="D1245">
        <v>10</v>
      </c>
      <c r="E1245" s="16" t="s">
        <v>97</v>
      </c>
      <c r="F1245" s="16" t="s">
        <v>85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58</v>
      </c>
      <c r="C1246" s="9">
        <v>45992</v>
      </c>
      <c r="D1246">
        <v>10</v>
      </c>
      <c r="E1246" s="16" t="s">
        <v>97</v>
      </c>
      <c r="F1246" s="16" t="s">
        <v>85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58</v>
      </c>
      <c r="C1247" s="9">
        <v>46023</v>
      </c>
      <c r="D1247">
        <v>10</v>
      </c>
      <c r="E1247" s="16" t="s">
        <v>97</v>
      </c>
      <c r="F1247" s="16" t="s">
        <v>85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58</v>
      </c>
      <c r="C1248" s="9">
        <v>46054</v>
      </c>
      <c r="D1248">
        <v>10</v>
      </c>
      <c r="E1248" s="16" t="s">
        <v>97</v>
      </c>
      <c r="F1248" s="16" t="s">
        <v>85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58</v>
      </c>
      <c r="C1249" s="9">
        <v>46082</v>
      </c>
      <c r="D1249">
        <v>10</v>
      </c>
      <c r="E1249" s="16" t="s">
        <v>97</v>
      </c>
      <c r="F1249" s="16" t="s">
        <v>85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58</v>
      </c>
      <c r="C1250" s="9">
        <v>46113</v>
      </c>
      <c r="D1250">
        <v>10</v>
      </c>
      <c r="E1250" s="16" t="s">
        <v>97</v>
      </c>
      <c r="F1250" s="16" t="s">
        <v>85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58</v>
      </c>
      <c r="C1251" s="9">
        <v>46143</v>
      </c>
      <c r="D1251">
        <v>10</v>
      </c>
      <c r="E1251" s="16" t="s">
        <v>97</v>
      </c>
      <c r="F1251" s="16" t="s">
        <v>85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58</v>
      </c>
      <c r="C1252" s="9">
        <v>46174</v>
      </c>
      <c r="D1252">
        <v>10</v>
      </c>
      <c r="E1252" s="16" t="s">
        <v>97</v>
      </c>
      <c r="F1252" s="16" t="s">
        <v>85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58</v>
      </c>
      <c r="C1253" s="9">
        <v>46204</v>
      </c>
      <c r="D1253">
        <v>10</v>
      </c>
      <c r="E1253" s="16" t="s">
        <v>97</v>
      </c>
      <c r="F1253" s="16" t="s">
        <v>85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58</v>
      </c>
      <c r="C1254" s="9">
        <v>46235</v>
      </c>
      <c r="D1254">
        <v>10</v>
      </c>
      <c r="E1254" s="16" t="s">
        <v>97</v>
      </c>
      <c r="F1254" s="16" t="s">
        <v>85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58</v>
      </c>
      <c r="C1255" s="9">
        <v>46266</v>
      </c>
      <c r="D1255">
        <v>10</v>
      </c>
      <c r="E1255" s="16" t="s">
        <v>97</v>
      </c>
      <c r="F1255" s="16" t="s">
        <v>85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58</v>
      </c>
      <c r="C1256" s="9">
        <v>45689</v>
      </c>
      <c r="D1256">
        <v>11</v>
      </c>
      <c r="E1256" s="16" t="s">
        <v>98</v>
      </c>
      <c r="F1256" s="16" t="s">
        <v>89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58</v>
      </c>
      <c r="C1257" s="9">
        <v>45717</v>
      </c>
      <c r="D1257">
        <v>11</v>
      </c>
      <c r="E1257" s="16" t="s">
        <v>98</v>
      </c>
      <c r="F1257" s="16" t="s">
        <v>89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58</v>
      </c>
      <c r="C1258" s="9">
        <v>45748</v>
      </c>
      <c r="D1258">
        <v>11</v>
      </c>
      <c r="E1258" s="16" t="s">
        <v>98</v>
      </c>
      <c r="F1258" s="16" t="s">
        <v>89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58</v>
      </c>
      <c r="C1259" s="9">
        <v>45778</v>
      </c>
      <c r="D1259">
        <v>11</v>
      </c>
      <c r="E1259" s="16" t="s">
        <v>98</v>
      </c>
      <c r="F1259" s="16" t="s">
        <v>89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58</v>
      </c>
      <c r="C1260" s="9">
        <v>45809</v>
      </c>
      <c r="D1260">
        <v>11</v>
      </c>
      <c r="E1260" s="16" t="s">
        <v>98</v>
      </c>
      <c r="F1260" s="16" t="s">
        <v>89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58</v>
      </c>
      <c r="C1261" s="9">
        <v>45839</v>
      </c>
      <c r="D1261">
        <v>11</v>
      </c>
      <c r="E1261" s="16" t="s">
        <v>98</v>
      </c>
      <c r="F1261" s="16" t="s">
        <v>89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58</v>
      </c>
      <c r="C1262" s="9">
        <v>45689</v>
      </c>
      <c r="D1262">
        <v>13</v>
      </c>
      <c r="E1262" s="16" t="s">
        <v>99</v>
      </c>
      <c r="F1262" s="16" t="s">
        <v>100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58</v>
      </c>
      <c r="C1263" s="9">
        <v>45717</v>
      </c>
      <c r="D1263">
        <v>13</v>
      </c>
      <c r="E1263" s="16" t="s">
        <v>99</v>
      </c>
      <c r="F1263" s="16" t="s">
        <v>100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58</v>
      </c>
      <c r="C1264" s="9">
        <v>45748</v>
      </c>
      <c r="D1264">
        <v>13</v>
      </c>
      <c r="E1264" s="16" t="s">
        <v>99</v>
      </c>
      <c r="F1264" s="16" t="s">
        <v>100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58</v>
      </c>
      <c r="C1265" s="9">
        <v>45778</v>
      </c>
      <c r="D1265">
        <v>13</v>
      </c>
      <c r="E1265" s="16" t="s">
        <v>99</v>
      </c>
      <c r="F1265" s="16" t="s">
        <v>100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58</v>
      </c>
      <c r="C1266" s="9">
        <v>45809</v>
      </c>
      <c r="D1266">
        <v>13</v>
      </c>
      <c r="E1266" s="16" t="s">
        <v>99</v>
      </c>
      <c r="F1266" s="16" t="s">
        <v>100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58</v>
      </c>
      <c r="C1267" s="9">
        <v>45839</v>
      </c>
      <c r="D1267">
        <v>13</v>
      </c>
      <c r="E1267" s="16" t="s">
        <v>99</v>
      </c>
      <c r="F1267" s="16" t="s">
        <v>100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58</v>
      </c>
      <c r="C1268" s="9">
        <v>45870</v>
      </c>
      <c r="D1268">
        <v>13</v>
      </c>
      <c r="E1268" s="16" t="s">
        <v>99</v>
      </c>
      <c r="F1268" s="16" t="s">
        <v>100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58</v>
      </c>
      <c r="C1269" s="9">
        <v>45901</v>
      </c>
      <c r="D1269">
        <v>13</v>
      </c>
      <c r="E1269" s="16" t="s">
        <v>99</v>
      </c>
      <c r="F1269" s="16" t="s">
        <v>100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58</v>
      </c>
      <c r="C1270" s="9">
        <v>45931</v>
      </c>
      <c r="D1270">
        <v>13</v>
      </c>
      <c r="E1270" s="16" t="s">
        <v>99</v>
      </c>
      <c r="F1270" s="16" t="s">
        <v>100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58</v>
      </c>
      <c r="C1271" s="9">
        <v>45962</v>
      </c>
      <c r="D1271">
        <v>13</v>
      </c>
      <c r="E1271" s="16" t="s">
        <v>99</v>
      </c>
      <c r="F1271" s="16" t="s">
        <v>100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58</v>
      </c>
      <c r="C1272" s="9">
        <v>45992</v>
      </c>
      <c r="D1272">
        <v>13</v>
      </c>
      <c r="E1272" s="16" t="s">
        <v>99</v>
      </c>
      <c r="F1272" s="16" t="s">
        <v>100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58</v>
      </c>
      <c r="C1273" s="9">
        <v>46023</v>
      </c>
      <c r="D1273">
        <v>13</v>
      </c>
      <c r="E1273" s="16" t="s">
        <v>99</v>
      </c>
      <c r="F1273" s="16" t="s">
        <v>100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58</v>
      </c>
      <c r="C1274" s="9">
        <v>46054</v>
      </c>
      <c r="D1274">
        <v>13</v>
      </c>
      <c r="E1274" s="16" t="s">
        <v>99</v>
      </c>
      <c r="F1274" s="16" t="s">
        <v>100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58</v>
      </c>
      <c r="C1275" s="9">
        <v>46082</v>
      </c>
      <c r="D1275">
        <v>13</v>
      </c>
      <c r="E1275" s="16" t="s">
        <v>99</v>
      </c>
      <c r="F1275" s="16" t="s">
        <v>100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58</v>
      </c>
      <c r="C1276" s="9">
        <v>46113</v>
      </c>
      <c r="D1276">
        <v>13</v>
      </c>
      <c r="E1276" s="16" t="s">
        <v>99</v>
      </c>
      <c r="F1276" s="16" t="s">
        <v>100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58</v>
      </c>
      <c r="C1277" s="9">
        <v>46143</v>
      </c>
      <c r="D1277">
        <v>13</v>
      </c>
      <c r="E1277" s="16" t="s">
        <v>99</v>
      </c>
      <c r="F1277" s="16" t="s">
        <v>100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58</v>
      </c>
      <c r="C1278" s="9">
        <v>46174</v>
      </c>
      <c r="D1278">
        <v>13</v>
      </c>
      <c r="E1278" s="16" t="s">
        <v>99</v>
      </c>
      <c r="F1278" s="16" t="s">
        <v>100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58</v>
      </c>
      <c r="C1279" s="9">
        <v>46204</v>
      </c>
      <c r="D1279">
        <v>13</v>
      </c>
      <c r="E1279" s="16" t="s">
        <v>99</v>
      </c>
      <c r="F1279" s="16" t="s">
        <v>100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58</v>
      </c>
      <c r="C1280" s="9">
        <v>46235</v>
      </c>
      <c r="D1280">
        <v>13</v>
      </c>
      <c r="E1280" s="16" t="s">
        <v>99</v>
      </c>
      <c r="F1280" s="16" t="s">
        <v>100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58</v>
      </c>
      <c r="C1281" s="9">
        <v>46266</v>
      </c>
      <c r="D1281">
        <v>13</v>
      </c>
      <c r="E1281" s="16" t="s">
        <v>99</v>
      </c>
      <c r="F1281" s="16" t="s">
        <v>100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58</v>
      </c>
      <c r="C1282" s="9">
        <v>45689</v>
      </c>
      <c r="D1282">
        <v>14</v>
      </c>
      <c r="E1282" s="16" t="s">
        <v>101</v>
      </c>
      <c r="F1282" s="16" t="s">
        <v>92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58</v>
      </c>
      <c r="C1283" s="9">
        <v>45717</v>
      </c>
      <c r="D1283">
        <v>14</v>
      </c>
      <c r="E1283" s="16" t="s">
        <v>101</v>
      </c>
      <c r="F1283" s="16" t="s">
        <v>92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58</v>
      </c>
      <c r="C1284" s="9">
        <v>45748</v>
      </c>
      <c r="D1284">
        <v>14</v>
      </c>
      <c r="E1284" s="16" t="s">
        <v>101</v>
      </c>
      <c r="F1284" s="16" t="s">
        <v>92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58</v>
      </c>
      <c r="C1285" s="9">
        <v>45778</v>
      </c>
      <c r="D1285">
        <v>14</v>
      </c>
      <c r="E1285" s="16" t="s">
        <v>101</v>
      </c>
      <c r="F1285" s="16" t="s">
        <v>92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58</v>
      </c>
      <c r="C1286" s="9">
        <v>45809</v>
      </c>
      <c r="D1286">
        <v>14</v>
      </c>
      <c r="E1286" s="16" t="s">
        <v>101</v>
      </c>
      <c r="F1286" s="16" t="s">
        <v>92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58</v>
      </c>
      <c r="C1287" s="9">
        <v>45839</v>
      </c>
      <c r="D1287">
        <v>14</v>
      </c>
      <c r="E1287" s="16" t="s">
        <v>101</v>
      </c>
      <c r="F1287" s="16" t="s">
        <v>92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58</v>
      </c>
      <c r="C1288" s="9">
        <v>45870</v>
      </c>
      <c r="D1288">
        <v>14</v>
      </c>
      <c r="E1288" s="16" t="s">
        <v>101</v>
      </c>
      <c r="F1288" s="16" t="s">
        <v>92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58</v>
      </c>
      <c r="C1289" s="9">
        <v>45901</v>
      </c>
      <c r="D1289">
        <v>14</v>
      </c>
      <c r="E1289" s="16" t="s">
        <v>101</v>
      </c>
      <c r="F1289" s="16" t="s">
        <v>92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58</v>
      </c>
      <c r="C1290" s="9">
        <v>45931</v>
      </c>
      <c r="D1290">
        <v>14</v>
      </c>
      <c r="E1290" s="16" t="s">
        <v>101</v>
      </c>
      <c r="F1290" s="16" t="s">
        <v>92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58</v>
      </c>
      <c r="C1291" s="9">
        <v>45962</v>
      </c>
      <c r="D1291">
        <v>14</v>
      </c>
      <c r="E1291" s="16" t="s">
        <v>101</v>
      </c>
      <c r="F1291" s="16" t="s">
        <v>92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58</v>
      </c>
      <c r="C1292" s="9">
        <v>45992</v>
      </c>
      <c r="D1292">
        <v>14</v>
      </c>
      <c r="E1292" s="16" t="s">
        <v>101</v>
      </c>
      <c r="F1292" s="16" t="s">
        <v>92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58</v>
      </c>
      <c r="C1293" s="9">
        <v>46023</v>
      </c>
      <c r="D1293">
        <v>14</v>
      </c>
      <c r="E1293" s="16" t="s">
        <v>101</v>
      </c>
      <c r="F1293" s="16" t="s">
        <v>92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58</v>
      </c>
      <c r="C1294" s="9">
        <v>46054</v>
      </c>
      <c r="D1294">
        <v>14</v>
      </c>
      <c r="E1294" s="16" t="s">
        <v>101</v>
      </c>
      <c r="F1294" s="16" t="s">
        <v>92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58</v>
      </c>
      <c r="C1295" s="9">
        <v>46082</v>
      </c>
      <c r="D1295">
        <v>14</v>
      </c>
      <c r="E1295" s="16" t="s">
        <v>101</v>
      </c>
      <c r="F1295" s="16" t="s">
        <v>92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58</v>
      </c>
      <c r="C1296" s="9">
        <v>46113</v>
      </c>
      <c r="D1296">
        <v>14</v>
      </c>
      <c r="E1296" s="16" t="s">
        <v>101</v>
      </c>
      <c r="F1296" s="16" t="s">
        <v>92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58</v>
      </c>
      <c r="C1297" s="9">
        <v>46143</v>
      </c>
      <c r="D1297">
        <v>14</v>
      </c>
      <c r="E1297" s="16" t="s">
        <v>101</v>
      </c>
      <c r="F1297" s="16" t="s">
        <v>92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58</v>
      </c>
      <c r="C1298" s="9">
        <v>46174</v>
      </c>
      <c r="D1298">
        <v>14</v>
      </c>
      <c r="E1298" s="16" t="s">
        <v>101</v>
      </c>
      <c r="F1298" s="16" t="s">
        <v>92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58</v>
      </c>
      <c r="C1299" s="9">
        <v>46204</v>
      </c>
      <c r="D1299">
        <v>14</v>
      </c>
      <c r="E1299" s="16" t="s">
        <v>101</v>
      </c>
      <c r="F1299" s="16" t="s">
        <v>92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58</v>
      </c>
      <c r="C1300" s="9">
        <v>46235</v>
      </c>
      <c r="D1300">
        <v>14</v>
      </c>
      <c r="E1300" s="16" t="s">
        <v>101</v>
      </c>
      <c r="F1300" s="16" t="s">
        <v>92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58</v>
      </c>
      <c r="C1301" s="9">
        <v>46266</v>
      </c>
      <c r="D1301">
        <v>14</v>
      </c>
      <c r="E1301" s="16" t="s">
        <v>101</v>
      </c>
      <c r="F1301" s="16" t="s">
        <v>92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58</v>
      </c>
      <c r="C1302" s="9">
        <v>45689</v>
      </c>
      <c r="D1302">
        <v>15</v>
      </c>
      <c r="E1302" s="16" t="s">
        <v>102</v>
      </c>
      <c r="F1302" s="16" t="s">
        <v>94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58</v>
      </c>
      <c r="C1303" s="9">
        <v>45717</v>
      </c>
      <c r="D1303">
        <v>15</v>
      </c>
      <c r="E1303" s="16" t="s">
        <v>102</v>
      </c>
      <c r="F1303" s="16" t="s">
        <v>94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58</v>
      </c>
      <c r="C1304" s="9">
        <v>45748</v>
      </c>
      <c r="D1304">
        <v>15</v>
      </c>
      <c r="E1304" s="16" t="s">
        <v>102</v>
      </c>
      <c r="F1304" s="16" t="s">
        <v>94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58</v>
      </c>
      <c r="C1305" s="9">
        <v>45778</v>
      </c>
      <c r="D1305">
        <v>15</v>
      </c>
      <c r="E1305" s="16" t="s">
        <v>102</v>
      </c>
      <c r="F1305" s="16" t="s">
        <v>94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58</v>
      </c>
      <c r="C1306" s="9">
        <v>45809</v>
      </c>
      <c r="D1306">
        <v>15</v>
      </c>
      <c r="E1306" s="16" t="s">
        <v>102</v>
      </c>
      <c r="F1306" s="16" t="s">
        <v>94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58</v>
      </c>
      <c r="C1307" s="9">
        <v>45839</v>
      </c>
      <c r="D1307">
        <v>15</v>
      </c>
      <c r="E1307" s="16" t="s">
        <v>102</v>
      </c>
      <c r="F1307" s="16" t="s">
        <v>94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58</v>
      </c>
      <c r="C1308" s="9">
        <v>45870</v>
      </c>
      <c r="D1308">
        <v>15</v>
      </c>
      <c r="E1308" s="16" t="s">
        <v>102</v>
      </c>
      <c r="F1308" s="16" t="s">
        <v>94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58</v>
      </c>
      <c r="C1309" s="9">
        <v>45901</v>
      </c>
      <c r="D1309">
        <v>15</v>
      </c>
      <c r="E1309" s="16" t="s">
        <v>102</v>
      </c>
      <c r="F1309" s="16" t="s">
        <v>94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58</v>
      </c>
      <c r="C1310" s="9">
        <v>45931</v>
      </c>
      <c r="D1310">
        <v>15</v>
      </c>
      <c r="E1310" s="16" t="s">
        <v>102</v>
      </c>
      <c r="F1310" s="16" t="s">
        <v>94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58</v>
      </c>
      <c r="C1311" s="9">
        <v>45962</v>
      </c>
      <c r="D1311">
        <v>15</v>
      </c>
      <c r="E1311" s="16" t="s">
        <v>102</v>
      </c>
      <c r="F1311" s="16" t="s">
        <v>94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58</v>
      </c>
      <c r="C1312" s="9">
        <v>45992</v>
      </c>
      <c r="D1312">
        <v>15</v>
      </c>
      <c r="E1312" s="16" t="s">
        <v>102</v>
      </c>
      <c r="F1312" s="16" t="s">
        <v>94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58</v>
      </c>
      <c r="C1313" s="9">
        <v>46023</v>
      </c>
      <c r="D1313">
        <v>15</v>
      </c>
      <c r="E1313" s="16" t="s">
        <v>102</v>
      </c>
      <c r="F1313" s="16" t="s">
        <v>94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58</v>
      </c>
      <c r="C1314" s="9">
        <v>46054</v>
      </c>
      <c r="D1314">
        <v>15</v>
      </c>
      <c r="E1314" s="16" t="s">
        <v>102</v>
      </c>
      <c r="F1314" s="16" t="s">
        <v>94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58</v>
      </c>
      <c r="C1315" s="9">
        <v>46082</v>
      </c>
      <c r="D1315">
        <v>15</v>
      </c>
      <c r="E1315" s="16" t="s">
        <v>102</v>
      </c>
      <c r="F1315" s="16" t="s">
        <v>94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58</v>
      </c>
      <c r="C1316" s="9">
        <v>46113</v>
      </c>
      <c r="D1316">
        <v>15</v>
      </c>
      <c r="E1316" s="16" t="s">
        <v>102</v>
      </c>
      <c r="F1316" s="16" t="s">
        <v>94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58</v>
      </c>
      <c r="C1317" s="9">
        <v>46143</v>
      </c>
      <c r="D1317">
        <v>15</v>
      </c>
      <c r="E1317" s="16" t="s">
        <v>102</v>
      </c>
      <c r="F1317" s="16" t="s">
        <v>94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58</v>
      </c>
      <c r="C1318" s="9">
        <v>46174</v>
      </c>
      <c r="D1318">
        <v>15</v>
      </c>
      <c r="E1318" s="16" t="s">
        <v>102</v>
      </c>
      <c r="F1318" s="16" t="s">
        <v>94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58</v>
      </c>
      <c r="C1319" s="9">
        <v>46204</v>
      </c>
      <c r="D1319">
        <v>15</v>
      </c>
      <c r="E1319" s="16" t="s">
        <v>102</v>
      </c>
      <c r="F1319" s="16" t="s">
        <v>94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58</v>
      </c>
      <c r="C1320" s="9">
        <v>46235</v>
      </c>
      <c r="D1320">
        <v>15</v>
      </c>
      <c r="E1320" s="16" t="s">
        <v>102</v>
      </c>
      <c r="F1320" s="16" t="s">
        <v>94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58</v>
      </c>
      <c r="C1321" s="9">
        <v>46266</v>
      </c>
      <c r="D1321">
        <v>15</v>
      </c>
      <c r="E1321" s="16" t="s">
        <v>102</v>
      </c>
      <c r="F1321" s="16" t="s">
        <v>94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58</v>
      </c>
      <c r="C1322" s="9">
        <v>45689</v>
      </c>
      <c r="D1322">
        <v>16</v>
      </c>
      <c r="E1322" s="16" t="s">
        <v>103</v>
      </c>
      <c r="F1322" s="16" t="s">
        <v>94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58</v>
      </c>
      <c r="C1323" s="9">
        <v>45717</v>
      </c>
      <c r="D1323">
        <v>16</v>
      </c>
      <c r="E1323" s="16" t="s">
        <v>103</v>
      </c>
      <c r="F1323" s="16" t="s">
        <v>94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58</v>
      </c>
      <c r="C1324" s="9">
        <v>45748</v>
      </c>
      <c r="D1324">
        <v>16</v>
      </c>
      <c r="E1324" s="16" t="s">
        <v>103</v>
      </c>
      <c r="F1324" s="16" t="s">
        <v>94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58</v>
      </c>
      <c r="C1325" s="9">
        <v>45778</v>
      </c>
      <c r="D1325">
        <v>16</v>
      </c>
      <c r="E1325" s="16" t="s">
        <v>103</v>
      </c>
      <c r="F1325" s="16" t="s">
        <v>94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58</v>
      </c>
      <c r="C1326" s="9">
        <v>45809</v>
      </c>
      <c r="D1326">
        <v>16</v>
      </c>
      <c r="E1326" s="16" t="s">
        <v>103</v>
      </c>
      <c r="F1326" s="16" t="s">
        <v>94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58</v>
      </c>
      <c r="C1327" s="9">
        <v>45839</v>
      </c>
      <c r="D1327">
        <v>16</v>
      </c>
      <c r="E1327" s="16" t="s">
        <v>103</v>
      </c>
      <c r="F1327" s="16" t="s">
        <v>94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58</v>
      </c>
      <c r="C1328" s="9">
        <v>45870</v>
      </c>
      <c r="D1328">
        <v>16</v>
      </c>
      <c r="E1328" s="16" t="s">
        <v>103</v>
      </c>
      <c r="F1328" s="16" t="s">
        <v>94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58</v>
      </c>
      <c r="C1329" s="9">
        <v>45901</v>
      </c>
      <c r="D1329">
        <v>16</v>
      </c>
      <c r="E1329" s="16" t="s">
        <v>103</v>
      </c>
      <c r="F1329" s="16" t="s">
        <v>94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58</v>
      </c>
      <c r="C1330" s="9">
        <v>45931</v>
      </c>
      <c r="D1330">
        <v>16</v>
      </c>
      <c r="E1330" s="16" t="s">
        <v>103</v>
      </c>
      <c r="F1330" s="16" t="s">
        <v>94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58</v>
      </c>
      <c r="C1331" s="9">
        <v>45962</v>
      </c>
      <c r="D1331">
        <v>16</v>
      </c>
      <c r="E1331" s="16" t="s">
        <v>103</v>
      </c>
      <c r="F1331" s="16" t="s">
        <v>94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58</v>
      </c>
      <c r="C1332" s="9">
        <v>45992</v>
      </c>
      <c r="D1332">
        <v>16</v>
      </c>
      <c r="E1332" s="16" t="s">
        <v>103</v>
      </c>
      <c r="F1332" s="16" t="s">
        <v>94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58</v>
      </c>
      <c r="C1333" s="9">
        <v>46023</v>
      </c>
      <c r="D1333">
        <v>16</v>
      </c>
      <c r="E1333" s="16" t="s">
        <v>103</v>
      </c>
      <c r="F1333" s="16" t="s">
        <v>94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58</v>
      </c>
      <c r="C1334" s="9">
        <v>46054</v>
      </c>
      <c r="D1334">
        <v>16</v>
      </c>
      <c r="E1334" s="16" t="s">
        <v>103</v>
      </c>
      <c r="F1334" s="16" t="s">
        <v>94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58</v>
      </c>
      <c r="C1335" s="9">
        <v>46082</v>
      </c>
      <c r="D1335">
        <v>16</v>
      </c>
      <c r="E1335" s="16" t="s">
        <v>103</v>
      </c>
      <c r="F1335" s="16" t="s">
        <v>94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58</v>
      </c>
      <c r="C1336" s="9">
        <v>46113</v>
      </c>
      <c r="D1336">
        <v>16</v>
      </c>
      <c r="E1336" s="16" t="s">
        <v>103</v>
      </c>
      <c r="F1336" s="16" t="s">
        <v>94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58</v>
      </c>
      <c r="C1337" s="9">
        <v>46143</v>
      </c>
      <c r="D1337">
        <v>16</v>
      </c>
      <c r="E1337" s="16" t="s">
        <v>103</v>
      </c>
      <c r="F1337" s="16" t="s">
        <v>94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58</v>
      </c>
      <c r="C1338" s="9">
        <v>46174</v>
      </c>
      <c r="D1338">
        <v>16</v>
      </c>
      <c r="E1338" s="16" t="s">
        <v>103</v>
      </c>
      <c r="F1338" s="16" t="s">
        <v>94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58</v>
      </c>
      <c r="C1339" s="9">
        <v>46204</v>
      </c>
      <c r="D1339">
        <v>16</v>
      </c>
      <c r="E1339" s="16" t="s">
        <v>103</v>
      </c>
      <c r="F1339" s="16" t="s">
        <v>94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58</v>
      </c>
      <c r="C1340" s="9">
        <v>46235</v>
      </c>
      <c r="D1340">
        <v>16</v>
      </c>
      <c r="E1340" s="16" t="s">
        <v>103</v>
      </c>
      <c r="F1340" s="16" t="s">
        <v>94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58</v>
      </c>
      <c r="C1341" s="9">
        <v>46266</v>
      </c>
      <c r="D1341">
        <v>16</v>
      </c>
      <c r="E1341" s="16" t="s">
        <v>103</v>
      </c>
      <c r="F1341" s="16" t="s">
        <v>94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58</v>
      </c>
      <c r="C1342" s="9">
        <v>45689</v>
      </c>
      <c r="D1342">
        <v>19</v>
      </c>
      <c r="E1342" s="16" t="s">
        <v>107</v>
      </c>
      <c r="F1342" s="16" t="s">
        <v>108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58</v>
      </c>
      <c r="C1343" s="9">
        <v>45717</v>
      </c>
      <c r="D1343">
        <v>19</v>
      </c>
      <c r="E1343" s="16" t="s">
        <v>107</v>
      </c>
      <c r="F1343" s="16" t="s">
        <v>108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58</v>
      </c>
      <c r="C1344" s="9">
        <v>45748</v>
      </c>
      <c r="D1344">
        <v>19</v>
      </c>
      <c r="E1344" s="16" t="s">
        <v>107</v>
      </c>
      <c r="F1344" s="16" t="s">
        <v>108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58</v>
      </c>
      <c r="C1345" s="9">
        <v>45778</v>
      </c>
      <c r="D1345">
        <v>19</v>
      </c>
      <c r="E1345" s="16" t="s">
        <v>107</v>
      </c>
      <c r="F1345" s="16" t="s">
        <v>108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58</v>
      </c>
      <c r="C1346" s="9">
        <v>45809</v>
      </c>
      <c r="D1346">
        <v>19</v>
      </c>
      <c r="E1346" s="16" t="s">
        <v>107</v>
      </c>
      <c r="F1346" s="16" t="s">
        <v>108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58</v>
      </c>
      <c r="C1347" s="9">
        <v>45839</v>
      </c>
      <c r="D1347">
        <v>19</v>
      </c>
      <c r="E1347" s="16" t="s">
        <v>107</v>
      </c>
      <c r="F1347" s="16" t="s">
        <v>108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58</v>
      </c>
      <c r="C1348" s="9">
        <v>45870</v>
      </c>
      <c r="D1348">
        <v>19</v>
      </c>
      <c r="E1348" s="16" t="s">
        <v>107</v>
      </c>
      <c r="F1348" s="16" t="s">
        <v>108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58</v>
      </c>
      <c r="C1349" s="9">
        <v>45901</v>
      </c>
      <c r="D1349">
        <v>19</v>
      </c>
      <c r="E1349" s="16" t="s">
        <v>107</v>
      </c>
      <c r="F1349" s="16" t="s">
        <v>108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58</v>
      </c>
      <c r="C1350" s="9">
        <v>45931</v>
      </c>
      <c r="D1350">
        <v>19</v>
      </c>
      <c r="E1350" s="16" t="s">
        <v>107</v>
      </c>
      <c r="F1350" s="16" t="s">
        <v>108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58</v>
      </c>
      <c r="C1351" s="9">
        <v>45962</v>
      </c>
      <c r="D1351">
        <v>19</v>
      </c>
      <c r="E1351" s="16" t="s">
        <v>107</v>
      </c>
      <c r="F1351" s="16" t="s">
        <v>108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58</v>
      </c>
      <c r="C1352" s="9">
        <v>45992</v>
      </c>
      <c r="D1352">
        <v>19</v>
      </c>
      <c r="E1352" s="16" t="s">
        <v>107</v>
      </c>
      <c r="F1352" s="16" t="s">
        <v>108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58</v>
      </c>
      <c r="C1353" s="9">
        <v>46023</v>
      </c>
      <c r="D1353">
        <v>19</v>
      </c>
      <c r="E1353" s="16" t="s">
        <v>107</v>
      </c>
      <c r="F1353" s="16" t="s">
        <v>108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58</v>
      </c>
      <c r="C1354" s="9">
        <v>46054</v>
      </c>
      <c r="D1354">
        <v>19</v>
      </c>
      <c r="E1354" s="16" t="s">
        <v>107</v>
      </c>
      <c r="F1354" s="16" t="s">
        <v>108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58</v>
      </c>
      <c r="C1355" s="9">
        <v>46082</v>
      </c>
      <c r="D1355">
        <v>19</v>
      </c>
      <c r="E1355" s="16" t="s">
        <v>107</v>
      </c>
      <c r="F1355" s="16" t="s">
        <v>108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58</v>
      </c>
      <c r="C1356" s="9">
        <v>46113</v>
      </c>
      <c r="D1356">
        <v>19</v>
      </c>
      <c r="E1356" s="16" t="s">
        <v>107</v>
      </c>
      <c r="F1356" s="16" t="s">
        <v>108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58</v>
      </c>
      <c r="C1357" s="9">
        <v>46143</v>
      </c>
      <c r="D1357">
        <v>19</v>
      </c>
      <c r="E1357" s="16" t="s">
        <v>107</v>
      </c>
      <c r="F1357" s="16" t="s">
        <v>108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58</v>
      </c>
      <c r="C1358" s="9">
        <v>46174</v>
      </c>
      <c r="D1358">
        <v>19</v>
      </c>
      <c r="E1358" s="16" t="s">
        <v>107</v>
      </c>
      <c r="F1358" s="16" t="s">
        <v>108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58</v>
      </c>
      <c r="C1359" s="9">
        <v>46204</v>
      </c>
      <c r="D1359">
        <v>19</v>
      </c>
      <c r="E1359" s="16" t="s">
        <v>107</v>
      </c>
      <c r="F1359" s="16" t="s">
        <v>108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58</v>
      </c>
      <c r="C1360" s="9">
        <v>46235</v>
      </c>
      <c r="D1360">
        <v>19</v>
      </c>
      <c r="E1360" s="16" t="s">
        <v>107</v>
      </c>
      <c r="F1360" s="16" t="s">
        <v>108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58</v>
      </c>
      <c r="C1361" s="9">
        <v>46266</v>
      </c>
      <c r="D1361">
        <v>19</v>
      </c>
      <c r="E1361" s="16" t="s">
        <v>107</v>
      </c>
      <c r="F1361" s="16" t="s">
        <v>108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58</v>
      </c>
      <c r="C1362" s="9">
        <v>45717</v>
      </c>
      <c r="D1362">
        <v>20</v>
      </c>
      <c r="E1362" s="16" t="s">
        <v>109</v>
      </c>
      <c r="F1362" s="16" t="s">
        <v>110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58</v>
      </c>
      <c r="C1363" s="9">
        <v>45809</v>
      </c>
      <c r="D1363">
        <v>20</v>
      </c>
      <c r="E1363" s="16" t="s">
        <v>109</v>
      </c>
      <c r="F1363" s="16" t="s">
        <v>110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58</v>
      </c>
      <c r="C1364" s="9">
        <v>45901</v>
      </c>
      <c r="D1364">
        <v>20</v>
      </c>
      <c r="E1364" s="16" t="s">
        <v>109</v>
      </c>
      <c r="F1364" s="16" t="s">
        <v>110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58</v>
      </c>
      <c r="C1365" s="9">
        <v>45992</v>
      </c>
      <c r="D1365">
        <v>20</v>
      </c>
      <c r="E1365" s="16" t="s">
        <v>109</v>
      </c>
      <c r="F1365" s="16" t="s">
        <v>110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58</v>
      </c>
      <c r="C1366" s="9">
        <v>46082</v>
      </c>
      <c r="D1366">
        <v>20</v>
      </c>
      <c r="E1366" s="16" t="s">
        <v>109</v>
      </c>
      <c r="F1366" s="16" t="s">
        <v>110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58</v>
      </c>
      <c r="C1367" s="9">
        <v>46174</v>
      </c>
      <c r="D1367">
        <v>20</v>
      </c>
      <c r="E1367" s="16" t="s">
        <v>109</v>
      </c>
      <c r="F1367" s="16" t="s">
        <v>110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58</v>
      </c>
      <c r="C1368" s="9">
        <v>46266</v>
      </c>
      <c r="D1368">
        <v>20</v>
      </c>
      <c r="E1368" s="16" t="s">
        <v>109</v>
      </c>
      <c r="F1368" s="16" t="s">
        <v>110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58</v>
      </c>
      <c r="C1369" s="9">
        <v>45689</v>
      </c>
      <c r="D1369">
        <v>21</v>
      </c>
      <c r="E1369" s="16" t="s">
        <v>111</v>
      </c>
      <c r="F1369" s="16" t="s">
        <v>85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58</v>
      </c>
      <c r="C1370" s="9">
        <v>45717</v>
      </c>
      <c r="D1370">
        <v>21</v>
      </c>
      <c r="E1370" s="16" t="s">
        <v>111</v>
      </c>
      <c r="F1370" s="16" t="s">
        <v>85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58</v>
      </c>
      <c r="C1371" s="9">
        <v>45748</v>
      </c>
      <c r="D1371">
        <v>21</v>
      </c>
      <c r="E1371" s="16" t="s">
        <v>111</v>
      </c>
      <c r="F1371" s="16" t="s">
        <v>85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58</v>
      </c>
      <c r="C1372" s="9">
        <v>45778</v>
      </c>
      <c r="D1372">
        <v>21</v>
      </c>
      <c r="E1372" s="16" t="s">
        <v>111</v>
      </c>
      <c r="F1372" s="16" t="s">
        <v>85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58</v>
      </c>
      <c r="C1373" s="9">
        <v>45809</v>
      </c>
      <c r="D1373">
        <v>21</v>
      </c>
      <c r="E1373" s="16" t="s">
        <v>111</v>
      </c>
      <c r="F1373" s="16" t="s">
        <v>85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58</v>
      </c>
      <c r="C1374" s="9">
        <v>45839</v>
      </c>
      <c r="D1374">
        <v>21</v>
      </c>
      <c r="E1374" s="16" t="s">
        <v>111</v>
      </c>
      <c r="F1374" s="16" t="s">
        <v>85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58</v>
      </c>
      <c r="C1375" s="9">
        <v>45870</v>
      </c>
      <c r="D1375">
        <v>21</v>
      </c>
      <c r="E1375" s="16" t="s">
        <v>111</v>
      </c>
      <c r="F1375" s="16" t="s">
        <v>85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58</v>
      </c>
      <c r="C1376" s="9">
        <v>45901</v>
      </c>
      <c r="D1376">
        <v>21</v>
      </c>
      <c r="E1376" s="16" t="s">
        <v>111</v>
      </c>
      <c r="F1376" s="16" t="s">
        <v>85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58</v>
      </c>
      <c r="C1377" s="9">
        <v>45931</v>
      </c>
      <c r="D1377">
        <v>21</v>
      </c>
      <c r="E1377" s="16" t="s">
        <v>111</v>
      </c>
      <c r="F1377" s="16" t="s">
        <v>85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58</v>
      </c>
      <c r="C1378" s="9">
        <v>45962</v>
      </c>
      <c r="D1378">
        <v>21</v>
      </c>
      <c r="E1378" s="16" t="s">
        <v>111</v>
      </c>
      <c r="F1378" s="16" t="s">
        <v>85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58</v>
      </c>
      <c r="C1379" s="9">
        <v>45992</v>
      </c>
      <c r="D1379">
        <v>21</v>
      </c>
      <c r="E1379" s="16" t="s">
        <v>111</v>
      </c>
      <c r="F1379" s="16" t="s">
        <v>85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58</v>
      </c>
      <c r="C1380" s="9">
        <v>46023</v>
      </c>
      <c r="D1380">
        <v>21</v>
      </c>
      <c r="E1380" s="16" t="s">
        <v>111</v>
      </c>
      <c r="F1380" s="16" t="s">
        <v>85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58</v>
      </c>
      <c r="C1381" s="9">
        <v>46054</v>
      </c>
      <c r="D1381">
        <v>21</v>
      </c>
      <c r="E1381" s="16" t="s">
        <v>111</v>
      </c>
      <c r="F1381" s="16" t="s">
        <v>85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58</v>
      </c>
      <c r="C1382" s="9">
        <v>46082</v>
      </c>
      <c r="D1382">
        <v>21</v>
      </c>
      <c r="E1382" s="16" t="s">
        <v>111</v>
      </c>
      <c r="F1382" s="16" t="s">
        <v>85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58</v>
      </c>
      <c r="C1383" s="9">
        <v>46113</v>
      </c>
      <c r="D1383">
        <v>21</v>
      </c>
      <c r="E1383" s="16" t="s">
        <v>111</v>
      </c>
      <c r="F1383" s="16" t="s">
        <v>85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58</v>
      </c>
      <c r="C1384" s="9">
        <v>46143</v>
      </c>
      <c r="D1384">
        <v>21</v>
      </c>
      <c r="E1384" s="16" t="s">
        <v>111</v>
      </c>
      <c r="F1384" s="16" t="s">
        <v>85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58</v>
      </c>
      <c r="C1385" s="9">
        <v>46174</v>
      </c>
      <c r="D1385">
        <v>21</v>
      </c>
      <c r="E1385" s="16" t="s">
        <v>111</v>
      </c>
      <c r="F1385" s="16" t="s">
        <v>85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58</v>
      </c>
      <c r="C1386" s="9">
        <v>46204</v>
      </c>
      <c r="D1386">
        <v>21</v>
      </c>
      <c r="E1386" s="16" t="s">
        <v>111</v>
      </c>
      <c r="F1386" s="16" t="s">
        <v>85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58</v>
      </c>
      <c r="C1387" s="9">
        <v>46235</v>
      </c>
      <c r="D1387">
        <v>21</v>
      </c>
      <c r="E1387" s="16" t="s">
        <v>111</v>
      </c>
      <c r="F1387" s="16" t="s">
        <v>85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58</v>
      </c>
      <c r="C1388" s="9">
        <v>46266</v>
      </c>
      <c r="D1388">
        <v>21</v>
      </c>
      <c r="E1388" s="16" t="s">
        <v>111</v>
      </c>
      <c r="F1388" s="16" t="s">
        <v>85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58</v>
      </c>
      <c r="C1389" s="9">
        <v>45689</v>
      </c>
      <c r="D1389">
        <v>22</v>
      </c>
      <c r="E1389" s="16" t="s">
        <v>112</v>
      </c>
      <c r="F1389" s="16" t="s">
        <v>92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58</v>
      </c>
      <c r="C1390" s="9">
        <v>45717</v>
      </c>
      <c r="D1390">
        <v>22</v>
      </c>
      <c r="E1390" s="16" t="s">
        <v>112</v>
      </c>
      <c r="F1390" s="16" t="s">
        <v>92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58</v>
      </c>
      <c r="C1391" s="9">
        <v>45748</v>
      </c>
      <c r="D1391">
        <v>22</v>
      </c>
      <c r="E1391" s="16" t="s">
        <v>112</v>
      </c>
      <c r="F1391" s="16" t="s">
        <v>92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58</v>
      </c>
      <c r="C1392" s="9">
        <v>45778</v>
      </c>
      <c r="D1392">
        <v>22</v>
      </c>
      <c r="E1392" s="16" t="s">
        <v>112</v>
      </c>
      <c r="F1392" s="16" t="s">
        <v>92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58</v>
      </c>
      <c r="C1393" s="9">
        <v>45809</v>
      </c>
      <c r="D1393">
        <v>22</v>
      </c>
      <c r="E1393" s="16" t="s">
        <v>112</v>
      </c>
      <c r="F1393" s="16" t="s">
        <v>92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58</v>
      </c>
      <c r="C1394" s="9">
        <v>45839</v>
      </c>
      <c r="D1394">
        <v>22</v>
      </c>
      <c r="E1394" s="16" t="s">
        <v>112</v>
      </c>
      <c r="F1394" s="16" t="s">
        <v>92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58</v>
      </c>
      <c r="C1395" s="9">
        <v>45870</v>
      </c>
      <c r="D1395">
        <v>22</v>
      </c>
      <c r="E1395" s="16" t="s">
        <v>112</v>
      </c>
      <c r="F1395" s="16" t="s">
        <v>92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58</v>
      </c>
      <c r="C1396" s="9">
        <v>45901</v>
      </c>
      <c r="D1396">
        <v>22</v>
      </c>
      <c r="E1396" s="16" t="s">
        <v>112</v>
      </c>
      <c r="F1396" s="16" t="s">
        <v>92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58</v>
      </c>
      <c r="C1397" s="9">
        <v>45931</v>
      </c>
      <c r="D1397">
        <v>22</v>
      </c>
      <c r="E1397" s="16" t="s">
        <v>112</v>
      </c>
      <c r="F1397" s="16" t="s">
        <v>92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58</v>
      </c>
      <c r="C1398" s="9">
        <v>45962</v>
      </c>
      <c r="D1398">
        <v>22</v>
      </c>
      <c r="E1398" s="16" t="s">
        <v>112</v>
      </c>
      <c r="F1398" s="16" t="s">
        <v>92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58</v>
      </c>
      <c r="C1399" s="9">
        <v>45992</v>
      </c>
      <c r="D1399">
        <v>22</v>
      </c>
      <c r="E1399" s="16" t="s">
        <v>112</v>
      </c>
      <c r="F1399" s="16" t="s">
        <v>92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58</v>
      </c>
      <c r="C1400" s="9">
        <v>46023</v>
      </c>
      <c r="D1400">
        <v>22</v>
      </c>
      <c r="E1400" s="16" t="s">
        <v>112</v>
      </c>
      <c r="F1400" s="16" t="s">
        <v>92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58</v>
      </c>
      <c r="C1401" s="9">
        <v>46054</v>
      </c>
      <c r="D1401">
        <v>22</v>
      </c>
      <c r="E1401" s="16" t="s">
        <v>112</v>
      </c>
      <c r="F1401" s="16" t="s">
        <v>92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58</v>
      </c>
      <c r="C1402" s="9">
        <v>46082</v>
      </c>
      <c r="D1402">
        <v>22</v>
      </c>
      <c r="E1402" s="16" t="s">
        <v>112</v>
      </c>
      <c r="F1402" s="16" t="s">
        <v>92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58</v>
      </c>
      <c r="C1403" s="9">
        <v>46113</v>
      </c>
      <c r="D1403">
        <v>22</v>
      </c>
      <c r="E1403" s="16" t="s">
        <v>112</v>
      </c>
      <c r="F1403" s="16" t="s">
        <v>92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58</v>
      </c>
      <c r="C1404" s="9">
        <v>46143</v>
      </c>
      <c r="D1404">
        <v>22</v>
      </c>
      <c r="E1404" s="16" t="s">
        <v>112</v>
      </c>
      <c r="F1404" s="16" t="s">
        <v>92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58</v>
      </c>
      <c r="C1405" s="9">
        <v>46174</v>
      </c>
      <c r="D1405">
        <v>22</v>
      </c>
      <c r="E1405" s="16" t="s">
        <v>112</v>
      </c>
      <c r="F1405" s="16" t="s">
        <v>92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58</v>
      </c>
      <c r="C1406" s="9">
        <v>46204</v>
      </c>
      <c r="D1406">
        <v>22</v>
      </c>
      <c r="E1406" s="16" t="s">
        <v>112</v>
      </c>
      <c r="F1406" s="16" t="s">
        <v>92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58</v>
      </c>
      <c r="C1407" s="9">
        <v>46235</v>
      </c>
      <c r="D1407">
        <v>22</v>
      </c>
      <c r="E1407" s="16" t="s">
        <v>112</v>
      </c>
      <c r="F1407" s="16" t="s">
        <v>92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58</v>
      </c>
      <c r="C1408" s="9">
        <v>46266</v>
      </c>
      <c r="D1408">
        <v>22</v>
      </c>
      <c r="E1408" s="16" t="s">
        <v>112</v>
      </c>
      <c r="F1408" s="16" t="s">
        <v>92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58</v>
      </c>
      <c r="C1409" s="9">
        <v>45689</v>
      </c>
      <c r="D1409">
        <v>23</v>
      </c>
      <c r="E1409" s="16" t="s">
        <v>113</v>
      </c>
      <c r="F1409" s="16" t="s">
        <v>94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58</v>
      </c>
      <c r="C1410" s="9">
        <v>45717</v>
      </c>
      <c r="D1410">
        <v>23</v>
      </c>
      <c r="E1410" s="16" t="s">
        <v>113</v>
      </c>
      <c r="F1410" s="16" t="s">
        <v>94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58</v>
      </c>
      <c r="C1411" s="9">
        <v>45748</v>
      </c>
      <c r="D1411">
        <v>23</v>
      </c>
      <c r="E1411" s="16" t="s">
        <v>113</v>
      </c>
      <c r="F1411" s="16" t="s">
        <v>94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58</v>
      </c>
      <c r="C1412" s="9">
        <v>45778</v>
      </c>
      <c r="D1412">
        <v>23</v>
      </c>
      <c r="E1412" s="16" t="s">
        <v>113</v>
      </c>
      <c r="F1412" s="16" t="s">
        <v>94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58</v>
      </c>
      <c r="C1413" s="9">
        <v>45809</v>
      </c>
      <c r="D1413">
        <v>23</v>
      </c>
      <c r="E1413" s="16" t="s">
        <v>113</v>
      </c>
      <c r="F1413" s="16" t="s">
        <v>94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58</v>
      </c>
      <c r="C1414" s="9">
        <v>45839</v>
      </c>
      <c r="D1414">
        <v>23</v>
      </c>
      <c r="E1414" s="16" t="s">
        <v>113</v>
      </c>
      <c r="F1414" s="16" t="s">
        <v>94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58</v>
      </c>
      <c r="C1415" s="9">
        <v>45689</v>
      </c>
      <c r="D1415">
        <v>26</v>
      </c>
      <c r="E1415" s="16" t="s">
        <v>117</v>
      </c>
      <c r="F1415" s="16" t="s">
        <v>92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58</v>
      </c>
      <c r="C1416" s="9">
        <v>45717</v>
      </c>
      <c r="D1416">
        <v>26</v>
      </c>
      <c r="E1416" s="16" t="s">
        <v>117</v>
      </c>
      <c r="F1416" s="16" t="s">
        <v>92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58</v>
      </c>
      <c r="C1417" s="9">
        <v>45748</v>
      </c>
      <c r="D1417">
        <v>26</v>
      </c>
      <c r="E1417" s="16" t="s">
        <v>117</v>
      </c>
      <c r="F1417" s="16" t="s">
        <v>92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58</v>
      </c>
      <c r="C1418" s="9">
        <v>45778</v>
      </c>
      <c r="D1418">
        <v>26</v>
      </c>
      <c r="E1418" s="16" t="s">
        <v>117</v>
      </c>
      <c r="F1418" s="16" t="s">
        <v>92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58</v>
      </c>
      <c r="C1419" s="9">
        <v>45809</v>
      </c>
      <c r="D1419">
        <v>26</v>
      </c>
      <c r="E1419" s="16" t="s">
        <v>117</v>
      </c>
      <c r="F1419" s="16" t="s">
        <v>92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58</v>
      </c>
      <c r="C1420" s="9">
        <v>45839</v>
      </c>
      <c r="D1420">
        <v>26</v>
      </c>
      <c r="E1420" s="16" t="s">
        <v>117</v>
      </c>
      <c r="F1420" s="16" t="s">
        <v>92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58</v>
      </c>
      <c r="C1421" s="9">
        <v>45870</v>
      </c>
      <c r="D1421">
        <v>26</v>
      </c>
      <c r="E1421" s="16" t="s">
        <v>117</v>
      </c>
      <c r="F1421" s="16" t="s">
        <v>92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58</v>
      </c>
      <c r="C1422" s="9">
        <v>45931</v>
      </c>
      <c r="D1422">
        <v>26</v>
      </c>
      <c r="E1422" s="16" t="s">
        <v>117</v>
      </c>
      <c r="F1422" s="16" t="s">
        <v>92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58</v>
      </c>
      <c r="C1423" s="9">
        <v>45962</v>
      </c>
      <c r="D1423">
        <v>26</v>
      </c>
      <c r="E1423" s="16" t="s">
        <v>117</v>
      </c>
      <c r="F1423" s="16" t="s">
        <v>92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58</v>
      </c>
      <c r="C1424" s="9">
        <v>45992</v>
      </c>
      <c r="D1424">
        <v>26</v>
      </c>
      <c r="E1424" s="16" t="s">
        <v>117</v>
      </c>
      <c r="F1424" s="16" t="s">
        <v>92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58</v>
      </c>
      <c r="C1425" s="9">
        <v>46023</v>
      </c>
      <c r="D1425">
        <v>26</v>
      </c>
      <c r="E1425" s="16" t="s">
        <v>117</v>
      </c>
      <c r="F1425" s="16" t="s">
        <v>92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58</v>
      </c>
      <c r="C1426" s="9">
        <v>46054</v>
      </c>
      <c r="D1426">
        <v>26</v>
      </c>
      <c r="E1426" s="16" t="s">
        <v>117</v>
      </c>
      <c r="F1426" s="16" t="s">
        <v>92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58</v>
      </c>
      <c r="C1427" s="9">
        <v>46082</v>
      </c>
      <c r="D1427">
        <v>26</v>
      </c>
      <c r="E1427" s="16" t="s">
        <v>117</v>
      </c>
      <c r="F1427" s="16" t="s">
        <v>92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58</v>
      </c>
      <c r="C1428" s="9">
        <v>46143</v>
      </c>
      <c r="D1428">
        <v>26</v>
      </c>
      <c r="E1428" s="16" t="s">
        <v>117</v>
      </c>
      <c r="F1428" s="16" t="s">
        <v>92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58</v>
      </c>
      <c r="C1429" s="9">
        <v>46174</v>
      </c>
      <c r="D1429">
        <v>26</v>
      </c>
      <c r="E1429" s="16" t="s">
        <v>117</v>
      </c>
      <c r="F1429" s="16" t="s">
        <v>92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58</v>
      </c>
      <c r="C1430" s="9">
        <v>46235</v>
      </c>
      <c r="D1430">
        <v>26</v>
      </c>
      <c r="E1430" s="16" t="s">
        <v>117</v>
      </c>
      <c r="F1430" s="16" t="s">
        <v>92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58</v>
      </c>
      <c r="C1431" s="9">
        <v>46266</v>
      </c>
      <c r="D1431">
        <v>26</v>
      </c>
      <c r="E1431" s="16" t="s">
        <v>117</v>
      </c>
      <c r="F1431" s="16" t="s">
        <v>92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58</v>
      </c>
      <c r="C1432" s="9">
        <v>45689</v>
      </c>
      <c r="D1432">
        <v>27</v>
      </c>
      <c r="E1432" s="16" t="s">
        <v>118</v>
      </c>
      <c r="F1432" s="16" t="s">
        <v>92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58</v>
      </c>
      <c r="C1433" s="9">
        <v>45717</v>
      </c>
      <c r="D1433">
        <v>27</v>
      </c>
      <c r="E1433" s="16" t="s">
        <v>118</v>
      </c>
      <c r="F1433" s="16" t="s">
        <v>92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58</v>
      </c>
      <c r="C1434" s="9">
        <v>45748</v>
      </c>
      <c r="D1434">
        <v>27</v>
      </c>
      <c r="E1434" s="16" t="s">
        <v>118</v>
      </c>
      <c r="F1434" s="16" t="s">
        <v>92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58</v>
      </c>
      <c r="C1435" s="9">
        <v>45778</v>
      </c>
      <c r="D1435">
        <v>27</v>
      </c>
      <c r="E1435" s="16" t="s">
        <v>118</v>
      </c>
      <c r="F1435" s="16" t="s">
        <v>92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58</v>
      </c>
      <c r="C1436" s="9">
        <v>45809</v>
      </c>
      <c r="D1436">
        <v>27</v>
      </c>
      <c r="E1436" s="16" t="s">
        <v>118</v>
      </c>
      <c r="F1436" s="16" t="s">
        <v>92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58</v>
      </c>
      <c r="C1437" s="9">
        <v>45839</v>
      </c>
      <c r="D1437">
        <v>27</v>
      </c>
      <c r="E1437" s="16" t="s">
        <v>118</v>
      </c>
      <c r="F1437" s="16" t="s">
        <v>92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58</v>
      </c>
      <c r="C1438" s="9">
        <v>45870</v>
      </c>
      <c r="D1438">
        <v>27</v>
      </c>
      <c r="E1438" s="16" t="s">
        <v>118</v>
      </c>
      <c r="F1438" s="16" t="s">
        <v>92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58</v>
      </c>
      <c r="C1439" s="9">
        <v>45901</v>
      </c>
      <c r="D1439">
        <v>27</v>
      </c>
      <c r="E1439" s="16" t="s">
        <v>118</v>
      </c>
      <c r="F1439" s="16" t="s">
        <v>92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58</v>
      </c>
      <c r="C1440" s="9">
        <v>45931</v>
      </c>
      <c r="D1440">
        <v>27</v>
      </c>
      <c r="E1440" s="16" t="s">
        <v>118</v>
      </c>
      <c r="F1440" s="16" t="s">
        <v>92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58</v>
      </c>
      <c r="C1441" s="9">
        <v>45962</v>
      </c>
      <c r="D1441">
        <v>27</v>
      </c>
      <c r="E1441" s="16" t="s">
        <v>118</v>
      </c>
      <c r="F1441" s="16" t="s">
        <v>92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58</v>
      </c>
      <c r="C1442" s="9">
        <v>45992</v>
      </c>
      <c r="D1442">
        <v>27</v>
      </c>
      <c r="E1442" s="16" t="s">
        <v>118</v>
      </c>
      <c r="F1442" s="16" t="s">
        <v>92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58</v>
      </c>
      <c r="C1443" s="9">
        <v>46023</v>
      </c>
      <c r="D1443">
        <v>27</v>
      </c>
      <c r="E1443" s="16" t="s">
        <v>118</v>
      </c>
      <c r="F1443" s="16" t="s">
        <v>92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58</v>
      </c>
      <c r="C1444" s="9">
        <v>46054</v>
      </c>
      <c r="D1444">
        <v>27</v>
      </c>
      <c r="E1444" s="16" t="s">
        <v>118</v>
      </c>
      <c r="F1444" s="16" t="s">
        <v>92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58</v>
      </c>
      <c r="C1445" s="9">
        <v>46082</v>
      </c>
      <c r="D1445">
        <v>27</v>
      </c>
      <c r="E1445" s="16" t="s">
        <v>118</v>
      </c>
      <c r="F1445" s="16" t="s">
        <v>92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58</v>
      </c>
      <c r="C1446" s="9">
        <v>46113</v>
      </c>
      <c r="D1446">
        <v>27</v>
      </c>
      <c r="E1446" s="16" t="s">
        <v>118</v>
      </c>
      <c r="F1446" s="16" t="s">
        <v>92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58</v>
      </c>
      <c r="C1447" s="9">
        <v>46143</v>
      </c>
      <c r="D1447">
        <v>27</v>
      </c>
      <c r="E1447" s="16" t="s">
        <v>118</v>
      </c>
      <c r="F1447" s="16" t="s">
        <v>92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58</v>
      </c>
      <c r="C1448" s="9">
        <v>46174</v>
      </c>
      <c r="D1448">
        <v>27</v>
      </c>
      <c r="E1448" s="16" t="s">
        <v>118</v>
      </c>
      <c r="F1448" s="16" t="s">
        <v>92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58</v>
      </c>
      <c r="C1449" s="9">
        <v>46204</v>
      </c>
      <c r="D1449">
        <v>27</v>
      </c>
      <c r="E1449" s="16" t="s">
        <v>118</v>
      </c>
      <c r="F1449" s="16" t="s">
        <v>92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58</v>
      </c>
      <c r="C1450" s="9">
        <v>46235</v>
      </c>
      <c r="D1450">
        <v>27</v>
      </c>
      <c r="E1450" s="16" t="s">
        <v>118</v>
      </c>
      <c r="F1450" s="16" t="s">
        <v>92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58</v>
      </c>
      <c r="C1451" s="9">
        <v>46266</v>
      </c>
      <c r="D1451">
        <v>27</v>
      </c>
      <c r="E1451" s="16" t="s">
        <v>118</v>
      </c>
      <c r="F1451" s="16" t="s">
        <v>92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58</v>
      </c>
      <c r="C1452" s="9">
        <v>45689</v>
      </c>
      <c r="D1452">
        <v>28</v>
      </c>
      <c r="E1452" s="16" t="s">
        <v>119</v>
      </c>
      <c r="F1452" s="16" t="s">
        <v>94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58</v>
      </c>
      <c r="C1453" s="9">
        <v>45717</v>
      </c>
      <c r="D1453">
        <v>28</v>
      </c>
      <c r="E1453" s="16" t="s">
        <v>119</v>
      </c>
      <c r="F1453" s="16" t="s">
        <v>94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58</v>
      </c>
      <c r="C1454" s="9">
        <v>45748</v>
      </c>
      <c r="D1454">
        <v>28</v>
      </c>
      <c r="E1454" s="16" t="s">
        <v>119</v>
      </c>
      <c r="F1454" s="16" t="s">
        <v>94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58</v>
      </c>
      <c r="C1455" s="9">
        <v>45778</v>
      </c>
      <c r="D1455">
        <v>28</v>
      </c>
      <c r="E1455" s="16" t="s">
        <v>119</v>
      </c>
      <c r="F1455" s="16" t="s">
        <v>94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58</v>
      </c>
      <c r="C1456" s="9">
        <v>45809</v>
      </c>
      <c r="D1456">
        <v>28</v>
      </c>
      <c r="E1456" s="16" t="s">
        <v>119</v>
      </c>
      <c r="F1456" s="16" t="s">
        <v>94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58</v>
      </c>
      <c r="C1457" s="9">
        <v>45839</v>
      </c>
      <c r="D1457">
        <v>28</v>
      </c>
      <c r="E1457" s="16" t="s">
        <v>119</v>
      </c>
      <c r="F1457" s="16" t="s">
        <v>94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58</v>
      </c>
      <c r="C1458" s="9">
        <v>45870</v>
      </c>
      <c r="D1458">
        <v>28</v>
      </c>
      <c r="E1458" s="16" t="s">
        <v>119</v>
      </c>
      <c r="F1458" s="16" t="s">
        <v>94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58</v>
      </c>
      <c r="C1459" s="9">
        <v>45901</v>
      </c>
      <c r="D1459">
        <v>28</v>
      </c>
      <c r="E1459" s="16" t="s">
        <v>119</v>
      </c>
      <c r="F1459" s="16" t="s">
        <v>94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58</v>
      </c>
      <c r="C1460" s="9">
        <v>45931</v>
      </c>
      <c r="D1460">
        <v>28</v>
      </c>
      <c r="E1460" s="16" t="s">
        <v>119</v>
      </c>
      <c r="F1460" s="16" t="s">
        <v>94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58</v>
      </c>
      <c r="C1461" s="9">
        <v>45962</v>
      </c>
      <c r="D1461">
        <v>28</v>
      </c>
      <c r="E1461" s="16" t="s">
        <v>119</v>
      </c>
      <c r="F1461" s="16" t="s">
        <v>94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58</v>
      </c>
      <c r="C1462" s="9">
        <v>45992</v>
      </c>
      <c r="D1462">
        <v>28</v>
      </c>
      <c r="E1462" s="16" t="s">
        <v>119</v>
      </c>
      <c r="F1462" s="16" t="s">
        <v>94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58</v>
      </c>
      <c r="C1463" s="9">
        <v>46023</v>
      </c>
      <c r="D1463">
        <v>28</v>
      </c>
      <c r="E1463" s="16" t="s">
        <v>119</v>
      </c>
      <c r="F1463" s="16" t="s">
        <v>94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58</v>
      </c>
      <c r="C1464" s="9">
        <v>46054</v>
      </c>
      <c r="D1464">
        <v>28</v>
      </c>
      <c r="E1464" s="16" t="s">
        <v>119</v>
      </c>
      <c r="F1464" s="16" t="s">
        <v>94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58</v>
      </c>
      <c r="C1465" s="9">
        <v>46082</v>
      </c>
      <c r="D1465">
        <v>28</v>
      </c>
      <c r="E1465" s="16" t="s">
        <v>119</v>
      </c>
      <c r="F1465" s="16" t="s">
        <v>94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58</v>
      </c>
      <c r="C1466" s="9">
        <v>46113</v>
      </c>
      <c r="D1466">
        <v>28</v>
      </c>
      <c r="E1466" s="16" t="s">
        <v>119</v>
      </c>
      <c r="F1466" s="16" t="s">
        <v>94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58</v>
      </c>
      <c r="C1467" s="9">
        <v>46143</v>
      </c>
      <c r="D1467">
        <v>28</v>
      </c>
      <c r="E1467" s="16" t="s">
        <v>119</v>
      </c>
      <c r="F1467" s="16" t="s">
        <v>94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58</v>
      </c>
      <c r="C1468" s="9">
        <v>46174</v>
      </c>
      <c r="D1468">
        <v>28</v>
      </c>
      <c r="E1468" s="16" t="s">
        <v>119</v>
      </c>
      <c r="F1468" s="16" t="s">
        <v>94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58</v>
      </c>
      <c r="C1469" s="9">
        <v>46204</v>
      </c>
      <c r="D1469">
        <v>28</v>
      </c>
      <c r="E1469" s="16" t="s">
        <v>119</v>
      </c>
      <c r="F1469" s="16" t="s">
        <v>94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58</v>
      </c>
      <c r="C1470" s="9">
        <v>46235</v>
      </c>
      <c r="D1470">
        <v>28</v>
      </c>
      <c r="E1470" s="16" t="s">
        <v>119</v>
      </c>
      <c r="F1470" s="16" t="s">
        <v>94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58</v>
      </c>
      <c r="C1471" s="9">
        <v>46266</v>
      </c>
      <c r="D1471">
        <v>28</v>
      </c>
      <c r="E1471" s="16" t="s">
        <v>119</v>
      </c>
      <c r="F1471" s="16" t="s">
        <v>94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58</v>
      </c>
      <c r="C1472" s="9">
        <v>45689</v>
      </c>
      <c r="D1472">
        <v>31</v>
      </c>
      <c r="E1472" s="16" t="s">
        <v>122</v>
      </c>
      <c r="F1472" s="16" t="s">
        <v>94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58</v>
      </c>
      <c r="C1473" s="9">
        <v>45717</v>
      </c>
      <c r="D1473">
        <v>31</v>
      </c>
      <c r="E1473" s="16" t="s">
        <v>122</v>
      </c>
      <c r="F1473" s="16" t="s">
        <v>94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58</v>
      </c>
      <c r="C1474" s="9">
        <v>45748</v>
      </c>
      <c r="D1474">
        <v>31</v>
      </c>
      <c r="E1474" s="16" t="s">
        <v>122</v>
      </c>
      <c r="F1474" s="16" t="s">
        <v>94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58</v>
      </c>
      <c r="C1475" s="9">
        <v>45778</v>
      </c>
      <c r="D1475">
        <v>31</v>
      </c>
      <c r="E1475" s="16" t="s">
        <v>122</v>
      </c>
      <c r="F1475" s="16" t="s">
        <v>94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58</v>
      </c>
      <c r="C1476" s="9">
        <v>45809</v>
      </c>
      <c r="D1476">
        <v>31</v>
      </c>
      <c r="E1476" s="16" t="s">
        <v>122</v>
      </c>
      <c r="F1476" s="16" t="s">
        <v>94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58</v>
      </c>
      <c r="C1477" s="9">
        <v>45839</v>
      </c>
      <c r="D1477">
        <v>31</v>
      </c>
      <c r="E1477" s="16" t="s">
        <v>122</v>
      </c>
      <c r="F1477" s="16" t="s">
        <v>94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58</v>
      </c>
      <c r="C1478" s="9">
        <v>45870</v>
      </c>
      <c r="D1478">
        <v>31</v>
      </c>
      <c r="E1478" s="16" t="s">
        <v>122</v>
      </c>
      <c r="F1478" s="16" t="s">
        <v>94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58</v>
      </c>
      <c r="C1479" s="9">
        <v>45901</v>
      </c>
      <c r="D1479">
        <v>31</v>
      </c>
      <c r="E1479" s="16" t="s">
        <v>122</v>
      </c>
      <c r="F1479" s="16" t="s">
        <v>94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58</v>
      </c>
      <c r="C1480" s="9">
        <v>45931</v>
      </c>
      <c r="D1480">
        <v>31</v>
      </c>
      <c r="E1480" s="16" t="s">
        <v>122</v>
      </c>
      <c r="F1480" s="16" t="s">
        <v>94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58</v>
      </c>
      <c r="C1481" s="9">
        <v>45962</v>
      </c>
      <c r="D1481">
        <v>31</v>
      </c>
      <c r="E1481" s="16" t="s">
        <v>122</v>
      </c>
      <c r="F1481" s="16" t="s">
        <v>94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58</v>
      </c>
      <c r="C1482" s="9">
        <v>45992</v>
      </c>
      <c r="D1482">
        <v>31</v>
      </c>
      <c r="E1482" s="16" t="s">
        <v>122</v>
      </c>
      <c r="F1482" s="16" t="s">
        <v>94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58</v>
      </c>
      <c r="C1483" s="9">
        <v>46023</v>
      </c>
      <c r="D1483">
        <v>31</v>
      </c>
      <c r="E1483" s="16" t="s">
        <v>122</v>
      </c>
      <c r="F1483" s="16" t="s">
        <v>94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58</v>
      </c>
      <c r="C1484" s="9">
        <v>46054</v>
      </c>
      <c r="D1484">
        <v>31</v>
      </c>
      <c r="E1484" s="16" t="s">
        <v>122</v>
      </c>
      <c r="F1484" s="16" t="s">
        <v>94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58</v>
      </c>
      <c r="C1485" s="9">
        <v>46082</v>
      </c>
      <c r="D1485">
        <v>31</v>
      </c>
      <c r="E1485" s="16" t="s">
        <v>122</v>
      </c>
      <c r="F1485" s="16" t="s">
        <v>94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58</v>
      </c>
      <c r="C1486" s="9">
        <v>46113</v>
      </c>
      <c r="D1486">
        <v>31</v>
      </c>
      <c r="E1486" s="16" t="s">
        <v>122</v>
      </c>
      <c r="F1486" s="16" t="s">
        <v>94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58</v>
      </c>
      <c r="C1487" s="9">
        <v>46143</v>
      </c>
      <c r="D1487">
        <v>31</v>
      </c>
      <c r="E1487" s="16" t="s">
        <v>122</v>
      </c>
      <c r="F1487" s="16" t="s">
        <v>94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58</v>
      </c>
      <c r="C1488" s="9">
        <v>46174</v>
      </c>
      <c r="D1488">
        <v>31</v>
      </c>
      <c r="E1488" s="16" t="s">
        <v>122</v>
      </c>
      <c r="F1488" s="16" t="s">
        <v>94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58</v>
      </c>
      <c r="C1489" s="9">
        <v>46204</v>
      </c>
      <c r="D1489">
        <v>31</v>
      </c>
      <c r="E1489" s="16" t="s">
        <v>122</v>
      </c>
      <c r="F1489" s="16" t="s">
        <v>94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58</v>
      </c>
      <c r="C1490" s="9">
        <v>46235</v>
      </c>
      <c r="D1490">
        <v>31</v>
      </c>
      <c r="E1490" s="16" t="s">
        <v>122</v>
      </c>
      <c r="F1490" s="16" t="s">
        <v>94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58</v>
      </c>
      <c r="C1491" s="9">
        <v>46266</v>
      </c>
      <c r="D1491">
        <v>31</v>
      </c>
      <c r="E1491" s="16" t="s">
        <v>122</v>
      </c>
      <c r="F1491" s="16" t="s">
        <v>94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58</v>
      </c>
      <c r="C1492" s="9">
        <v>45689</v>
      </c>
      <c r="D1492">
        <v>32</v>
      </c>
      <c r="E1492" s="16" t="s">
        <v>123</v>
      </c>
      <c r="F1492" s="16" t="s">
        <v>94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58</v>
      </c>
      <c r="C1493" s="9">
        <v>45717</v>
      </c>
      <c r="D1493">
        <v>32</v>
      </c>
      <c r="E1493" s="16" t="s">
        <v>123</v>
      </c>
      <c r="F1493" s="16" t="s">
        <v>94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58</v>
      </c>
      <c r="C1494" s="9">
        <v>45748</v>
      </c>
      <c r="D1494">
        <v>32</v>
      </c>
      <c r="E1494" s="16" t="s">
        <v>123</v>
      </c>
      <c r="F1494" s="16" t="s">
        <v>94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58</v>
      </c>
      <c r="C1495" s="9">
        <v>45778</v>
      </c>
      <c r="D1495">
        <v>32</v>
      </c>
      <c r="E1495" s="16" t="s">
        <v>123</v>
      </c>
      <c r="F1495" s="16" t="s">
        <v>94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58</v>
      </c>
      <c r="C1496" s="9">
        <v>45809</v>
      </c>
      <c r="D1496">
        <v>32</v>
      </c>
      <c r="E1496" s="16" t="s">
        <v>123</v>
      </c>
      <c r="F1496" s="16" t="s">
        <v>94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58</v>
      </c>
      <c r="C1497" s="9">
        <v>45839</v>
      </c>
      <c r="D1497">
        <v>32</v>
      </c>
      <c r="E1497" s="16" t="s">
        <v>123</v>
      </c>
      <c r="F1497" s="16" t="s">
        <v>94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58</v>
      </c>
      <c r="C1498" s="9">
        <v>45870</v>
      </c>
      <c r="D1498">
        <v>32</v>
      </c>
      <c r="E1498" s="16" t="s">
        <v>123</v>
      </c>
      <c r="F1498" s="16" t="s">
        <v>94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58</v>
      </c>
      <c r="C1499" s="9">
        <v>45901</v>
      </c>
      <c r="D1499">
        <v>32</v>
      </c>
      <c r="E1499" s="16" t="s">
        <v>123</v>
      </c>
      <c r="F1499" s="16" t="s">
        <v>94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58</v>
      </c>
      <c r="C1500" s="9">
        <v>45931</v>
      </c>
      <c r="D1500">
        <v>32</v>
      </c>
      <c r="E1500" s="16" t="s">
        <v>123</v>
      </c>
      <c r="F1500" s="16" t="s">
        <v>94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58</v>
      </c>
      <c r="C1501" s="9">
        <v>45962</v>
      </c>
      <c r="D1501">
        <v>32</v>
      </c>
      <c r="E1501" s="16" t="s">
        <v>123</v>
      </c>
      <c r="F1501" s="16" t="s">
        <v>94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58</v>
      </c>
      <c r="C1502" s="9">
        <v>45992</v>
      </c>
      <c r="D1502">
        <v>32</v>
      </c>
      <c r="E1502" s="16" t="s">
        <v>123</v>
      </c>
      <c r="F1502" s="16" t="s">
        <v>94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58</v>
      </c>
      <c r="C1503" s="9">
        <v>46023</v>
      </c>
      <c r="D1503">
        <v>32</v>
      </c>
      <c r="E1503" s="16" t="s">
        <v>123</v>
      </c>
      <c r="F1503" s="16" t="s">
        <v>94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58</v>
      </c>
      <c r="C1504" s="9">
        <v>46054</v>
      </c>
      <c r="D1504">
        <v>32</v>
      </c>
      <c r="E1504" s="16" t="s">
        <v>123</v>
      </c>
      <c r="F1504" s="16" t="s">
        <v>94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58</v>
      </c>
      <c r="C1505" s="9">
        <v>46082</v>
      </c>
      <c r="D1505">
        <v>32</v>
      </c>
      <c r="E1505" s="16" t="s">
        <v>123</v>
      </c>
      <c r="F1505" s="16" t="s">
        <v>94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58</v>
      </c>
      <c r="C1506" s="9">
        <v>46113</v>
      </c>
      <c r="D1506">
        <v>32</v>
      </c>
      <c r="E1506" s="16" t="s">
        <v>123</v>
      </c>
      <c r="F1506" s="16" t="s">
        <v>94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58</v>
      </c>
      <c r="C1507" s="9">
        <v>46143</v>
      </c>
      <c r="D1507">
        <v>32</v>
      </c>
      <c r="E1507" s="16" t="s">
        <v>123</v>
      </c>
      <c r="F1507" s="16" t="s">
        <v>94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58</v>
      </c>
      <c r="C1508" s="9">
        <v>46174</v>
      </c>
      <c r="D1508">
        <v>32</v>
      </c>
      <c r="E1508" s="16" t="s">
        <v>123</v>
      </c>
      <c r="F1508" s="16" t="s">
        <v>94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58</v>
      </c>
      <c r="C1509" s="9">
        <v>46204</v>
      </c>
      <c r="D1509">
        <v>32</v>
      </c>
      <c r="E1509" s="16" t="s">
        <v>123</v>
      </c>
      <c r="F1509" s="16" t="s">
        <v>94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58</v>
      </c>
      <c r="C1510" s="9">
        <v>46235</v>
      </c>
      <c r="D1510">
        <v>32</v>
      </c>
      <c r="E1510" s="16" t="s">
        <v>123</v>
      </c>
      <c r="F1510" s="16" t="s">
        <v>94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58</v>
      </c>
      <c r="C1511" s="9">
        <v>46266</v>
      </c>
      <c r="D1511">
        <v>32</v>
      </c>
      <c r="E1511" s="16" t="s">
        <v>123</v>
      </c>
      <c r="F1511" s="16" t="s">
        <v>94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58</v>
      </c>
      <c r="C1512" s="9">
        <v>45689</v>
      </c>
      <c r="D1512">
        <v>33</v>
      </c>
      <c r="E1512" s="16" t="s">
        <v>124</v>
      </c>
      <c r="F1512" s="16" t="s">
        <v>94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58</v>
      </c>
      <c r="C1513" s="9">
        <v>45717</v>
      </c>
      <c r="D1513">
        <v>33</v>
      </c>
      <c r="E1513" s="16" t="s">
        <v>124</v>
      </c>
      <c r="F1513" s="16" t="s">
        <v>94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58</v>
      </c>
      <c r="C1514" s="9">
        <v>45748</v>
      </c>
      <c r="D1514">
        <v>33</v>
      </c>
      <c r="E1514" s="16" t="s">
        <v>124</v>
      </c>
      <c r="F1514" s="16" t="s">
        <v>94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58</v>
      </c>
      <c r="C1515" s="9">
        <v>45778</v>
      </c>
      <c r="D1515">
        <v>33</v>
      </c>
      <c r="E1515" s="16" t="s">
        <v>124</v>
      </c>
      <c r="F1515" s="16" t="s">
        <v>94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58</v>
      </c>
      <c r="C1516" s="9">
        <v>45809</v>
      </c>
      <c r="D1516">
        <v>33</v>
      </c>
      <c r="E1516" s="16" t="s">
        <v>124</v>
      </c>
      <c r="F1516" s="16" t="s">
        <v>94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58</v>
      </c>
      <c r="C1517" s="9">
        <v>45839</v>
      </c>
      <c r="D1517">
        <v>33</v>
      </c>
      <c r="E1517" s="16" t="s">
        <v>124</v>
      </c>
      <c r="F1517" s="16" t="s">
        <v>94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58</v>
      </c>
      <c r="C1518" s="9">
        <v>45870</v>
      </c>
      <c r="D1518">
        <v>33</v>
      </c>
      <c r="E1518" s="16" t="s">
        <v>124</v>
      </c>
      <c r="F1518" s="16" t="s">
        <v>94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58</v>
      </c>
      <c r="C1519" s="9">
        <v>45901</v>
      </c>
      <c r="D1519">
        <v>33</v>
      </c>
      <c r="E1519" s="16" t="s">
        <v>124</v>
      </c>
      <c r="F1519" s="16" t="s">
        <v>94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58</v>
      </c>
      <c r="C1520" s="9">
        <v>45931</v>
      </c>
      <c r="D1520">
        <v>33</v>
      </c>
      <c r="E1520" s="16" t="s">
        <v>124</v>
      </c>
      <c r="F1520" s="16" t="s">
        <v>94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58</v>
      </c>
      <c r="C1521" s="9">
        <v>45962</v>
      </c>
      <c r="D1521">
        <v>33</v>
      </c>
      <c r="E1521" s="16" t="s">
        <v>124</v>
      </c>
      <c r="F1521" s="16" t="s">
        <v>94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58</v>
      </c>
      <c r="C1522" s="9">
        <v>45992</v>
      </c>
      <c r="D1522">
        <v>33</v>
      </c>
      <c r="E1522" s="16" t="s">
        <v>124</v>
      </c>
      <c r="F1522" s="16" t="s">
        <v>94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58</v>
      </c>
      <c r="C1523" s="9">
        <v>46023</v>
      </c>
      <c r="D1523">
        <v>33</v>
      </c>
      <c r="E1523" s="16" t="s">
        <v>124</v>
      </c>
      <c r="F1523" s="16" t="s">
        <v>94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58</v>
      </c>
      <c r="C1524" s="9">
        <v>46054</v>
      </c>
      <c r="D1524">
        <v>33</v>
      </c>
      <c r="E1524" s="16" t="s">
        <v>124</v>
      </c>
      <c r="F1524" s="16" t="s">
        <v>94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58</v>
      </c>
      <c r="C1525" s="9">
        <v>46082</v>
      </c>
      <c r="D1525">
        <v>33</v>
      </c>
      <c r="E1525" s="16" t="s">
        <v>124</v>
      </c>
      <c r="F1525" s="16" t="s">
        <v>94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58</v>
      </c>
      <c r="C1526" s="9">
        <v>46113</v>
      </c>
      <c r="D1526">
        <v>33</v>
      </c>
      <c r="E1526" s="16" t="s">
        <v>124</v>
      </c>
      <c r="F1526" s="16" t="s">
        <v>94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58</v>
      </c>
      <c r="C1527" s="9">
        <v>46143</v>
      </c>
      <c r="D1527">
        <v>33</v>
      </c>
      <c r="E1527" s="16" t="s">
        <v>124</v>
      </c>
      <c r="F1527" s="16" t="s">
        <v>94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58</v>
      </c>
      <c r="C1528" s="9">
        <v>46174</v>
      </c>
      <c r="D1528">
        <v>33</v>
      </c>
      <c r="E1528" s="16" t="s">
        <v>124</v>
      </c>
      <c r="F1528" s="16" t="s">
        <v>94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58</v>
      </c>
      <c r="C1529" s="9">
        <v>46204</v>
      </c>
      <c r="D1529">
        <v>33</v>
      </c>
      <c r="E1529" s="16" t="s">
        <v>124</v>
      </c>
      <c r="F1529" s="16" t="s">
        <v>94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58</v>
      </c>
      <c r="C1530" s="9">
        <v>46235</v>
      </c>
      <c r="D1530">
        <v>33</v>
      </c>
      <c r="E1530" s="16" t="s">
        <v>124</v>
      </c>
      <c r="F1530" s="16" t="s">
        <v>94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58</v>
      </c>
      <c r="C1531" s="9">
        <v>46266</v>
      </c>
      <c r="D1531">
        <v>33</v>
      </c>
      <c r="E1531" s="16" t="s">
        <v>124</v>
      </c>
      <c r="F1531" s="16" t="s">
        <v>94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58</v>
      </c>
      <c r="C1532" s="9">
        <v>45689</v>
      </c>
      <c r="D1532">
        <v>34</v>
      </c>
      <c r="E1532" s="16" t="s">
        <v>125</v>
      </c>
      <c r="F1532" s="16" t="s">
        <v>116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58</v>
      </c>
      <c r="C1533" s="9">
        <v>45717</v>
      </c>
      <c r="D1533">
        <v>34</v>
      </c>
      <c r="E1533" s="16" t="s">
        <v>125</v>
      </c>
      <c r="F1533" s="16" t="s">
        <v>116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58</v>
      </c>
      <c r="C1534" s="9">
        <v>45748</v>
      </c>
      <c r="D1534">
        <v>34</v>
      </c>
      <c r="E1534" s="16" t="s">
        <v>125</v>
      </c>
      <c r="F1534" s="16" t="s">
        <v>116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58</v>
      </c>
      <c r="C1535" s="9">
        <v>45778</v>
      </c>
      <c r="D1535">
        <v>34</v>
      </c>
      <c r="E1535" s="16" t="s">
        <v>125</v>
      </c>
      <c r="F1535" s="16" t="s">
        <v>116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58</v>
      </c>
      <c r="C1536" s="9">
        <v>45809</v>
      </c>
      <c r="D1536">
        <v>34</v>
      </c>
      <c r="E1536" s="16" t="s">
        <v>125</v>
      </c>
      <c r="F1536" s="16" t="s">
        <v>116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58</v>
      </c>
      <c r="C1537" s="9">
        <v>45839</v>
      </c>
      <c r="D1537">
        <v>34</v>
      </c>
      <c r="E1537" s="16" t="s">
        <v>125</v>
      </c>
      <c r="F1537" s="16" t="s">
        <v>116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58</v>
      </c>
      <c r="C1538" s="9">
        <v>45870</v>
      </c>
      <c r="D1538">
        <v>34</v>
      </c>
      <c r="E1538" s="16" t="s">
        <v>125</v>
      </c>
      <c r="F1538" s="16" t="s">
        <v>116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58</v>
      </c>
      <c r="C1539" s="9">
        <v>45901</v>
      </c>
      <c r="D1539">
        <v>34</v>
      </c>
      <c r="E1539" s="16" t="s">
        <v>125</v>
      </c>
      <c r="F1539" s="16" t="s">
        <v>116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58</v>
      </c>
      <c r="C1540" s="9">
        <v>45931</v>
      </c>
      <c r="D1540">
        <v>34</v>
      </c>
      <c r="E1540" s="16" t="s">
        <v>125</v>
      </c>
      <c r="F1540" s="16" t="s">
        <v>116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58</v>
      </c>
      <c r="C1541" s="9">
        <v>45962</v>
      </c>
      <c r="D1541">
        <v>34</v>
      </c>
      <c r="E1541" s="16" t="s">
        <v>125</v>
      </c>
      <c r="F1541" s="16" t="s">
        <v>116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58</v>
      </c>
      <c r="C1542" s="9">
        <v>45992</v>
      </c>
      <c r="D1542">
        <v>34</v>
      </c>
      <c r="E1542" s="16" t="s">
        <v>125</v>
      </c>
      <c r="F1542" s="16" t="s">
        <v>116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58</v>
      </c>
      <c r="C1543" s="9">
        <v>46023</v>
      </c>
      <c r="D1543">
        <v>34</v>
      </c>
      <c r="E1543" s="16" t="s">
        <v>125</v>
      </c>
      <c r="F1543" s="16" t="s">
        <v>116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58</v>
      </c>
      <c r="C1544" s="9">
        <v>46054</v>
      </c>
      <c r="D1544">
        <v>34</v>
      </c>
      <c r="E1544" s="16" t="s">
        <v>125</v>
      </c>
      <c r="F1544" s="16" t="s">
        <v>116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58</v>
      </c>
      <c r="C1545" s="9">
        <v>46082</v>
      </c>
      <c r="D1545">
        <v>34</v>
      </c>
      <c r="E1545" s="16" t="s">
        <v>125</v>
      </c>
      <c r="F1545" s="16" t="s">
        <v>116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58</v>
      </c>
      <c r="C1546" s="9">
        <v>46113</v>
      </c>
      <c r="D1546">
        <v>34</v>
      </c>
      <c r="E1546" s="16" t="s">
        <v>125</v>
      </c>
      <c r="F1546" s="16" t="s">
        <v>116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58</v>
      </c>
      <c r="C1547" s="9">
        <v>46143</v>
      </c>
      <c r="D1547">
        <v>34</v>
      </c>
      <c r="E1547" s="16" t="s">
        <v>125</v>
      </c>
      <c r="F1547" s="16" t="s">
        <v>116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58</v>
      </c>
      <c r="C1548" s="9">
        <v>46174</v>
      </c>
      <c r="D1548">
        <v>34</v>
      </c>
      <c r="E1548" s="16" t="s">
        <v>125</v>
      </c>
      <c r="F1548" s="16" t="s">
        <v>116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58</v>
      </c>
      <c r="C1549" s="9">
        <v>46204</v>
      </c>
      <c r="D1549">
        <v>34</v>
      </c>
      <c r="E1549" s="16" t="s">
        <v>125</v>
      </c>
      <c r="F1549" s="16" t="s">
        <v>116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58</v>
      </c>
      <c r="C1550" s="9">
        <v>46235</v>
      </c>
      <c r="D1550">
        <v>34</v>
      </c>
      <c r="E1550" s="16" t="s">
        <v>125</v>
      </c>
      <c r="F1550" s="16" t="s">
        <v>116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58</v>
      </c>
      <c r="C1551" s="9">
        <v>46266</v>
      </c>
      <c r="D1551">
        <v>34</v>
      </c>
      <c r="E1551" s="16" t="s">
        <v>125</v>
      </c>
      <c r="F1551" s="16" t="s">
        <v>116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58</v>
      </c>
      <c r="C1552" s="9">
        <v>45717</v>
      </c>
      <c r="D1552">
        <v>35</v>
      </c>
      <c r="E1552" s="16" t="s">
        <v>126</v>
      </c>
      <c r="F1552" s="16" t="s">
        <v>92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58</v>
      </c>
      <c r="C1553" s="9">
        <v>45748</v>
      </c>
      <c r="D1553">
        <v>35</v>
      </c>
      <c r="E1553" s="16" t="s">
        <v>126</v>
      </c>
      <c r="F1553" s="16" t="s">
        <v>92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58</v>
      </c>
      <c r="C1554" s="9">
        <v>45778</v>
      </c>
      <c r="D1554">
        <v>35</v>
      </c>
      <c r="E1554" s="16" t="s">
        <v>126</v>
      </c>
      <c r="F1554" s="16" t="s">
        <v>92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58</v>
      </c>
      <c r="C1555" s="9">
        <v>45809</v>
      </c>
      <c r="D1555">
        <v>35</v>
      </c>
      <c r="E1555" s="16" t="s">
        <v>126</v>
      </c>
      <c r="F1555" s="16" t="s">
        <v>92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58</v>
      </c>
      <c r="C1556" s="9">
        <v>45870</v>
      </c>
      <c r="D1556">
        <v>35</v>
      </c>
      <c r="E1556" s="16" t="s">
        <v>126</v>
      </c>
      <c r="F1556" s="16" t="s">
        <v>92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58</v>
      </c>
      <c r="C1557" s="9">
        <v>45901</v>
      </c>
      <c r="D1557">
        <v>35</v>
      </c>
      <c r="E1557" s="16" t="s">
        <v>126</v>
      </c>
      <c r="F1557" s="16" t="s">
        <v>92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58</v>
      </c>
      <c r="C1558" s="9">
        <v>45931</v>
      </c>
      <c r="D1558">
        <v>35</v>
      </c>
      <c r="E1558" s="16" t="s">
        <v>126</v>
      </c>
      <c r="F1558" s="16" t="s">
        <v>92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58</v>
      </c>
      <c r="C1559" s="9">
        <v>45962</v>
      </c>
      <c r="D1559">
        <v>35</v>
      </c>
      <c r="E1559" s="16" t="s">
        <v>126</v>
      </c>
      <c r="F1559" s="16" t="s">
        <v>92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58</v>
      </c>
      <c r="C1560" s="9">
        <v>45992</v>
      </c>
      <c r="D1560">
        <v>35</v>
      </c>
      <c r="E1560" s="16" t="s">
        <v>126</v>
      </c>
      <c r="F1560" s="16" t="s">
        <v>92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58</v>
      </c>
      <c r="C1561" s="9">
        <v>46054</v>
      </c>
      <c r="D1561">
        <v>35</v>
      </c>
      <c r="E1561" s="16" t="s">
        <v>126</v>
      </c>
      <c r="F1561" s="16" t="s">
        <v>92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58</v>
      </c>
      <c r="C1562" s="9">
        <v>46082</v>
      </c>
      <c r="D1562">
        <v>35</v>
      </c>
      <c r="E1562" s="16" t="s">
        <v>126</v>
      </c>
      <c r="F1562" s="16" t="s">
        <v>92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58</v>
      </c>
      <c r="C1563" s="9">
        <v>46113</v>
      </c>
      <c r="D1563">
        <v>35</v>
      </c>
      <c r="E1563" s="16" t="s">
        <v>126</v>
      </c>
      <c r="F1563" s="16" t="s">
        <v>92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58</v>
      </c>
      <c r="C1564" s="9">
        <v>46143</v>
      </c>
      <c r="D1564">
        <v>35</v>
      </c>
      <c r="E1564" s="16" t="s">
        <v>126</v>
      </c>
      <c r="F1564" s="16" t="s">
        <v>92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58</v>
      </c>
      <c r="C1565" s="9">
        <v>46174</v>
      </c>
      <c r="D1565">
        <v>35</v>
      </c>
      <c r="E1565" s="16" t="s">
        <v>126</v>
      </c>
      <c r="F1565" s="16" t="s">
        <v>92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58</v>
      </c>
      <c r="C1566" s="9">
        <v>46204</v>
      </c>
      <c r="D1566">
        <v>35</v>
      </c>
      <c r="E1566" s="16" t="s">
        <v>126</v>
      </c>
      <c r="F1566" s="16" t="s">
        <v>92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58</v>
      </c>
      <c r="C1567" s="9">
        <v>46235</v>
      </c>
      <c r="D1567">
        <v>35</v>
      </c>
      <c r="E1567" s="16" t="s">
        <v>126</v>
      </c>
      <c r="F1567" s="16" t="s">
        <v>92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58</v>
      </c>
      <c r="C1568" s="9">
        <v>46266</v>
      </c>
      <c r="D1568">
        <v>35</v>
      </c>
      <c r="E1568" s="16" t="s">
        <v>126</v>
      </c>
      <c r="F1568" s="16" t="s">
        <v>92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58</v>
      </c>
      <c r="C1569" s="9">
        <v>45689</v>
      </c>
      <c r="D1569">
        <v>36</v>
      </c>
      <c r="E1569" s="16" t="s">
        <v>127</v>
      </c>
      <c r="F1569" s="16" t="s">
        <v>100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58</v>
      </c>
      <c r="C1570" s="9">
        <v>45717</v>
      </c>
      <c r="D1570">
        <v>36</v>
      </c>
      <c r="E1570" s="16" t="s">
        <v>127</v>
      </c>
      <c r="F1570" s="16" t="s">
        <v>100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58</v>
      </c>
      <c r="C1571" s="9">
        <v>45748</v>
      </c>
      <c r="D1571">
        <v>36</v>
      </c>
      <c r="E1571" s="16" t="s">
        <v>127</v>
      </c>
      <c r="F1571" s="16" t="s">
        <v>100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58</v>
      </c>
      <c r="C1572" s="9">
        <v>45778</v>
      </c>
      <c r="D1572">
        <v>36</v>
      </c>
      <c r="E1572" s="16" t="s">
        <v>127</v>
      </c>
      <c r="F1572" s="16" t="s">
        <v>100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58</v>
      </c>
      <c r="C1573" s="9">
        <v>45809</v>
      </c>
      <c r="D1573">
        <v>36</v>
      </c>
      <c r="E1573" s="16" t="s">
        <v>127</v>
      </c>
      <c r="F1573" s="16" t="s">
        <v>100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58</v>
      </c>
      <c r="C1574" s="9">
        <v>45839</v>
      </c>
      <c r="D1574">
        <v>36</v>
      </c>
      <c r="E1574" s="16" t="s">
        <v>127</v>
      </c>
      <c r="F1574" s="16" t="s">
        <v>100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58</v>
      </c>
      <c r="C1575" s="9">
        <v>45870</v>
      </c>
      <c r="D1575">
        <v>36</v>
      </c>
      <c r="E1575" s="16" t="s">
        <v>127</v>
      </c>
      <c r="F1575" s="16" t="s">
        <v>100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58</v>
      </c>
      <c r="C1576" s="9">
        <v>45901</v>
      </c>
      <c r="D1576">
        <v>36</v>
      </c>
      <c r="E1576" s="16" t="s">
        <v>127</v>
      </c>
      <c r="F1576" s="16" t="s">
        <v>100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58</v>
      </c>
      <c r="C1577" s="9">
        <v>45931</v>
      </c>
      <c r="D1577">
        <v>36</v>
      </c>
      <c r="E1577" s="16" t="s">
        <v>127</v>
      </c>
      <c r="F1577" s="16" t="s">
        <v>100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58</v>
      </c>
      <c r="C1578" s="9">
        <v>45962</v>
      </c>
      <c r="D1578">
        <v>36</v>
      </c>
      <c r="E1578" s="16" t="s">
        <v>127</v>
      </c>
      <c r="F1578" s="16" t="s">
        <v>100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58</v>
      </c>
      <c r="C1579" s="9">
        <v>45992</v>
      </c>
      <c r="D1579">
        <v>36</v>
      </c>
      <c r="E1579" s="16" t="s">
        <v>127</v>
      </c>
      <c r="F1579" s="16" t="s">
        <v>100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58</v>
      </c>
      <c r="C1580" s="9">
        <v>46023</v>
      </c>
      <c r="D1580">
        <v>36</v>
      </c>
      <c r="E1580" s="16" t="s">
        <v>127</v>
      </c>
      <c r="F1580" s="16" t="s">
        <v>100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58</v>
      </c>
      <c r="C1581" s="9">
        <v>46054</v>
      </c>
      <c r="D1581">
        <v>36</v>
      </c>
      <c r="E1581" s="16" t="s">
        <v>127</v>
      </c>
      <c r="F1581" s="16" t="s">
        <v>100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58</v>
      </c>
      <c r="C1582" s="9">
        <v>46082</v>
      </c>
      <c r="D1582">
        <v>36</v>
      </c>
      <c r="E1582" s="16" t="s">
        <v>127</v>
      </c>
      <c r="F1582" s="16" t="s">
        <v>100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58</v>
      </c>
      <c r="C1583" s="9">
        <v>46113</v>
      </c>
      <c r="D1583">
        <v>36</v>
      </c>
      <c r="E1583" s="16" t="s">
        <v>127</v>
      </c>
      <c r="F1583" s="16" t="s">
        <v>100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58</v>
      </c>
      <c r="C1584" s="9">
        <v>46143</v>
      </c>
      <c r="D1584">
        <v>36</v>
      </c>
      <c r="E1584" s="16" t="s">
        <v>127</v>
      </c>
      <c r="F1584" s="16" t="s">
        <v>100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58</v>
      </c>
      <c r="C1585" s="9">
        <v>46174</v>
      </c>
      <c r="D1585">
        <v>36</v>
      </c>
      <c r="E1585" s="16" t="s">
        <v>127</v>
      </c>
      <c r="F1585" s="16" t="s">
        <v>100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58</v>
      </c>
      <c r="C1586" s="9">
        <v>46204</v>
      </c>
      <c r="D1586">
        <v>36</v>
      </c>
      <c r="E1586" s="16" t="s">
        <v>127</v>
      </c>
      <c r="F1586" s="16" t="s">
        <v>100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58</v>
      </c>
      <c r="C1587" s="9">
        <v>46235</v>
      </c>
      <c r="D1587">
        <v>36</v>
      </c>
      <c r="E1587" s="16" t="s">
        <v>127</v>
      </c>
      <c r="F1587" s="16" t="s">
        <v>100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58</v>
      </c>
      <c r="C1588" s="9">
        <v>46266</v>
      </c>
      <c r="D1588">
        <v>36</v>
      </c>
      <c r="E1588" s="16" t="s">
        <v>127</v>
      </c>
      <c r="F1588" s="16" t="s">
        <v>100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58</v>
      </c>
      <c r="C1589" s="9">
        <v>45689</v>
      </c>
      <c r="D1589">
        <v>37</v>
      </c>
      <c r="E1589" s="16" t="s">
        <v>128</v>
      </c>
      <c r="F1589" s="16" t="s">
        <v>92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58</v>
      </c>
      <c r="C1590" s="9">
        <v>45717</v>
      </c>
      <c r="D1590">
        <v>37</v>
      </c>
      <c r="E1590" s="16" t="s">
        <v>128</v>
      </c>
      <c r="F1590" s="16" t="s">
        <v>92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58</v>
      </c>
      <c r="C1591" s="9">
        <v>45748</v>
      </c>
      <c r="D1591">
        <v>37</v>
      </c>
      <c r="E1591" s="16" t="s">
        <v>128</v>
      </c>
      <c r="F1591" s="16" t="s">
        <v>92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58</v>
      </c>
      <c r="C1592" s="9">
        <v>45778</v>
      </c>
      <c r="D1592">
        <v>37</v>
      </c>
      <c r="E1592" s="16" t="s">
        <v>128</v>
      </c>
      <c r="F1592" s="16" t="s">
        <v>92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58</v>
      </c>
      <c r="C1593" s="9">
        <v>45809</v>
      </c>
      <c r="D1593">
        <v>37</v>
      </c>
      <c r="E1593" s="16" t="s">
        <v>128</v>
      </c>
      <c r="F1593" s="16" t="s">
        <v>92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58</v>
      </c>
      <c r="C1594" s="9">
        <v>45839</v>
      </c>
      <c r="D1594">
        <v>37</v>
      </c>
      <c r="E1594" s="16" t="s">
        <v>128</v>
      </c>
      <c r="F1594" s="16" t="s">
        <v>92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58</v>
      </c>
      <c r="C1595" s="9">
        <v>45870</v>
      </c>
      <c r="D1595">
        <v>37</v>
      </c>
      <c r="E1595" s="16" t="s">
        <v>128</v>
      </c>
      <c r="F1595" s="16" t="s">
        <v>92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58</v>
      </c>
      <c r="C1596" s="9">
        <v>45901</v>
      </c>
      <c r="D1596">
        <v>37</v>
      </c>
      <c r="E1596" s="16" t="s">
        <v>128</v>
      </c>
      <c r="F1596" s="16" t="s">
        <v>92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58</v>
      </c>
      <c r="C1597" s="9">
        <v>45931</v>
      </c>
      <c r="D1597">
        <v>37</v>
      </c>
      <c r="E1597" s="16" t="s">
        <v>128</v>
      </c>
      <c r="F1597" s="16" t="s">
        <v>92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58</v>
      </c>
      <c r="C1598" s="9">
        <v>45962</v>
      </c>
      <c r="D1598">
        <v>37</v>
      </c>
      <c r="E1598" s="16" t="s">
        <v>128</v>
      </c>
      <c r="F1598" s="16" t="s">
        <v>92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58</v>
      </c>
      <c r="C1599" s="9">
        <v>45992</v>
      </c>
      <c r="D1599">
        <v>37</v>
      </c>
      <c r="E1599" s="16" t="s">
        <v>128</v>
      </c>
      <c r="F1599" s="16" t="s">
        <v>92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58</v>
      </c>
      <c r="C1600" s="9">
        <v>46023</v>
      </c>
      <c r="D1600">
        <v>37</v>
      </c>
      <c r="E1600" s="16" t="s">
        <v>128</v>
      </c>
      <c r="F1600" s="16" t="s">
        <v>92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58</v>
      </c>
      <c r="C1601" s="9">
        <v>46054</v>
      </c>
      <c r="D1601">
        <v>37</v>
      </c>
      <c r="E1601" s="16" t="s">
        <v>128</v>
      </c>
      <c r="F1601" s="16" t="s">
        <v>92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58</v>
      </c>
      <c r="C1602" s="9">
        <v>46082</v>
      </c>
      <c r="D1602">
        <v>37</v>
      </c>
      <c r="E1602" s="16" t="s">
        <v>128</v>
      </c>
      <c r="F1602" s="16" t="s">
        <v>92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58</v>
      </c>
      <c r="C1603" s="9">
        <v>46113</v>
      </c>
      <c r="D1603">
        <v>37</v>
      </c>
      <c r="E1603" s="16" t="s">
        <v>128</v>
      </c>
      <c r="F1603" s="16" t="s">
        <v>92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58</v>
      </c>
      <c r="C1604" s="9">
        <v>46143</v>
      </c>
      <c r="D1604">
        <v>37</v>
      </c>
      <c r="E1604" s="16" t="s">
        <v>128</v>
      </c>
      <c r="F1604" s="16" t="s">
        <v>92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58</v>
      </c>
      <c r="C1605" s="9">
        <v>46174</v>
      </c>
      <c r="D1605">
        <v>37</v>
      </c>
      <c r="E1605" s="16" t="s">
        <v>128</v>
      </c>
      <c r="F1605" s="16" t="s">
        <v>92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58</v>
      </c>
      <c r="C1606" s="9">
        <v>46204</v>
      </c>
      <c r="D1606">
        <v>37</v>
      </c>
      <c r="E1606" s="16" t="s">
        <v>128</v>
      </c>
      <c r="F1606" s="16" t="s">
        <v>92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58</v>
      </c>
      <c r="C1607" s="9">
        <v>46235</v>
      </c>
      <c r="D1607">
        <v>37</v>
      </c>
      <c r="E1607" s="16" t="s">
        <v>128</v>
      </c>
      <c r="F1607" s="16" t="s">
        <v>92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58</v>
      </c>
      <c r="C1608" s="9">
        <v>46266</v>
      </c>
      <c r="D1608">
        <v>37</v>
      </c>
      <c r="E1608" s="16" t="s">
        <v>128</v>
      </c>
      <c r="F1608" s="16" t="s">
        <v>92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58</v>
      </c>
      <c r="C1609" s="9">
        <v>45689</v>
      </c>
      <c r="D1609">
        <v>38</v>
      </c>
      <c r="E1609" s="16" t="s">
        <v>129</v>
      </c>
      <c r="F1609" s="16" t="s">
        <v>85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58</v>
      </c>
      <c r="C1610" s="9">
        <v>45717</v>
      </c>
      <c r="D1610">
        <v>38</v>
      </c>
      <c r="E1610" s="16" t="s">
        <v>129</v>
      </c>
      <c r="F1610" s="16" t="s">
        <v>85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58</v>
      </c>
      <c r="C1611" s="9">
        <v>45748</v>
      </c>
      <c r="D1611">
        <v>38</v>
      </c>
      <c r="E1611" s="16" t="s">
        <v>129</v>
      </c>
      <c r="F1611" s="16" t="s">
        <v>85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58</v>
      </c>
      <c r="C1612" s="9">
        <v>45778</v>
      </c>
      <c r="D1612">
        <v>38</v>
      </c>
      <c r="E1612" s="16" t="s">
        <v>129</v>
      </c>
      <c r="F1612" s="16" t="s">
        <v>85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58</v>
      </c>
      <c r="C1613" s="9">
        <v>45809</v>
      </c>
      <c r="D1613">
        <v>38</v>
      </c>
      <c r="E1613" s="16" t="s">
        <v>129</v>
      </c>
      <c r="F1613" s="16" t="s">
        <v>85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58</v>
      </c>
      <c r="C1614" s="9">
        <v>45839</v>
      </c>
      <c r="D1614">
        <v>38</v>
      </c>
      <c r="E1614" s="16" t="s">
        <v>129</v>
      </c>
      <c r="F1614" s="16" t="s">
        <v>85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58</v>
      </c>
      <c r="C1615" s="9">
        <v>45870</v>
      </c>
      <c r="D1615">
        <v>38</v>
      </c>
      <c r="E1615" s="16" t="s">
        <v>129</v>
      </c>
      <c r="F1615" s="16" t="s">
        <v>85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58</v>
      </c>
      <c r="C1616" s="9">
        <v>45901</v>
      </c>
      <c r="D1616">
        <v>38</v>
      </c>
      <c r="E1616" s="16" t="s">
        <v>129</v>
      </c>
      <c r="F1616" s="16" t="s">
        <v>85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58</v>
      </c>
      <c r="C1617" s="9">
        <v>45931</v>
      </c>
      <c r="D1617">
        <v>38</v>
      </c>
      <c r="E1617" s="16" t="s">
        <v>129</v>
      </c>
      <c r="F1617" s="16" t="s">
        <v>85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58</v>
      </c>
      <c r="C1618" s="9">
        <v>45962</v>
      </c>
      <c r="D1618">
        <v>38</v>
      </c>
      <c r="E1618" s="16" t="s">
        <v>129</v>
      </c>
      <c r="F1618" s="16" t="s">
        <v>85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58</v>
      </c>
      <c r="C1619" s="9">
        <v>45992</v>
      </c>
      <c r="D1619">
        <v>38</v>
      </c>
      <c r="E1619" s="16" t="s">
        <v>129</v>
      </c>
      <c r="F1619" s="16" t="s">
        <v>85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58</v>
      </c>
      <c r="C1620" s="9">
        <v>46023</v>
      </c>
      <c r="D1620">
        <v>38</v>
      </c>
      <c r="E1620" s="16" t="s">
        <v>129</v>
      </c>
      <c r="F1620" s="16" t="s">
        <v>85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58</v>
      </c>
      <c r="C1621" s="9">
        <v>46054</v>
      </c>
      <c r="D1621">
        <v>38</v>
      </c>
      <c r="E1621" s="16" t="s">
        <v>129</v>
      </c>
      <c r="F1621" s="16" t="s">
        <v>85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58</v>
      </c>
      <c r="C1622" s="9">
        <v>46082</v>
      </c>
      <c r="D1622">
        <v>38</v>
      </c>
      <c r="E1622" s="16" t="s">
        <v>129</v>
      </c>
      <c r="F1622" s="16" t="s">
        <v>85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58</v>
      </c>
      <c r="C1623" s="9">
        <v>46113</v>
      </c>
      <c r="D1623">
        <v>38</v>
      </c>
      <c r="E1623" s="16" t="s">
        <v>129</v>
      </c>
      <c r="F1623" s="16" t="s">
        <v>85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58</v>
      </c>
      <c r="C1624" s="9">
        <v>46143</v>
      </c>
      <c r="D1624">
        <v>38</v>
      </c>
      <c r="E1624" s="16" t="s">
        <v>129</v>
      </c>
      <c r="F1624" s="16" t="s">
        <v>85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58</v>
      </c>
      <c r="C1625" s="9">
        <v>46174</v>
      </c>
      <c r="D1625">
        <v>38</v>
      </c>
      <c r="E1625" s="16" t="s">
        <v>129</v>
      </c>
      <c r="F1625" s="16" t="s">
        <v>85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58</v>
      </c>
      <c r="C1626" s="9">
        <v>46204</v>
      </c>
      <c r="D1626">
        <v>38</v>
      </c>
      <c r="E1626" s="16" t="s">
        <v>129</v>
      </c>
      <c r="F1626" s="16" t="s">
        <v>85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58</v>
      </c>
      <c r="C1627" s="9">
        <v>46235</v>
      </c>
      <c r="D1627">
        <v>38</v>
      </c>
      <c r="E1627" s="16" t="s">
        <v>129</v>
      </c>
      <c r="F1627" s="16" t="s">
        <v>85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58</v>
      </c>
      <c r="C1628" s="9">
        <v>46266</v>
      </c>
      <c r="D1628">
        <v>38</v>
      </c>
      <c r="E1628" s="16" t="s">
        <v>129</v>
      </c>
      <c r="F1628" s="16" t="s">
        <v>85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58</v>
      </c>
      <c r="C1629" s="9">
        <v>45689</v>
      </c>
      <c r="D1629">
        <v>39</v>
      </c>
      <c r="E1629" s="16" t="s">
        <v>130</v>
      </c>
      <c r="F1629" s="16" t="s">
        <v>89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58</v>
      </c>
      <c r="C1630" s="9">
        <v>45717</v>
      </c>
      <c r="D1630">
        <v>39</v>
      </c>
      <c r="E1630" s="16" t="s">
        <v>130</v>
      </c>
      <c r="F1630" s="16" t="s">
        <v>89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58</v>
      </c>
      <c r="C1631" s="9">
        <v>45748</v>
      </c>
      <c r="D1631">
        <v>39</v>
      </c>
      <c r="E1631" s="16" t="s">
        <v>130</v>
      </c>
      <c r="F1631" s="16" t="s">
        <v>89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58</v>
      </c>
      <c r="C1632" s="9">
        <v>45778</v>
      </c>
      <c r="D1632">
        <v>39</v>
      </c>
      <c r="E1632" s="16" t="s">
        <v>130</v>
      </c>
      <c r="F1632" s="16" t="s">
        <v>89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58</v>
      </c>
      <c r="C1633" s="9">
        <v>45809</v>
      </c>
      <c r="D1633">
        <v>39</v>
      </c>
      <c r="E1633" s="16" t="s">
        <v>130</v>
      </c>
      <c r="F1633" s="16" t="s">
        <v>89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58</v>
      </c>
      <c r="C1634" s="9">
        <v>45839</v>
      </c>
      <c r="D1634">
        <v>39</v>
      </c>
      <c r="E1634" s="16" t="s">
        <v>130</v>
      </c>
      <c r="F1634" s="16" t="s">
        <v>89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58</v>
      </c>
      <c r="C1635" s="9">
        <v>45870</v>
      </c>
      <c r="D1635">
        <v>39</v>
      </c>
      <c r="E1635" s="16" t="s">
        <v>130</v>
      </c>
      <c r="F1635" s="16" t="s">
        <v>89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58</v>
      </c>
      <c r="C1636" s="9">
        <v>45901</v>
      </c>
      <c r="D1636">
        <v>39</v>
      </c>
      <c r="E1636" s="16" t="s">
        <v>130</v>
      </c>
      <c r="F1636" s="16" t="s">
        <v>89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58</v>
      </c>
      <c r="C1637" s="9">
        <v>45931</v>
      </c>
      <c r="D1637">
        <v>39</v>
      </c>
      <c r="E1637" s="16" t="s">
        <v>130</v>
      </c>
      <c r="F1637" s="16" t="s">
        <v>89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58</v>
      </c>
      <c r="C1638" s="9">
        <v>45962</v>
      </c>
      <c r="D1638">
        <v>39</v>
      </c>
      <c r="E1638" s="16" t="s">
        <v>130</v>
      </c>
      <c r="F1638" s="16" t="s">
        <v>89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58</v>
      </c>
      <c r="C1639" s="9">
        <v>45992</v>
      </c>
      <c r="D1639">
        <v>39</v>
      </c>
      <c r="E1639" s="16" t="s">
        <v>130</v>
      </c>
      <c r="F1639" s="16" t="s">
        <v>89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58</v>
      </c>
      <c r="C1640" s="9">
        <v>46023</v>
      </c>
      <c r="D1640">
        <v>39</v>
      </c>
      <c r="E1640" s="16" t="s">
        <v>130</v>
      </c>
      <c r="F1640" s="16" t="s">
        <v>89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58</v>
      </c>
      <c r="C1641" s="9">
        <v>46054</v>
      </c>
      <c r="D1641">
        <v>39</v>
      </c>
      <c r="E1641" s="16" t="s">
        <v>130</v>
      </c>
      <c r="F1641" s="16" t="s">
        <v>89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58</v>
      </c>
      <c r="C1642" s="9">
        <v>46082</v>
      </c>
      <c r="D1642">
        <v>39</v>
      </c>
      <c r="E1642" s="16" t="s">
        <v>130</v>
      </c>
      <c r="F1642" s="16" t="s">
        <v>89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58</v>
      </c>
      <c r="C1643" s="9">
        <v>46113</v>
      </c>
      <c r="D1643">
        <v>39</v>
      </c>
      <c r="E1643" s="16" t="s">
        <v>130</v>
      </c>
      <c r="F1643" s="16" t="s">
        <v>89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58</v>
      </c>
      <c r="C1644" s="9">
        <v>46143</v>
      </c>
      <c r="D1644">
        <v>39</v>
      </c>
      <c r="E1644" s="16" t="s">
        <v>130</v>
      </c>
      <c r="F1644" s="16" t="s">
        <v>89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58</v>
      </c>
      <c r="C1645" s="9">
        <v>46174</v>
      </c>
      <c r="D1645">
        <v>39</v>
      </c>
      <c r="E1645" s="16" t="s">
        <v>130</v>
      </c>
      <c r="F1645" s="16" t="s">
        <v>89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58</v>
      </c>
      <c r="C1646" s="9">
        <v>46204</v>
      </c>
      <c r="D1646">
        <v>39</v>
      </c>
      <c r="E1646" s="16" t="s">
        <v>130</v>
      </c>
      <c r="F1646" s="16" t="s">
        <v>89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58</v>
      </c>
      <c r="C1647" s="9">
        <v>46235</v>
      </c>
      <c r="D1647">
        <v>39</v>
      </c>
      <c r="E1647" s="16" t="s">
        <v>130</v>
      </c>
      <c r="F1647" s="16" t="s">
        <v>89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58</v>
      </c>
      <c r="C1648" s="9">
        <v>46266</v>
      </c>
      <c r="D1648">
        <v>39</v>
      </c>
      <c r="E1648" s="16" t="s">
        <v>130</v>
      </c>
      <c r="F1648" s="16" t="s">
        <v>89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58</v>
      </c>
      <c r="C1649" s="9">
        <v>45689</v>
      </c>
      <c r="D1649">
        <v>40</v>
      </c>
      <c r="E1649" s="16" t="s">
        <v>131</v>
      </c>
      <c r="F1649" s="16" t="s">
        <v>110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58</v>
      </c>
      <c r="C1650" s="9">
        <v>45717</v>
      </c>
      <c r="D1650">
        <v>40</v>
      </c>
      <c r="E1650" s="16" t="s">
        <v>131</v>
      </c>
      <c r="F1650" s="16" t="s">
        <v>110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58</v>
      </c>
      <c r="C1651" s="9">
        <v>45748</v>
      </c>
      <c r="D1651">
        <v>40</v>
      </c>
      <c r="E1651" s="16" t="s">
        <v>131</v>
      </c>
      <c r="F1651" s="16" t="s">
        <v>110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58</v>
      </c>
      <c r="C1652" s="9">
        <v>45778</v>
      </c>
      <c r="D1652">
        <v>40</v>
      </c>
      <c r="E1652" s="16" t="s">
        <v>131</v>
      </c>
      <c r="F1652" s="16" t="s">
        <v>110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58</v>
      </c>
      <c r="C1653" s="9">
        <v>45809</v>
      </c>
      <c r="D1653">
        <v>40</v>
      </c>
      <c r="E1653" s="16" t="s">
        <v>131</v>
      </c>
      <c r="F1653" s="16" t="s">
        <v>110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58</v>
      </c>
      <c r="C1654" s="9">
        <v>45839</v>
      </c>
      <c r="D1654">
        <v>40</v>
      </c>
      <c r="E1654" s="16" t="s">
        <v>131</v>
      </c>
      <c r="F1654" s="16" t="s">
        <v>110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58</v>
      </c>
      <c r="C1655" s="9">
        <v>45870</v>
      </c>
      <c r="D1655">
        <v>40</v>
      </c>
      <c r="E1655" s="16" t="s">
        <v>131</v>
      </c>
      <c r="F1655" s="16" t="s">
        <v>110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58</v>
      </c>
      <c r="C1656" s="9">
        <v>45901</v>
      </c>
      <c r="D1656">
        <v>40</v>
      </c>
      <c r="E1656" s="16" t="s">
        <v>131</v>
      </c>
      <c r="F1656" s="16" t="s">
        <v>110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58</v>
      </c>
      <c r="C1657" s="9">
        <v>45931</v>
      </c>
      <c r="D1657">
        <v>40</v>
      </c>
      <c r="E1657" s="16" t="s">
        <v>131</v>
      </c>
      <c r="F1657" s="16" t="s">
        <v>110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58</v>
      </c>
      <c r="C1658" s="9">
        <v>45962</v>
      </c>
      <c r="D1658">
        <v>40</v>
      </c>
      <c r="E1658" s="16" t="s">
        <v>131</v>
      </c>
      <c r="F1658" s="16" t="s">
        <v>110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58</v>
      </c>
      <c r="C1659" s="9">
        <v>45992</v>
      </c>
      <c r="D1659">
        <v>40</v>
      </c>
      <c r="E1659" s="16" t="s">
        <v>131</v>
      </c>
      <c r="F1659" s="16" t="s">
        <v>110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58</v>
      </c>
      <c r="C1660" s="9">
        <v>46023</v>
      </c>
      <c r="D1660">
        <v>40</v>
      </c>
      <c r="E1660" s="16" t="s">
        <v>131</v>
      </c>
      <c r="F1660" s="16" t="s">
        <v>110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58</v>
      </c>
      <c r="C1661" s="9">
        <v>46054</v>
      </c>
      <c r="D1661">
        <v>40</v>
      </c>
      <c r="E1661" s="16" t="s">
        <v>131</v>
      </c>
      <c r="F1661" s="16" t="s">
        <v>110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58</v>
      </c>
      <c r="C1662" s="9">
        <v>46082</v>
      </c>
      <c r="D1662">
        <v>40</v>
      </c>
      <c r="E1662" s="16" t="s">
        <v>131</v>
      </c>
      <c r="F1662" s="16" t="s">
        <v>110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58</v>
      </c>
      <c r="C1663" s="9">
        <v>46113</v>
      </c>
      <c r="D1663">
        <v>40</v>
      </c>
      <c r="E1663" s="16" t="s">
        <v>131</v>
      </c>
      <c r="F1663" s="16" t="s">
        <v>110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58</v>
      </c>
      <c r="C1664" s="9">
        <v>46143</v>
      </c>
      <c r="D1664">
        <v>40</v>
      </c>
      <c r="E1664" s="16" t="s">
        <v>131</v>
      </c>
      <c r="F1664" s="16" t="s">
        <v>110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58</v>
      </c>
      <c r="C1665" s="9">
        <v>46174</v>
      </c>
      <c r="D1665">
        <v>40</v>
      </c>
      <c r="E1665" s="16" t="s">
        <v>131</v>
      </c>
      <c r="F1665" s="16" t="s">
        <v>110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58</v>
      </c>
      <c r="C1666" s="9">
        <v>46204</v>
      </c>
      <c r="D1666">
        <v>40</v>
      </c>
      <c r="E1666" s="16" t="s">
        <v>131</v>
      </c>
      <c r="F1666" s="16" t="s">
        <v>110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58</v>
      </c>
      <c r="C1667" s="9">
        <v>46235</v>
      </c>
      <c r="D1667">
        <v>40</v>
      </c>
      <c r="E1667" s="16" t="s">
        <v>131</v>
      </c>
      <c r="F1667" s="16" t="s">
        <v>110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58</v>
      </c>
      <c r="C1668" s="9">
        <v>46266</v>
      </c>
      <c r="D1668">
        <v>40</v>
      </c>
      <c r="E1668" s="16" t="s">
        <v>131</v>
      </c>
      <c r="F1668" s="16" t="s">
        <v>110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58</v>
      </c>
      <c r="C1669" s="9">
        <v>45689</v>
      </c>
      <c r="D1669">
        <v>41</v>
      </c>
      <c r="E1669" s="16" t="s">
        <v>132</v>
      </c>
      <c r="F1669" s="16" t="s">
        <v>89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58</v>
      </c>
      <c r="C1670" s="9">
        <v>45717</v>
      </c>
      <c r="D1670">
        <v>41</v>
      </c>
      <c r="E1670" s="16" t="s">
        <v>132</v>
      </c>
      <c r="F1670" s="16" t="s">
        <v>89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58</v>
      </c>
      <c r="C1671" s="9">
        <v>45748</v>
      </c>
      <c r="D1671">
        <v>41</v>
      </c>
      <c r="E1671" s="16" t="s">
        <v>132</v>
      </c>
      <c r="F1671" s="16" t="s">
        <v>89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58</v>
      </c>
      <c r="C1672" s="9">
        <v>45778</v>
      </c>
      <c r="D1672">
        <v>41</v>
      </c>
      <c r="E1672" s="16" t="s">
        <v>132</v>
      </c>
      <c r="F1672" s="16" t="s">
        <v>89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58</v>
      </c>
      <c r="C1673" s="9">
        <v>45809</v>
      </c>
      <c r="D1673">
        <v>41</v>
      </c>
      <c r="E1673" s="16" t="s">
        <v>132</v>
      </c>
      <c r="F1673" s="16" t="s">
        <v>89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58</v>
      </c>
      <c r="C1674" s="9">
        <v>45839</v>
      </c>
      <c r="D1674">
        <v>41</v>
      </c>
      <c r="E1674" s="16" t="s">
        <v>132</v>
      </c>
      <c r="F1674" s="16" t="s">
        <v>89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58</v>
      </c>
      <c r="C1675" s="9">
        <v>45870</v>
      </c>
      <c r="D1675">
        <v>41</v>
      </c>
      <c r="E1675" s="16" t="s">
        <v>132</v>
      </c>
      <c r="F1675" s="16" t="s">
        <v>89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58</v>
      </c>
      <c r="C1676" s="9">
        <v>45901</v>
      </c>
      <c r="D1676">
        <v>41</v>
      </c>
      <c r="E1676" s="16" t="s">
        <v>132</v>
      </c>
      <c r="F1676" s="16" t="s">
        <v>89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58</v>
      </c>
      <c r="C1677" s="9">
        <v>45931</v>
      </c>
      <c r="D1677">
        <v>41</v>
      </c>
      <c r="E1677" s="16" t="s">
        <v>132</v>
      </c>
      <c r="F1677" s="16" t="s">
        <v>89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58</v>
      </c>
      <c r="C1678" s="9">
        <v>45962</v>
      </c>
      <c r="D1678">
        <v>41</v>
      </c>
      <c r="E1678" s="16" t="s">
        <v>132</v>
      </c>
      <c r="F1678" s="16" t="s">
        <v>89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58</v>
      </c>
      <c r="C1679" s="9">
        <v>45992</v>
      </c>
      <c r="D1679">
        <v>41</v>
      </c>
      <c r="E1679" s="16" t="s">
        <v>132</v>
      </c>
      <c r="F1679" s="16" t="s">
        <v>89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58</v>
      </c>
      <c r="C1680" s="9">
        <v>46023</v>
      </c>
      <c r="D1680">
        <v>41</v>
      </c>
      <c r="E1680" s="16" t="s">
        <v>132</v>
      </c>
      <c r="F1680" s="16" t="s">
        <v>89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58</v>
      </c>
      <c r="C1681" s="9">
        <v>46054</v>
      </c>
      <c r="D1681">
        <v>41</v>
      </c>
      <c r="E1681" s="16" t="s">
        <v>132</v>
      </c>
      <c r="F1681" s="16" t="s">
        <v>89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58</v>
      </c>
      <c r="C1682" s="9">
        <v>46082</v>
      </c>
      <c r="D1682">
        <v>41</v>
      </c>
      <c r="E1682" s="16" t="s">
        <v>132</v>
      </c>
      <c r="F1682" s="16" t="s">
        <v>89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58</v>
      </c>
      <c r="C1683" s="9">
        <v>46113</v>
      </c>
      <c r="D1683">
        <v>41</v>
      </c>
      <c r="E1683" s="16" t="s">
        <v>132</v>
      </c>
      <c r="F1683" s="16" t="s">
        <v>89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58</v>
      </c>
      <c r="C1684" s="9">
        <v>46143</v>
      </c>
      <c r="D1684">
        <v>41</v>
      </c>
      <c r="E1684" s="16" t="s">
        <v>132</v>
      </c>
      <c r="F1684" s="16" t="s">
        <v>89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58</v>
      </c>
      <c r="C1685" s="9">
        <v>46174</v>
      </c>
      <c r="D1685">
        <v>41</v>
      </c>
      <c r="E1685" s="16" t="s">
        <v>132</v>
      </c>
      <c r="F1685" s="16" t="s">
        <v>89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58</v>
      </c>
      <c r="C1686" s="9">
        <v>46204</v>
      </c>
      <c r="D1686">
        <v>41</v>
      </c>
      <c r="E1686" s="16" t="s">
        <v>132</v>
      </c>
      <c r="F1686" s="16" t="s">
        <v>89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58</v>
      </c>
      <c r="C1687" s="9">
        <v>46235</v>
      </c>
      <c r="D1687">
        <v>41</v>
      </c>
      <c r="E1687" s="16" t="s">
        <v>132</v>
      </c>
      <c r="F1687" s="16" t="s">
        <v>89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58</v>
      </c>
      <c r="C1688" s="9">
        <v>46266</v>
      </c>
      <c r="D1688">
        <v>41</v>
      </c>
      <c r="E1688" s="16" t="s">
        <v>132</v>
      </c>
      <c r="F1688" s="16" t="s">
        <v>89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58</v>
      </c>
      <c r="C1689" s="9">
        <v>45689</v>
      </c>
      <c r="D1689">
        <v>42</v>
      </c>
      <c r="E1689" s="16" t="s">
        <v>133</v>
      </c>
      <c r="F1689" s="16" t="s">
        <v>85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58</v>
      </c>
      <c r="C1690" s="9">
        <v>45717</v>
      </c>
      <c r="D1690">
        <v>42</v>
      </c>
      <c r="E1690" s="16" t="s">
        <v>133</v>
      </c>
      <c r="F1690" s="16" t="s">
        <v>85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58</v>
      </c>
      <c r="C1691" s="9">
        <v>45748</v>
      </c>
      <c r="D1691">
        <v>42</v>
      </c>
      <c r="E1691" s="16" t="s">
        <v>133</v>
      </c>
      <c r="F1691" s="16" t="s">
        <v>85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58</v>
      </c>
      <c r="C1692" s="9">
        <v>45778</v>
      </c>
      <c r="D1692">
        <v>42</v>
      </c>
      <c r="E1692" s="16" t="s">
        <v>133</v>
      </c>
      <c r="F1692" s="16" t="s">
        <v>85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58</v>
      </c>
      <c r="C1693" s="9">
        <v>45809</v>
      </c>
      <c r="D1693">
        <v>42</v>
      </c>
      <c r="E1693" s="16" t="s">
        <v>133</v>
      </c>
      <c r="F1693" s="16" t="s">
        <v>85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58</v>
      </c>
      <c r="C1694" s="9">
        <v>45839</v>
      </c>
      <c r="D1694">
        <v>42</v>
      </c>
      <c r="E1694" s="16" t="s">
        <v>133</v>
      </c>
      <c r="F1694" s="16" t="s">
        <v>85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58</v>
      </c>
      <c r="C1695" s="9">
        <v>45870</v>
      </c>
      <c r="D1695">
        <v>42</v>
      </c>
      <c r="E1695" s="16" t="s">
        <v>133</v>
      </c>
      <c r="F1695" s="16" t="s">
        <v>85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58</v>
      </c>
      <c r="C1696" s="9">
        <v>45901</v>
      </c>
      <c r="D1696">
        <v>42</v>
      </c>
      <c r="E1696" s="16" t="s">
        <v>133</v>
      </c>
      <c r="F1696" s="16" t="s">
        <v>85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58</v>
      </c>
      <c r="C1697" s="9">
        <v>45931</v>
      </c>
      <c r="D1697">
        <v>42</v>
      </c>
      <c r="E1697" s="16" t="s">
        <v>133</v>
      </c>
      <c r="F1697" s="16" t="s">
        <v>85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58</v>
      </c>
      <c r="C1698" s="9">
        <v>45962</v>
      </c>
      <c r="D1698">
        <v>42</v>
      </c>
      <c r="E1698" s="16" t="s">
        <v>133</v>
      </c>
      <c r="F1698" s="16" t="s">
        <v>85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58</v>
      </c>
      <c r="C1699" s="9">
        <v>45992</v>
      </c>
      <c r="D1699">
        <v>42</v>
      </c>
      <c r="E1699" s="16" t="s">
        <v>133</v>
      </c>
      <c r="F1699" s="16" t="s">
        <v>85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58</v>
      </c>
      <c r="C1700" s="9">
        <v>46023</v>
      </c>
      <c r="D1700">
        <v>42</v>
      </c>
      <c r="E1700" s="16" t="s">
        <v>133</v>
      </c>
      <c r="F1700" s="16" t="s">
        <v>85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58</v>
      </c>
      <c r="C1701" s="9">
        <v>46054</v>
      </c>
      <c r="D1701">
        <v>42</v>
      </c>
      <c r="E1701" s="16" t="s">
        <v>133</v>
      </c>
      <c r="F1701" s="16" t="s">
        <v>85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58</v>
      </c>
      <c r="C1702" s="9">
        <v>46082</v>
      </c>
      <c r="D1702">
        <v>42</v>
      </c>
      <c r="E1702" s="16" t="s">
        <v>133</v>
      </c>
      <c r="F1702" s="16" t="s">
        <v>85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58</v>
      </c>
      <c r="C1703" s="9">
        <v>46113</v>
      </c>
      <c r="D1703">
        <v>42</v>
      </c>
      <c r="E1703" s="16" t="s">
        <v>133</v>
      </c>
      <c r="F1703" s="16" t="s">
        <v>85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58</v>
      </c>
      <c r="C1704" s="9">
        <v>46143</v>
      </c>
      <c r="D1704">
        <v>42</v>
      </c>
      <c r="E1704" s="16" t="s">
        <v>133</v>
      </c>
      <c r="F1704" s="16" t="s">
        <v>85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58</v>
      </c>
      <c r="C1705" s="9">
        <v>46174</v>
      </c>
      <c r="D1705">
        <v>42</v>
      </c>
      <c r="E1705" s="16" t="s">
        <v>133</v>
      </c>
      <c r="F1705" s="16" t="s">
        <v>85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58</v>
      </c>
      <c r="C1706" s="9">
        <v>46204</v>
      </c>
      <c r="D1706">
        <v>42</v>
      </c>
      <c r="E1706" s="16" t="s">
        <v>133</v>
      </c>
      <c r="F1706" s="16" t="s">
        <v>85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58</v>
      </c>
      <c r="C1707" s="9">
        <v>46235</v>
      </c>
      <c r="D1707">
        <v>42</v>
      </c>
      <c r="E1707" s="16" t="s">
        <v>133</v>
      </c>
      <c r="F1707" s="16" t="s">
        <v>85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58</v>
      </c>
      <c r="C1708" s="9">
        <v>46266</v>
      </c>
      <c r="D1708">
        <v>42</v>
      </c>
      <c r="E1708" s="16" t="s">
        <v>133</v>
      </c>
      <c r="F1708" s="16" t="s">
        <v>85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58</v>
      </c>
      <c r="C1709" s="9">
        <v>45689</v>
      </c>
      <c r="D1709">
        <v>43</v>
      </c>
      <c r="E1709" s="16" t="s">
        <v>134</v>
      </c>
      <c r="F1709" s="16" t="s">
        <v>92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58</v>
      </c>
      <c r="C1710" s="9">
        <v>45717</v>
      </c>
      <c r="D1710">
        <v>43</v>
      </c>
      <c r="E1710" s="16" t="s">
        <v>134</v>
      </c>
      <c r="F1710" s="16" t="s">
        <v>92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58</v>
      </c>
      <c r="C1711" s="9">
        <v>45748</v>
      </c>
      <c r="D1711">
        <v>43</v>
      </c>
      <c r="E1711" s="16" t="s">
        <v>134</v>
      </c>
      <c r="F1711" s="16" t="s">
        <v>92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58</v>
      </c>
      <c r="C1712" s="9">
        <v>45778</v>
      </c>
      <c r="D1712">
        <v>43</v>
      </c>
      <c r="E1712" s="16" t="s">
        <v>134</v>
      </c>
      <c r="F1712" s="16" t="s">
        <v>92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58</v>
      </c>
      <c r="C1713" s="9">
        <v>45809</v>
      </c>
      <c r="D1713">
        <v>43</v>
      </c>
      <c r="E1713" s="16" t="s">
        <v>134</v>
      </c>
      <c r="F1713" s="16" t="s">
        <v>92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58</v>
      </c>
      <c r="C1714" s="9">
        <v>45839</v>
      </c>
      <c r="D1714">
        <v>43</v>
      </c>
      <c r="E1714" s="16" t="s">
        <v>134</v>
      </c>
      <c r="F1714" s="16" t="s">
        <v>92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58</v>
      </c>
      <c r="C1715" s="9">
        <v>45870</v>
      </c>
      <c r="D1715">
        <v>43</v>
      </c>
      <c r="E1715" s="16" t="s">
        <v>134</v>
      </c>
      <c r="F1715" s="16" t="s">
        <v>92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58</v>
      </c>
      <c r="C1716" s="9">
        <v>45901</v>
      </c>
      <c r="D1716">
        <v>43</v>
      </c>
      <c r="E1716" s="16" t="s">
        <v>134</v>
      </c>
      <c r="F1716" s="16" t="s">
        <v>92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58</v>
      </c>
      <c r="C1717" s="9">
        <v>45931</v>
      </c>
      <c r="D1717">
        <v>43</v>
      </c>
      <c r="E1717" s="16" t="s">
        <v>134</v>
      </c>
      <c r="F1717" s="16" t="s">
        <v>92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58</v>
      </c>
      <c r="C1718" s="9">
        <v>45962</v>
      </c>
      <c r="D1718">
        <v>43</v>
      </c>
      <c r="E1718" s="16" t="s">
        <v>134</v>
      </c>
      <c r="F1718" s="16" t="s">
        <v>92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58</v>
      </c>
      <c r="C1719" s="9">
        <v>45992</v>
      </c>
      <c r="D1719">
        <v>43</v>
      </c>
      <c r="E1719" s="16" t="s">
        <v>134</v>
      </c>
      <c r="F1719" s="16" t="s">
        <v>92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58</v>
      </c>
      <c r="C1720" s="9">
        <v>46023</v>
      </c>
      <c r="D1720">
        <v>43</v>
      </c>
      <c r="E1720" s="16" t="s">
        <v>134</v>
      </c>
      <c r="F1720" s="16" t="s">
        <v>92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58</v>
      </c>
      <c r="C1721" s="9">
        <v>46054</v>
      </c>
      <c r="D1721">
        <v>43</v>
      </c>
      <c r="E1721" s="16" t="s">
        <v>134</v>
      </c>
      <c r="F1721" s="16" t="s">
        <v>92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58</v>
      </c>
      <c r="C1722" s="9">
        <v>46082</v>
      </c>
      <c r="D1722">
        <v>43</v>
      </c>
      <c r="E1722" s="16" t="s">
        <v>134</v>
      </c>
      <c r="F1722" s="16" t="s">
        <v>92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58</v>
      </c>
      <c r="C1723" s="9">
        <v>46113</v>
      </c>
      <c r="D1723">
        <v>43</v>
      </c>
      <c r="E1723" s="16" t="s">
        <v>134</v>
      </c>
      <c r="F1723" s="16" t="s">
        <v>92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58</v>
      </c>
      <c r="C1724" s="9">
        <v>46143</v>
      </c>
      <c r="D1724">
        <v>43</v>
      </c>
      <c r="E1724" s="16" t="s">
        <v>134</v>
      </c>
      <c r="F1724" s="16" t="s">
        <v>92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58</v>
      </c>
      <c r="C1725" s="9">
        <v>46174</v>
      </c>
      <c r="D1725">
        <v>43</v>
      </c>
      <c r="E1725" s="16" t="s">
        <v>134</v>
      </c>
      <c r="F1725" s="16" t="s">
        <v>92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58</v>
      </c>
      <c r="C1726" s="9">
        <v>46204</v>
      </c>
      <c r="D1726">
        <v>43</v>
      </c>
      <c r="E1726" s="16" t="s">
        <v>134</v>
      </c>
      <c r="F1726" s="16" t="s">
        <v>92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58</v>
      </c>
      <c r="C1727" s="9">
        <v>46235</v>
      </c>
      <c r="D1727">
        <v>43</v>
      </c>
      <c r="E1727" s="16" t="s">
        <v>134</v>
      </c>
      <c r="F1727" s="16" t="s">
        <v>92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58</v>
      </c>
      <c r="C1728" s="9">
        <v>46266</v>
      </c>
      <c r="D1728">
        <v>43</v>
      </c>
      <c r="E1728" s="16" t="s">
        <v>134</v>
      </c>
      <c r="F1728" s="16" t="s">
        <v>92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58</v>
      </c>
      <c r="C1729" s="9">
        <v>45689</v>
      </c>
      <c r="D1729">
        <v>44</v>
      </c>
      <c r="E1729" s="16" t="s">
        <v>135</v>
      </c>
      <c r="F1729" s="16" t="s">
        <v>92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58</v>
      </c>
      <c r="C1730" s="9">
        <v>45717</v>
      </c>
      <c r="D1730">
        <v>44</v>
      </c>
      <c r="E1730" s="16" t="s">
        <v>135</v>
      </c>
      <c r="F1730" s="16" t="s">
        <v>92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58</v>
      </c>
      <c r="C1731" s="9">
        <v>45748</v>
      </c>
      <c r="D1731">
        <v>44</v>
      </c>
      <c r="E1731" s="16" t="s">
        <v>135</v>
      </c>
      <c r="F1731" s="16" t="s">
        <v>92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58</v>
      </c>
      <c r="C1732" s="9">
        <v>45778</v>
      </c>
      <c r="D1732">
        <v>44</v>
      </c>
      <c r="E1732" s="16" t="s">
        <v>135</v>
      </c>
      <c r="F1732" s="16" t="s">
        <v>92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58</v>
      </c>
      <c r="C1733" s="9">
        <v>45809</v>
      </c>
      <c r="D1733">
        <v>44</v>
      </c>
      <c r="E1733" s="16" t="s">
        <v>135</v>
      </c>
      <c r="F1733" s="16" t="s">
        <v>92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58</v>
      </c>
      <c r="C1734" s="9">
        <v>45839</v>
      </c>
      <c r="D1734">
        <v>44</v>
      </c>
      <c r="E1734" s="16" t="s">
        <v>135</v>
      </c>
      <c r="F1734" s="16" t="s">
        <v>92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58</v>
      </c>
      <c r="C1735" s="9">
        <v>45870</v>
      </c>
      <c r="D1735">
        <v>44</v>
      </c>
      <c r="E1735" s="16" t="s">
        <v>135</v>
      </c>
      <c r="F1735" s="16" t="s">
        <v>92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58</v>
      </c>
      <c r="C1736" s="9">
        <v>45901</v>
      </c>
      <c r="D1736">
        <v>44</v>
      </c>
      <c r="E1736" s="16" t="s">
        <v>135</v>
      </c>
      <c r="F1736" s="16" t="s">
        <v>92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58</v>
      </c>
      <c r="C1737" s="9">
        <v>45931</v>
      </c>
      <c r="D1737">
        <v>44</v>
      </c>
      <c r="E1737" s="16" t="s">
        <v>135</v>
      </c>
      <c r="F1737" s="16" t="s">
        <v>92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58</v>
      </c>
      <c r="C1738" s="9">
        <v>45962</v>
      </c>
      <c r="D1738">
        <v>44</v>
      </c>
      <c r="E1738" s="16" t="s">
        <v>135</v>
      </c>
      <c r="F1738" s="16" t="s">
        <v>92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58</v>
      </c>
      <c r="C1739" s="9">
        <v>45992</v>
      </c>
      <c r="D1739">
        <v>44</v>
      </c>
      <c r="E1739" s="16" t="s">
        <v>135</v>
      </c>
      <c r="F1739" s="16" t="s">
        <v>92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58</v>
      </c>
      <c r="C1740" s="9">
        <v>46023</v>
      </c>
      <c r="D1740">
        <v>44</v>
      </c>
      <c r="E1740" s="16" t="s">
        <v>135</v>
      </c>
      <c r="F1740" s="16" t="s">
        <v>92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58</v>
      </c>
      <c r="C1741" s="9">
        <v>46054</v>
      </c>
      <c r="D1741">
        <v>44</v>
      </c>
      <c r="E1741" s="16" t="s">
        <v>135</v>
      </c>
      <c r="F1741" s="16" t="s">
        <v>92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58</v>
      </c>
      <c r="C1742" s="9">
        <v>46082</v>
      </c>
      <c r="D1742">
        <v>44</v>
      </c>
      <c r="E1742" s="16" t="s">
        <v>135</v>
      </c>
      <c r="F1742" s="16" t="s">
        <v>92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58</v>
      </c>
      <c r="C1743" s="9">
        <v>46113</v>
      </c>
      <c r="D1743">
        <v>44</v>
      </c>
      <c r="E1743" s="16" t="s">
        <v>135</v>
      </c>
      <c r="F1743" s="16" t="s">
        <v>92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58</v>
      </c>
      <c r="C1744" s="9">
        <v>46143</v>
      </c>
      <c r="D1744">
        <v>44</v>
      </c>
      <c r="E1744" s="16" t="s">
        <v>135</v>
      </c>
      <c r="F1744" s="16" t="s">
        <v>92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58</v>
      </c>
      <c r="C1745" s="9">
        <v>46174</v>
      </c>
      <c r="D1745">
        <v>44</v>
      </c>
      <c r="E1745" s="16" t="s">
        <v>135</v>
      </c>
      <c r="F1745" s="16" t="s">
        <v>92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58</v>
      </c>
      <c r="C1746" s="9">
        <v>46204</v>
      </c>
      <c r="D1746">
        <v>44</v>
      </c>
      <c r="E1746" s="16" t="s">
        <v>135</v>
      </c>
      <c r="F1746" s="16" t="s">
        <v>92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58</v>
      </c>
      <c r="C1747" s="9">
        <v>46235</v>
      </c>
      <c r="D1747">
        <v>44</v>
      </c>
      <c r="E1747" s="16" t="s">
        <v>135</v>
      </c>
      <c r="F1747" s="16" t="s">
        <v>92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58</v>
      </c>
      <c r="C1748" s="9">
        <v>46266</v>
      </c>
      <c r="D1748">
        <v>44</v>
      </c>
      <c r="E1748" s="16" t="s">
        <v>135</v>
      </c>
      <c r="F1748" s="16" t="s">
        <v>92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58</v>
      </c>
      <c r="C1749" s="9">
        <v>45689</v>
      </c>
      <c r="D1749">
        <v>45</v>
      </c>
      <c r="E1749" s="16" t="s">
        <v>136</v>
      </c>
      <c r="F1749" s="16" t="s">
        <v>85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58</v>
      </c>
      <c r="C1750" s="9">
        <v>45717</v>
      </c>
      <c r="D1750">
        <v>45</v>
      </c>
      <c r="E1750" s="16" t="s">
        <v>136</v>
      </c>
      <c r="F1750" s="16" t="s">
        <v>85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58</v>
      </c>
      <c r="C1751" s="9">
        <v>45748</v>
      </c>
      <c r="D1751">
        <v>45</v>
      </c>
      <c r="E1751" s="16" t="s">
        <v>136</v>
      </c>
      <c r="F1751" s="16" t="s">
        <v>85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58</v>
      </c>
      <c r="C1752" s="9">
        <v>45778</v>
      </c>
      <c r="D1752">
        <v>45</v>
      </c>
      <c r="E1752" s="16" t="s">
        <v>136</v>
      </c>
      <c r="F1752" s="16" t="s">
        <v>85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58</v>
      </c>
      <c r="C1753" s="9">
        <v>45809</v>
      </c>
      <c r="D1753">
        <v>45</v>
      </c>
      <c r="E1753" s="16" t="s">
        <v>136</v>
      </c>
      <c r="F1753" s="16" t="s">
        <v>85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58</v>
      </c>
      <c r="C1754" s="9">
        <v>45839</v>
      </c>
      <c r="D1754">
        <v>45</v>
      </c>
      <c r="E1754" s="16" t="s">
        <v>136</v>
      </c>
      <c r="F1754" s="16" t="s">
        <v>85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58</v>
      </c>
      <c r="C1755" s="9">
        <v>45870</v>
      </c>
      <c r="D1755">
        <v>45</v>
      </c>
      <c r="E1755" s="16" t="s">
        <v>136</v>
      </c>
      <c r="F1755" s="16" t="s">
        <v>85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58</v>
      </c>
      <c r="C1756" s="9">
        <v>45901</v>
      </c>
      <c r="D1756">
        <v>45</v>
      </c>
      <c r="E1756" s="16" t="s">
        <v>136</v>
      </c>
      <c r="F1756" s="16" t="s">
        <v>85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58</v>
      </c>
      <c r="C1757" s="9">
        <v>45931</v>
      </c>
      <c r="D1757">
        <v>45</v>
      </c>
      <c r="E1757" s="16" t="s">
        <v>136</v>
      </c>
      <c r="F1757" s="16" t="s">
        <v>85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58</v>
      </c>
      <c r="C1758" s="9">
        <v>45962</v>
      </c>
      <c r="D1758">
        <v>45</v>
      </c>
      <c r="E1758" s="16" t="s">
        <v>136</v>
      </c>
      <c r="F1758" s="16" t="s">
        <v>85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58</v>
      </c>
      <c r="C1759" s="9">
        <v>45992</v>
      </c>
      <c r="D1759">
        <v>45</v>
      </c>
      <c r="E1759" s="16" t="s">
        <v>136</v>
      </c>
      <c r="F1759" s="16" t="s">
        <v>85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58</v>
      </c>
      <c r="C1760" s="9">
        <v>46023</v>
      </c>
      <c r="D1760">
        <v>45</v>
      </c>
      <c r="E1760" s="16" t="s">
        <v>136</v>
      </c>
      <c r="F1760" s="16" t="s">
        <v>85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58</v>
      </c>
      <c r="C1761" s="9">
        <v>46054</v>
      </c>
      <c r="D1761">
        <v>45</v>
      </c>
      <c r="E1761" s="16" t="s">
        <v>136</v>
      </c>
      <c r="F1761" s="16" t="s">
        <v>85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58</v>
      </c>
      <c r="C1762" s="9">
        <v>46082</v>
      </c>
      <c r="D1762">
        <v>45</v>
      </c>
      <c r="E1762" s="16" t="s">
        <v>136</v>
      </c>
      <c r="F1762" s="16" t="s">
        <v>85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58</v>
      </c>
      <c r="C1763" s="9">
        <v>46113</v>
      </c>
      <c r="D1763">
        <v>45</v>
      </c>
      <c r="E1763" s="16" t="s">
        <v>136</v>
      </c>
      <c r="F1763" s="16" t="s">
        <v>85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58</v>
      </c>
      <c r="C1764" s="9">
        <v>46143</v>
      </c>
      <c r="D1764">
        <v>45</v>
      </c>
      <c r="E1764" s="16" t="s">
        <v>136</v>
      </c>
      <c r="F1764" s="16" t="s">
        <v>85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58</v>
      </c>
      <c r="C1765" s="9">
        <v>46174</v>
      </c>
      <c r="D1765">
        <v>45</v>
      </c>
      <c r="E1765" s="16" t="s">
        <v>136</v>
      </c>
      <c r="F1765" s="16" t="s">
        <v>85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58</v>
      </c>
      <c r="C1766" s="9">
        <v>46204</v>
      </c>
      <c r="D1766">
        <v>45</v>
      </c>
      <c r="E1766" s="16" t="s">
        <v>136</v>
      </c>
      <c r="F1766" s="16" t="s">
        <v>85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58</v>
      </c>
      <c r="C1767" s="9">
        <v>46235</v>
      </c>
      <c r="D1767">
        <v>45</v>
      </c>
      <c r="E1767" s="16" t="s">
        <v>136</v>
      </c>
      <c r="F1767" s="16" t="s">
        <v>85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58</v>
      </c>
      <c r="C1768" s="9">
        <v>46266</v>
      </c>
      <c r="D1768">
        <v>45</v>
      </c>
      <c r="E1768" s="16" t="s">
        <v>136</v>
      </c>
      <c r="F1768" s="16" t="s">
        <v>85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58</v>
      </c>
      <c r="C1769" s="9">
        <v>45689</v>
      </c>
      <c r="D1769">
        <v>46</v>
      </c>
      <c r="E1769" s="16" t="s">
        <v>137</v>
      </c>
      <c r="F1769" s="16" t="s">
        <v>110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58</v>
      </c>
      <c r="C1770" s="9">
        <v>45717</v>
      </c>
      <c r="D1770">
        <v>46</v>
      </c>
      <c r="E1770" s="16" t="s">
        <v>137</v>
      </c>
      <c r="F1770" s="16" t="s">
        <v>110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58</v>
      </c>
      <c r="C1771" s="9">
        <v>45748</v>
      </c>
      <c r="D1771">
        <v>46</v>
      </c>
      <c r="E1771" s="16" t="s">
        <v>137</v>
      </c>
      <c r="F1771" s="16" t="s">
        <v>110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58</v>
      </c>
      <c r="C1772" s="9">
        <v>45778</v>
      </c>
      <c r="D1772">
        <v>46</v>
      </c>
      <c r="E1772" s="16" t="s">
        <v>137</v>
      </c>
      <c r="F1772" s="16" t="s">
        <v>110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58</v>
      </c>
      <c r="C1773" s="9">
        <v>45809</v>
      </c>
      <c r="D1773">
        <v>46</v>
      </c>
      <c r="E1773" s="16" t="s">
        <v>137</v>
      </c>
      <c r="F1773" s="16" t="s">
        <v>110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58</v>
      </c>
      <c r="C1774" s="9">
        <v>45839</v>
      </c>
      <c r="D1774">
        <v>46</v>
      </c>
      <c r="E1774" s="16" t="s">
        <v>137</v>
      </c>
      <c r="F1774" s="16" t="s">
        <v>110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58</v>
      </c>
      <c r="C1775" s="9">
        <v>45870</v>
      </c>
      <c r="D1775">
        <v>46</v>
      </c>
      <c r="E1775" s="16" t="s">
        <v>137</v>
      </c>
      <c r="F1775" s="16" t="s">
        <v>110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58</v>
      </c>
      <c r="C1776" s="9">
        <v>45901</v>
      </c>
      <c r="D1776">
        <v>46</v>
      </c>
      <c r="E1776" s="16" t="s">
        <v>137</v>
      </c>
      <c r="F1776" s="16" t="s">
        <v>110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58</v>
      </c>
      <c r="C1777" s="9">
        <v>45931</v>
      </c>
      <c r="D1777">
        <v>46</v>
      </c>
      <c r="E1777" s="16" t="s">
        <v>137</v>
      </c>
      <c r="F1777" s="16" t="s">
        <v>110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58</v>
      </c>
      <c r="C1778" s="9">
        <v>45962</v>
      </c>
      <c r="D1778">
        <v>46</v>
      </c>
      <c r="E1778" s="16" t="s">
        <v>137</v>
      </c>
      <c r="F1778" s="16" t="s">
        <v>110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58</v>
      </c>
      <c r="C1779" s="9">
        <v>45992</v>
      </c>
      <c r="D1779">
        <v>46</v>
      </c>
      <c r="E1779" s="16" t="s">
        <v>137</v>
      </c>
      <c r="F1779" s="16" t="s">
        <v>110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58</v>
      </c>
      <c r="C1780" s="9">
        <v>46023</v>
      </c>
      <c r="D1780">
        <v>46</v>
      </c>
      <c r="E1780" s="16" t="s">
        <v>137</v>
      </c>
      <c r="F1780" s="16" t="s">
        <v>110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58</v>
      </c>
      <c r="C1781" s="9">
        <v>46054</v>
      </c>
      <c r="D1781">
        <v>46</v>
      </c>
      <c r="E1781" s="16" t="s">
        <v>137</v>
      </c>
      <c r="F1781" s="16" t="s">
        <v>110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58</v>
      </c>
      <c r="C1782" s="9">
        <v>46082</v>
      </c>
      <c r="D1782">
        <v>46</v>
      </c>
      <c r="E1782" s="16" t="s">
        <v>137</v>
      </c>
      <c r="F1782" s="16" t="s">
        <v>110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58</v>
      </c>
      <c r="C1783" s="9">
        <v>46113</v>
      </c>
      <c r="D1783">
        <v>46</v>
      </c>
      <c r="E1783" s="16" t="s">
        <v>137</v>
      </c>
      <c r="F1783" s="16" t="s">
        <v>110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58</v>
      </c>
      <c r="C1784" s="9">
        <v>46143</v>
      </c>
      <c r="D1784">
        <v>46</v>
      </c>
      <c r="E1784" s="16" t="s">
        <v>137</v>
      </c>
      <c r="F1784" s="16" t="s">
        <v>110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58</v>
      </c>
      <c r="C1785" s="9">
        <v>46174</v>
      </c>
      <c r="D1785">
        <v>46</v>
      </c>
      <c r="E1785" s="16" t="s">
        <v>137</v>
      </c>
      <c r="F1785" s="16" t="s">
        <v>110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58</v>
      </c>
      <c r="C1786" s="9">
        <v>46204</v>
      </c>
      <c r="D1786">
        <v>46</v>
      </c>
      <c r="E1786" s="16" t="s">
        <v>137</v>
      </c>
      <c r="F1786" s="16" t="s">
        <v>110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58</v>
      </c>
      <c r="C1787" s="9">
        <v>46235</v>
      </c>
      <c r="D1787">
        <v>46</v>
      </c>
      <c r="E1787" s="16" t="s">
        <v>137</v>
      </c>
      <c r="F1787" s="16" t="s">
        <v>110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58</v>
      </c>
      <c r="C1788" s="9">
        <v>46266</v>
      </c>
      <c r="D1788">
        <v>46</v>
      </c>
      <c r="E1788" s="16" t="s">
        <v>137</v>
      </c>
      <c r="F1788" s="16" t="s">
        <v>110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58</v>
      </c>
      <c r="C1789" s="9">
        <v>45689</v>
      </c>
      <c r="D1789">
        <v>47</v>
      </c>
      <c r="E1789" s="16" t="s">
        <v>138</v>
      </c>
      <c r="F1789" s="16" t="s">
        <v>94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58</v>
      </c>
      <c r="C1790" s="9">
        <v>45717</v>
      </c>
      <c r="D1790">
        <v>47</v>
      </c>
      <c r="E1790" s="16" t="s">
        <v>138</v>
      </c>
      <c r="F1790" s="16" t="s">
        <v>94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58</v>
      </c>
      <c r="C1791" s="9">
        <v>45748</v>
      </c>
      <c r="D1791">
        <v>47</v>
      </c>
      <c r="E1791" s="16" t="s">
        <v>138</v>
      </c>
      <c r="F1791" s="16" t="s">
        <v>94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58</v>
      </c>
      <c r="C1792" s="9">
        <v>45778</v>
      </c>
      <c r="D1792">
        <v>47</v>
      </c>
      <c r="E1792" s="16" t="s">
        <v>138</v>
      </c>
      <c r="F1792" s="16" t="s">
        <v>94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58</v>
      </c>
      <c r="C1793" s="9">
        <v>45809</v>
      </c>
      <c r="D1793">
        <v>47</v>
      </c>
      <c r="E1793" s="16" t="s">
        <v>138</v>
      </c>
      <c r="F1793" s="16" t="s">
        <v>94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58</v>
      </c>
      <c r="C1794" s="9">
        <v>45839</v>
      </c>
      <c r="D1794">
        <v>47</v>
      </c>
      <c r="E1794" s="16" t="s">
        <v>138</v>
      </c>
      <c r="F1794" s="16" t="s">
        <v>94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58</v>
      </c>
      <c r="C1795" s="9">
        <v>45870</v>
      </c>
      <c r="D1795">
        <v>47</v>
      </c>
      <c r="E1795" s="16" t="s">
        <v>138</v>
      </c>
      <c r="F1795" s="16" t="s">
        <v>94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58</v>
      </c>
      <c r="C1796" s="9">
        <v>45901</v>
      </c>
      <c r="D1796">
        <v>47</v>
      </c>
      <c r="E1796" s="16" t="s">
        <v>138</v>
      </c>
      <c r="F1796" s="16" t="s">
        <v>94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58</v>
      </c>
      <c r="C1797" s="9">
        <v>45931</v>
      </c>
      <c r="D1797">
        <v>47</v>
      </c>
      <c r="E1797" s="16" t="s">
        <v>138</v>
      </c>
      <c r="F1797" s="16" t="s">
        <v>94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58</v>
      </c>
      <c r="C1798" s="9">
        <v>45962</v>
      </c>
      <c r="D1798">
        <v>47</v>
      </c>
      <c r="E1798" s="16" t="s">
        <v>138</v>
      </c>
      <c r="F1798" s="16" t="s">
        <v>94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58</v>
      </c>
      <c r="C1799" s="9">
        <v>45992</v>
      </c>
      <c r="D1799">
        <v>47</v>
      </c>
      <c r="E1799" s="16" t="s">
        <v>138</v>
      </c>
      <c r="F1799" s="16" t="s">
        <v>94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58</v>
      </c>
      <c r="C1800" s="9">
        <v>46023</v>
      </c>
      <c r="D1800">
        <v>47</v>
      </c>
      <c r="E1800" s="16" t="s">
        <v>138</v>
      </c>
      <c r="F1800" s="16" t="s">
        <v>94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58</v>
      </c>
      <c r="C1801" s="9">
        <v>46054</v>
      </c>
      <c r="D1801">
        <v>47</v>
      </c>
      <c r="E1801" s="16" t="s">
        <v>138</v>
      </c>
      <c r="F1801" s="16" t="s">
        <v>94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58</v>
      </c>
      <c r="C1802" s="9">
        <v>46082</v>
      </c>
      <c r="D1802">
        <v>47</v>
      </c>
      <c r="E1802" s="16" t="s">
        <v>138</v>
      </c>
      <c r="F1802" s="16" t="s">
        <v>94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58</v>
      </c>
      <c r="C1803" s="9">
        <v>46113</v>
      </c>
      <c r="D1803">
        <v>47</v>
      </c>
      <c r="E1803" s="16" t="s">
        <v>138</v>
      </c>
      <c r="F1803" s="16" t="s">
        <v>94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58</v>
      </c>
      <c r="C1804" s="9">
        <v>46143</v>
      </c>
      <c r="D1804">
        <v>47</v>
      </c>
      <c r="E1804" s="16" t="s">
        <v>138</v>
      </c>
      <c r="F1804" s="16" t="s">
        <v>94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58</v>
      </c>
      <c r="C1805" s="9">
        <v>46174</v>
      </c>
      <c r="D1805">
        <v>47</v>
      </c>
      <c r="E1805" s="16" t="s">
        <v>138</v>
      </c>
      <c r="F1805" s="16" t="s">
        <v>94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58</v>
      </c>
      <c r="C1806" s="9">
        <v>46204</v>
      </c>
      <c r="D1806">
        <v>47</v>
      </c>
      <c r="E1806" s="16" t="s">
        <v>138</v>
      </c>
      <c r="F1806" s="16" t="s">
        <v>94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58</v>
      </c>
      <c r="C1807" s="9">
        <v>46235</v>
      </c>
      <c r="D1807">
        <v>47</v>
      </c>
      <c r="E1807" s="16" t="s">
        <v>138</v>
      </c>
      <c r="F1807" s="16" t="s">
        <v>94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58</v>
      </c>
      <c r="C1808" s="9">
        <v>46266</v>
      </c>
      <c r="D1808">
        <v>47</v>
      </c>
      <c r="E1808" s="16" t="s">
        <v>138</v>
      </c>
      <c r="F1808" s="16" t="s">
        <v>94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58</v>
      </c>
      <c r="C1809" s="9">
        <v>45689</v>
      </c>
      <c r="D1809">
        <v>48</v>
      </c>
      <c r="E1809" s="16" t="s">
        <v>139</v>
      </c>
      <c r="F1809" s="16" t="s">
        <v>140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58</v>
      </c>
      <c r="C1810" s="9">
        <v>45717</v>
      </c>
      <c r="D1810">
        <v>48</v>
      </c>
      <c r="E1810" s="16" t="s">
        <v>139</v>
      </c>
      <c r="F1810" s="16" t="s">
        <v>140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58</v>
      </c>
      <c r="C1811" s="9">
        <v>45748</v>
      </c>
      <c r="D1811">
        <v>48</v>
      </c>
      <c r="E1811" s="16" t="s">
        <v>139</v>
      </c>
      <c r="F1811" s="16" t="s">
        <v>140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58</v>
      </c>
      <c r="C1812" s="9">
        <v>45778</v>
      </c>
      <c r="D1812">
        <v>48</v>
      </c>
      <c r="E1812" s="16" t="s">
        <v>139</v>
      </c>
      <c r="F1812" s="16" t="s">
        <v>140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58</v>
      </c>
      <c r="C1813" s="9">
        <v>45809</v>
      </c>
      <c r="D1813">
        <v>48</v>
      </c>
      <c r="E1813" s="16" t="s">
        <v>139</v>
      </c>
      <c r="F1813" s="16" t="s">
        <v>140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58</v>
      </c>
      <c r="C1814" s="9">
        <v>45839</v>
      </c>
      <c r="D1814">
        <v>48</v>
      </c>
      <c r="E1814" s="16" t="s">
        <v>139</v>
      </c>
      <c r="F1814" s="16" t="s">
        <v>140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58</v>
      </c>
      <c r="C1815" s="9">
        <v>45870</v>
      </c>
      <c r="D1815">
        <v>48</v>
      </c>
      <c r="E1815" s="16" t="s">
        <v>139</v>
      </c>
      <c r="F1815" s="16" t="s">
        <v>140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58</v>
      </c>
      <c r="C1816" s="9">
        <v>45901</v>
      </c>
      <c r="D1816">
        <v>48</v>
      </c>
      <c r="E1816" s="16" t="s">
        <v>139</v>
      </c>
      <c r="F1816" s="16" t="s">
        <v>140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58</v>
      </c>
      <c r="C1817" s="9">
        <v>45931</v>
      </c>
      <c r="D1817">
        <v>48</v>
      </c>
      <c r="E1817" s="16" t="s">
        <v>139</v>
      </c>
      <c r="F1817" s="16" t="s">
        <v>140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58</v>
      </c>
      <c r="C1818" s="9">
        <v>45962</v>
      </c>
      <c r="D1818">
        <v>48</v>
      </c>
      <c r="E1818" s="16" t="s">
        <v>139</v>
      </c>
      <c r="F1818" s="16" t="s">
        <v>140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58</v>
      </c>
      <c r="C1819" s="9">
        <v>45992</v>
      </c>
      <c r="D1819">
        <v>48</v>
      </c>
      <c r="E1819" s="16" t="s">
        <v>139</v>
      </c>
      <c r="F1819" s="16" t="s">
        <v>140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58</v>
      </c>
      <c r="C1820" s="9">
        <v>46023</v>
      </c>
      <c r="D1820">
        <v>48</v>
      </c>
      <c r="E1820" s="16" t="s">
        <v>139</v>
      </c>
      <c r="F1820" s="16" t="s">
        <v>140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58</v>
      </c>
      <c r="C1821" s="9">
        <v>46054</v>
      </c>
      <c r="D1821">
        <v>48</v>
      </c>
      <c r="E1821" s="16" t="s">
        <v>139</v>
      </c>
      <c r="F1821" s="16" t="s">
        <v>140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58</v>
      </c>
      <c r="C1822" s="9">
        <v>46082</v>
      </c>
      <c r="D1822">
        <v>48</v>
      </c>
      <c r="E1822" s="16" t="s">
        <v>139</v>
      </c>
      <c r="F1822" s="16" t="s">
        <v>140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58</v>
      </c>
      <c r="C1823" s="9">
        <v>46113</v>
      </c>
      <c r="D1823">
        <v>48</v>
      </c>
      <c r="E1823" s="16" t="s">
        <v>139</v>
      </c>
      <c r="F1823" s="16" t="s">
        <v>140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58</v>
      </c>
      <c r="C1824" s="9">
        <v>46143</v>
      </c>
      <c r="D1824">
        <v>48</v>
      </c>
      <c r="E1824" s="16" t="s">
        <v>139</v>
      </c>
      <c r="F1824" s="16" t="s">
        <v>140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58</v>
      </c>
      <c r="C1825" s="9">
        <v>46174</v>
      </c>
      <c r="D1825">
        <v>48</v>
      </c>
      <c r="E1825" s="16" t="s">
        <v>139</v>
      </c>
      <c r="F1825" s="16" t="s">
        <v>140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58</v>
      </c>
      <c r="C1826" s="9">
        <v>46204</v>
      </c>
      <c r="D1826">
        <v>48</v>
      </c>
      <c r="E1826" s="16" t="s">
        <v>139</v>
      </c>
      <c r="F1826" s="16" t="s">
        <v>140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58</v>
      </c>
      <c r="C1827" s="9">
        <v>46235</v>
      </c>
      <c r="D1827">
        <v>48</v>
      </c>
      <c r="E1827" s="16" t="s">
        <v>139</v>
      </c>
      <c r="F1827" s="16" t="s">
        <v>140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58</v>
      </c>
      <c r="C1828" s="9">
        <v>46266</v>
      </c>
      <c r="D1828">
        <v>48</v>
      </c>
      <c r="E1828" s="16" t="s">
        <v>139</v>
      </c>
      <c r="F1828" s="16" t="s">
        <v>140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58</v>
      </c>
      <c r="C1829" s="9">
        <v>45689</v>
      </c>
      <c r="D1829">
        <v>49</v>
      </c>
      <c r="E1829" s="16" t="s">
        <v>141</v>
      </c>
      <c r="F1829" s="16" t="s">
        <v>140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58</v>
      </c>
      <c r="C1830" s="9">
        <v>45717</v>
      </c>
      <c r="D1830">
        <v>49</v>
      </c>
      <c r="E1830" s="16" t="s">
        <v>141</v>
      </c>
      <c r="F1830" s="16" t="s">
        <v>140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58</v>
      </c>
      <c r="C1831" s="9">
        <v>45748</v>
      </c>
      <c r="D1831">
        <v>49</v>
      </c>
      <c r="E1831" s="16" t="s">
        <v>141</v>
      </c>
      <c r="F1831" s="16" t="s">
        <v>140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58</v>
      </c>
      <c r="C1832" s="9">
        <v>45778</v>
      </c>
      <c r="D1832">
        <v>49</v>
      </c>
      <c r="E1832" s="16" t="s">
        <v>141</v>
      </c>
      <c r="F1832" s="16" t="s">
        <v>140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58</v>
      </c>
      <c r="C1833" s="9">
        <v>45809</v>
      </c>
      <c r="D1833">
        <v>49</v>
      </c>
      <c r="E1833" s="16" t="s">
        <v>141</v>
      </c>
      <c r="F1833" s="16" t="s">
        <v>140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58</v>
      </c>
      <c r="C1834" s="9">
        <v>45839</v>
      </c>
      <c r="D1834">
        <v>49</v>
      </c>
      <c r="E1834" s="16" t="s">
        <v>141</v>
      </c>
      <c r="F1834" s="16" t="s">
        <v>140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58</v>
      </c>
      <c r="C1835" s="9">
        <v>45870</v>
      </c>
      <c r="D1835">
        <v>49</v>
      </c>
      <c r="E1835" s="16" t="s">
        <v>141</v>
      </c>
      <c r="F1835" s="16" t="s">
        <v>140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58</v>
      </c>
      <c r="C1836" s="9">
        <v>45901</v>
      </c>
      <c r="D1836">
        <v>49</v>
      </c>
      <c r="E1836" s="16" t="s">
        <v>141</v>
      </c>
      <c r="F1836" s="16" t="s">
        <v>140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58</v>
      </c>
      <c r="C1837" s="9">
        <v>45931</v>
      </c>
      <c r="D1837">
        <v>49</v>
      </c>
      <c r="E1837" s="16" t="s">
        <v>141</v>
      </c>
      <c r="F1837" s="16" t="s">
        <v>140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58</v>
      </c>
      <c r="C1838" s="9">
        <v>45962</v>
      </c>
      <c r="D1838">
        <v>49</v>
      </c>
      <c r="E1838" s="16" t="s">
        <v>141</v>
      </c>
      <c r="F1838" s="16" t="s">
        <v>140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58</v>
      </c>
      <c r="C1839" s="9">
        <v>45992</v>
      </c>
      <c r="D1839">
        <v>49</v>
      </c>
      <c r="E1839" s="16" t="s">
        <v>141</v>
      </c>
      <c r="F1839" s="16" t="s">
        <v>140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58</v>
      </c>
      <c r="C1840" s="9">
        <v>46023</v>
      </c>
      <c r="D1840">
        <v>49</v>
      </c>
      <c r="E1840" s="16" t="s">
        <v>141</v>
      </c>
      <c r="F1840" s="16" t="s">
        <v>140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58</v>
      </c>
      <c r="C1841" s="9">
        <v>46054</v>
      </c>
      <c r="D1841">
        <v>49</v>
      </c>
      <c r="E1841" s="16" t="s">
        <v>141</v>
      </c>
      <c r="F1841" s="16" t="s">
        <v>140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58</v>
      </c>
      <c r="C1842" s="9">
        <v>46082</v>
      </c>
      <c r="D1842">
        <v>49</v>
      </c>
      <c r="E1842" s="16" t="s">
        <v>141</v>
      </c>
      <c r="F1842" s="16" t="s">
        <v>140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58</v>
      </c>
      <c r="C1843" s="9">
        <v>46113</v>
      </c>
      <c r="D1843">
        <v>49</v>
      </c>
      <c r="E1843" s="16" t="s">
        <v>141</v>
      </c>
      <c r="F1843" s="16" t="s">
        <v>140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58</v>
      </c>
      <c r="C1844" s="9">
        <v>46143</v>
      </c>
      <c r="D1844">
        <v>49</v>
      </c>
      <c r="E1844" s="16" t="s">
        <v>141</v>
      </c>
      <c r="F1844" s="16" t="s">
        <v>140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58</v>
      </c>
      <c r="C1845" s="9">
        <v>46174</v>
      </c>
      <c r="D1845">
        <v>49</v>
      </c>
      <c r="E1845" s="16" t="s">
        <v>141</v>
      </c>
      <c r="F1845" s="16" t="s">
        <v>140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58</v>
      </c>
      <c r="C1846" s="9">
        <v>46204</v>
      </c>
      <c r="D1846">
        <v>49</v>
      </c>
      <c r="E1846" s="16" t="s">
        <v>141</v>
      </c>
      <c r="F1846" s="16" t="s">
        <v>140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58</v>
      </c>
      <c r="C1847" s="9">
        <v>46235</v>
      </c>
      <c r="D1847">
        <v>49</v>
      </c>
      <c r="E1847" s="16" t="s">
        <v>141</v>
      </c>
      <c r="F1847" s="16" t="s">
        <v>140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58</v>
      </c>
      <c r="C1848" s="9">
        <v>46266</v>
      </c>
      <c r="D1848">
        <v>49</v>
      </c>
      <c r="E1848" s="16" t="s">
        <v>141</v>
      </c>
      <c r="F1848" s="16" t="s">
        <v>140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58</v>
      </c>
      <c r="C1849" s="9">
        <v>45689</v>
      </c>
      <c r="D1849">
        <v>50</v>
      </c>
      <c r="E1849" s="16" t="s">
        <v>142</v>
      </c>
      <c r="F1849" s="16" t="s">
        <v>140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58</v>
      </c>
      <c r="C1850" s="9">
        <v>45717</v>
      </c>
      <c r="D1850">
        <v>50</v>
      </c>
      <c r="E1850" s="16" t="s">
        <v>142</v>
      </c>
      <c r="F1850" s="16" t="s">
        <v>140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58</v>
      </c>
      <c r="C1851" s="9">
        <v>45748</v>
      </c>
      <c r="D1851">
        <v>50</v>
      </c>
      <c r="E1851" s="16" t="s">
        <v>142</v>
      </c>
      <c r="F1851" s="16" t="s">
        <v>140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58</v>
      </c>
      <c r="C1852" s="9">
        <v>45778</v>
      </c>
      <c r="D1852">
        <v>50</v>
      </c>
      <c r="E1852" s="16" t="s">
        <v>142</v>
      </c>
      <c r="F1852" s="16" t="s">
        <v>140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58</v>
      </c>
      <c r="C1853" s="9">
        <v>45809</v>
      </c>
      <c r="D1853">
        <v>50</v>
      </c>
      <c r="E1853" s="16" t="s">
        <v>142</v>
      </c>
      <c r="F1853" s="16" t="s">
        <v>140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58</v>
      </c>
      <c r="C1854" s="9">
        <v>45839</v>
      </c>
      <c r="D1854">
        <v>50</v>
      </c>
      <c r="E1854" s="16" t="s">
        <v>142</v>
      </c>
      <c r="F1854" s="16" t="s">
        <v>140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58</v>
      </c>
      <c r="C1855" s="9">
        <v>45870</v>
      </c>
      <c r="D1855">
        <v>50</v>
      </c>
      <c r="E1855" s="16" t="s">
        <v>142</v>
      </c>
      <c r="F1855" s="16" t="s">
        <v>140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58</v>
      </c>
      <c r="C1856" s="9">
        <v>45901</v>
      </c>
      <c r="D1856">
        <v>50</v>
      </c>
      <c r="E1856" s="16" t="s">
        <v>142</v>
      </c>
      <c r="F1856" s="16" t="s">
        <v>140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58</v>
      </c>
      <c r="C1857" s="9">
        <v>45931</v>
      </c>
      <c r="D1857">
        <v>50</v>
      </c>
      <c r="E1857" s="16" t="s">
        <v>142</v>
      </c>
      <c r="F1857" s="16" t="s">
        <v>140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58</v>
      </c>
      <c r="C1858" s="9">
        <v>45962</v>
      </c>
      <c r="D1858">
        <v>50</v>
      </c>
      <c r="E1858" s="16" t="s">
        <v>142</v>
      </c>
      <c r="F1858" s="16" t="s">
        <v>140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58</v>
      </c>
      <c r="C1859" s="9">
        <v>45992</v>
      </c>
      <c r="D1859">
        <v>50</v>
      </c>
      <c r="E1859" s="16" t="s">
        <v>142</v>
      </c>
      <c r="F1859" s="16" t="s">
        <v>140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58</v>
      </c>
      <c r="C1860" s="9">
        <v>46023</v>
      </c>
      <c r="D1860">
        <v>50</v>
      </c>
      <c r="E1860" s="16" t="s">
        <v>142</v>
      </c>
      <c r="F1860" s="16" t="s">
        <v>140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58</v>
      </c>
      <c r="C1861" s="9">
        <v>46054</v>
      </c>
      <c r="D1861">
        <v>50</v>
      </c>
      <c r="E1861" s="16" t="s">
        <v>142</v>
      </c>
      <c r="F1861" s="16" t="s">
        <v>140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58</v>
      </c>
      <c r="C1862" s="9">
        <v>46082</v>
      </c>
      <c r="D1862">
        <v>50</v>
      </c>
      <c r="E1862" s="16" t="s">
        <v>142</v>
      </c>
      <c r="F1862" s="16" t="s">
        <v>140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58</v>
      </c>
      <c r="C1863" s="9">
        <v>46113</v>
      </c>
      <c r="D1863">
        <v>50</v>
      </c>
      <c r="E1863" s="16" t="s">
        <v>142</v>
      </c>
      <c r="F1863" s="16" t="s">
        <v>140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58</v>
      </c>
      <c r="C1864" s="9">
        <v>46143</v>
      </c>
      <c r="D1864">
        <v>50</v>
      </c>
      <c r="E1864" s="16" t="s">
        <v>142</v>
      </c>
      <c r="F1864" s="16" t="s">
        <v>140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58</v>
      </c>
      <c r="C1865" s="9">
        <v>46174</v>
      </c>
      <c r="D1865">
        <v>50</v>
      </c>
      <c r="E1865" s="16" t="s">
        <v>142</v>
      </c>
      <c r="F1865" s="16" t="s">
        <v>140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58</v>
      </c>
      <c r="C1866" s="9">
        <v>46204</v>
      </c>
      <c r="D1866">
        <v>50</v>
      </c>
      <c r="E1866" s="16" t="s">
        <v>142</v>
      </c>
      <c r="F1866" s="16" t="s">
        <v>140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58</v>
      </c>
      <c r="C1867" s="9">
        <v>46235</v>
      </c>
      <c r="D1867">
        <v>50</v>
      </c>
      <c r="E1867" s="16" t="s">
        <v>142</v>
      </c>
      <c r="F1867" s="16" t="s">
        <v>140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58</v>
      </c>
      <c r="C1868" s="9">
        <v>46266</v>
      </c>
      <c r="D1868">
        <v>50</v>
      </c>
      <c r="E1868" s="16" t="s">
        <v>142</v>
      </c>
      <c r="F1868" s="16" t="s">
        <v>140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58</v>
      </c>
      <c r="C1869" s="9">
        <v>45689</v>
      </c>
      <c r="D1869">
        <v>51</v>
      </c>
      <c r="E1869" s="16" t="s">
        <v>143</v>
      </c>
      <c r="F1869" s="16" t="s">
        <v>83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58</v>
      </c>
      <c r="C1870" s="9">
        <v>45717</v>
      </c>
      <c r="D1870">
        <v>51</v>
      </c>
      <c r="E1870" s="16" t="s">
        <v>143</v>
      </c>
      <c r="F1870" s="16" t="s">
        <v>83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58</v>
      </c>
      <c r="C1871" s="9">
        <v>45748</v>
      </c>
      <c r="D1871">
        <v>51</v>
      </c>
      <c r="E1871" s="16" t="s">
        <v>143</v>
      </c>
      <c r="F1871" s="16" t="s">
        <v>83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58</v>
      </c>
      <c r="C1872" s="9">
        <v>45778</v>
      </c>
      <c r="D1872">
        <v>51</v>
      </c>
      <c r="E1872" s="16" t="s">
        <v>143</v>
      </c>
      <c r="F1872" s="16" t="s">
        <v>83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58</v>
      </c>
      <c r="C1873" s="9">
        <v>45809</v>
      </c>
      <c r="D1873">
        <v>51</v>
      </c>
      <c r="E1873" s="16" t="s">
        <v>143</v>
      </c>
      <c r="F1873" s="16" t="s">
        <v>83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58</v>
      </c>
      <c r="C1874" s="9">
        <v>45839</v>
      </c>
      <c r="D1874">
        <v>51</v>
      </c>
      <c r="E1874" s="16" t="s">
        <v>143</v>
      </c>
      <c r="F1874" s="16" t="s">
        <v>83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58</v>
      </c>
      <c r="C1875" s="9">
        <v>45870</v>
      </c>
      <c r="D1875">
        <v>51</v>
      </c>
      <c r="E1875" s="16" t="s">
        <v>143</v>
      </c>
      <c r="F1875" s="16" t="s">
        <v>83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58</v>
      </c>
      <c r="C1876" s="9">
        <v>45901</v>
      </c>
      <c r="D1876">
        <v>51</v>
      </c>
      <c r="E1876" s="16" t="s">
        <v>143</v>
      </c>
      <c r="F1876" s="16" t="s">
        <v>83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58</v>
      </c>
      <c r="C1877" s="9">
        <v>45931</v>
      </c>
      <c r="D1877">
        <v>51</v>
      </c>
      <c r="E1877" s="16" t="s">
        <v>143</v>
      </c>
      <c r="F1877" s="16" t="s">
        <v>83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58</v>
      </c>
      <c r="C1878" s="9">
        <v>45962</v>
      </c>
      <c r="D1878">
        <v>51</v>
      </c>
      <c r="E1878" s="16" t="s">
        <v>143</v>
      </c>
      <c r="F1878" s="16" t="s">
        <v>83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58</v>
      </c>
      <c r="C1879" s="9">
        <v>45992</v>
      </c>
      <c r="D1879">
        <v>51</v>
      </c>
      <c r="E1879" s="16" t="s">
        <v>143</v>
      </c>
      <c r="F1879" s="16" t="s">
        <v>83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58</v>
      </c>
      <c r="C1880" s="9">
        <v>46023</v>
      </c>
      <c r="D1880">
        <v>51</v>
      </c>
      <c r="E1880" s="16" t="s">
        <v>143</v>
      </c>
      <c r="F1880" s="16" t="s">
        <v>83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58</v>
      </c>
      <c r="C1881" s="9">
        <v>46054</v>
      </c>
      <c r="D1881">
        <v>51</v>
      </c>
      <c r="E1881" s="16" t="s">
        <v>143</v>
      </c>
      <c r="F1881" s="16" t="s">
        <v>83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58</v>
      </c>
      <c r="C1882" s="9">
        <v>46082</v>
      </c>
      <c r="D1882">
        <v>51</v>
      </c>
      <c r="E1882" s="16" t="s">
        <v>143</v>
      </c>
      <c r="F1882" s="16" t="s">
        <v>83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58</v>
      </c>
      <c r="C1883" s="9">
        <v>46113</v>
      </c>
      <c r="D1883">
        <v>51</v>
      </c>
      <c r="E1883" s="16" t="s">
        <v>143</v>
      </c>
      <c r="F1883" s="16" t="s">
        <v>83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58</v>
      </c>
      <c r="C1884" s="9">
        <v>46143</v>
      </c>
      <c r="D1884">
        <v>51</v>
      </c>
      <c r="E1884" s="16" t="s">
        <v>143</v>
      </c>
      <c r="F1884" s="16" t="s">
        <v>83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58</v>
      </c>
      <c r="C1885" s="9">
        <v>46174</v>
      </c>
      <c r="D1885">
        <v>51</v>
      </c>
      <c r="E1885" s="16" t="s">
        <v>143</v>
      </c>
      <c r="F1885" s="16" t="s">
        <v>83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58</v>
      </c>
      <c r="C1886" s="9">
        <v>46204</v>
      </c>
      <c r="D1886">
        <v>51</v>
      </c>
      <c r="E1886" s="16" t="s">
        <v>143</v>
      </c>
      <c r="F1886" s="16" t="s">
        <v>83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58</v>
      </c>
      <c r="C1887" s="9">
        <v>46235</v>
      </c>
      <c r="D1887">
        <v>51</v>
      </c>
      <c r="E1887" s="16" t="s">
        <v>143</v>
      </c>
      <c r="F1887" s="16" t="s">
        <v>83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58</v>
      </c>
      <c r="C1888" s="9">
        <v>46266</v>
      </c>
      <c r="D1888">
        <v>51</v>
      </c>
      <c r="E1888" s="16" t="s">
        <v>143</v>
      </c>
      <c r="F1888" s="16" t="s">
        <v>83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58</v>
      </c>
      <c r="C1889" s="9">
        <v>45689</v>
      </c>
      <c r="D1889">
        <v>52</v>
      </c>
      <c r="E1889" s="16" t="s">
        <v>144</v>
      </c>
      <c r="F1889" s="16" t="s">
        <v>110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58</v>
      </c>
      <c r="C1890" s="9">
        <v>45748</v>
      </c>
      <c r="D1890">
        <v>52</v>
      </c>
      <c r="E1890" s="16" t="s">
        <v>144</v>
      </c>
      <c r="F1890" s="16" t="s">
        <v>110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58</v>
      </c>
      <c r="C1891" s="9">
        <v>45778</v>
      </c>
      <c r="D1891">
        <v>52</v>
      </c>
      <c r="E1891" s="16" t="s">
        <v>144</v>
      </c>
      <c r="F1891" s="16" t="s">
        <v>110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58</v>
      </c>
      <c r="C1892" s="9">
        <v>45839</v>
      </c>
      <c r="D1892">
        <v>52</v>
      </c>
      <c r="E1892" s="16" t="s">
        <v>144</v>
      </c>
      <c r="F1892" s="16" t="s">
        <v>110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58</v>
      </c>
      <c r="C1893" s="9">
        <v>45901</v>
      </c>
      <c r="D1893">
        <v>52</v>
      </c>
      <c r="E1893" s="16" t="s">
        <v>144</v>
      </c>
      <c r="F1893" s="16" t="s">
        <v>110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58</v>
      </c>
      <c r="C1894" s="9">
        <v>45931</v>
      </c>
      <c r="D1894">
        <v>52</v>
      </c>
      <c r="E1894" s="16" t="s">
        <v>144</v>
      </c>
      <c r="F1894" s="16" t="s">
        <v>110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58</v>
      </c>
      <c r="C1895" s="9">
        <v>45992</v>
      </c>
      <c r="D1895">
        <v>52</v>
      </c>
      <c r="E1895" s="16" t="s">
        <v>144</v>
      </c>
      <c r="F1895" s="16" t="s">
        <v>110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58</v>
      </c>
      <c r="C1896" s="9">
        <v>46054</v>
      </c>
      <c r="D1896">
        <v>52</v>
      </c>
      <c r="E1896" s="16" t="s">
        <v>144</v>
      </c>
      <c r="F1896" s="16" t="s">
        <v>110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58</v>
      </c>
      <c r="C1897" s="9">
        <v>46082</v>
      </c>
      <c r="D1897">
        <v>52</v>
      </c>
      <c r="E1897" s="16" t="s">
        <v>144</v>
      </c>
      <c r="F1897" s="16" t="s">
        <v>110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58</v>
      </c>
      <c r="C1898" s="9">
        <v>46113</v>
      </c>
      <c r="D1898">
        <v>52</v>
      </c>
      <c r="E1898" s="16" t="s">
        <v>144</v>
      </c>
      <c r="F1898" s="16" t="s">
        <v>110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58</v>
      </c>
      <c r="C1899" s="9">
        <v>46174</v>
      </c>
      <c r="D1899">
        <v>52</v>
      </c>
      <c r="E1899" s="16" t="s">
        <v>144</v>
      </c>
      <c r="F1899" s="16" t="s">
        <v>110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58</v>
      </c>
      <c r="C1900" s="9">
        <v>46235</v>
      </c>
      <c r="D1900">
        <v>52</v>
      </c>
      <c r="E1900" s="16" t="s">
        <v>144</v>
      </c>
      <c r="F1900" s="16" t="s">
        <v>110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58</v>
      </c>
      <c r="C1901" s="9">
        <v>45689</v>
      </c>
      <c r="D1901">
        <v>53</v>
      </c>
      <c r="E1901" s="16" t="s">
        <v>145</v>
      </c>
      <c r="F1901" s="16" t="s">
        <v>105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58</v>
      </c>
      <c r="C1902" s="9">
        <v>45717</v>
      </c>
      <c r="D1902">
        <v>53</v>
      </c>
      <c r="E1902" s="16" t="s">
        <v>145</v>
      </c>
      <c r="F1902" s="16" t="s">
        <v>105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58</v>
      </c>
      <c r="C1903" s="9">
        <v>45748</v>
      </c>
      <c r="D1903">
        <v>53</v>
      </c>
      <c r="E1903" s="16" t="s">
        <v>145</v>
      </c>
      <c r="F1903" s="16" t="s">
        <v>105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58</v>
      </c>
      <c r="C1904" s="9">
        <v>45778</v>
      </c>
      <c r="D1904">
        <v>53</v>
      </c>
      <c r="E1904" s="16" t="s">
        <v>145</v>
      </c>
      <c r="F1904" s="16" t="s">
        <v>105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58</v>
      </c>
      <c r="C1905" s="9">
        <v>45809</v>
      </c>
      <c r="D1905">
        <v>53</v>
      </c>
      <c r="E1905" s="16" t="s">
        <v>145</v>
      </c>
      <c r="F1905" s="16" t="s">
        <v>105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58</v>
      </c>
      <c r="C1906" s="9">
        <v>45839</v>
      </c>
      <c r="D1906">
        <v>53</v>
      </c>
      <c r="E1906" s="16" t="s">
        <v>145</v>
      </c>
      <c r="F1906" s="16" t="s">
        <v>105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58</v>
      </c>
      <c r="C1907" s="9">
        <v>45870</v>
      </c>
      <c r="D1907">
        <v>53</v>
      </c>
      <c r="E1907" s="16" t="s">
        <v>145</v>
      </c>
      <c r="F1907" s="16" t="s">
        <v>105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58</v>
      </c>
      <c r="C1908" s="9">
        <v>45901</v>
      </c>
      <c r="D1908">
        <v>53</v>
      </c>
      <c r="E1908" s="16" t="s">
        <v>145</v>
      </c>
      <c r="F1908" s="16" t="s">
        <v>105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58</v>
      </c>
      <c r="C1909" s="9">
        <v>45931</v>
      </c>
      <c r="D1909">
        <v>53</v>
      </c>
      <c r="E1909" s="16" t="s">
        <v>145</v>
      </c>
      <c r="F1909" s="16" t="s">
        <v>105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58</v>
      </c>
      <c r="C1910" s="9">
        <v>45962</v>
      </c>
      <c r="D1910">
        <v>53</v>
      </c>
      <c r="E1910" s="16" t="s">
        <v>145</v>
      </c>
      <c r="F1910" s="16" t="s">
        <v>105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58</v>
      </c>
      <c r="C1911" s="9">
        <v>45992</v>
      </c>
      <c r="D1911">
        <v>53</v>
      </c>
      <c r="E1911" s="16" t="s">
        <v>145</v>
      </c>
      <c r="F1911" s="16" t="s">
        <v>105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58</v>
      </c>
      <c r="C1912" s="9">
        <v>46023</v>
      </c>
      <c r="D1912">
        <v>53</v>
      </c>
      <c r="E1912" s="16" t="s">
        <v>145</v>
      </c>
      <c r="F1912" s="16" t="s">
        <v>105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58</v>
      </c>
      <c r="C1913" s="9">
        <v>46054</v>
      </c>
      <c r="D1913">
        <v>53</v>
      </c>
      <c r="E1913" s="16" t="s">
        <v>145</v>
      </c>
      <c r="F1913" s="16" t="s">
        <v>105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58</v>
      </c>
      <c r="C1914" s="9">
        <v>46082</v>
      </c>
      <c r="D1914">
        <v>53</v>
      </c>
      <c r="E1914" s="16" t="s">
        <v>145</v>
      </c>
      <c r="F1914" s="16" t="s">
        <v>105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58</v>
      </c>
      <c r="C1915" s="9">
        <v>46113</v>
      </c>
      <c r="D1915">
        <v>53</v>
      </c>
      <c r="E1915" s="16" t="s">
        <v>145</v>
      </c>
      <c r="F1915" s="16" t="s">
        <v>105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58</v>
      </c>
      <c r="C1916" s="9">
        <v>46143</v>
      </c>
      <c r="D1916">
        <v>53</v>
      </c>
      <c r="E1916" s="16" t="s">
        <v>145</v>
      </c>
      <c r="F1916" s="16" t="s">
        <v>105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58</v>
      </c>
      <c r="C1917" s="9">
        <v>46174</v>
      </c>
      <c r="D1917">
        <v>53</v>
      </c>
      <c r="E1917" s="16" t="s">
        <v>145</v>
      </c>
      <c r="F1917" s="16" t="s">
        <v>105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58</v>
      </c>
      <c r="C1918" s="9">
        <v>46204</v>
      </c>
      <c r="D1918">
        <v>53</v>
      </c>
      <c r="E1918" s="16" t="s">
        <v>145</v>
      </c>
      <c r="F1918" s="16" t="s">
        <v>105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58</v>
      </c>
      <c r="C1919" s="9">
        <v>46235</v>
      </c>
      <c r="D1919">
        <v>53</v>
      </c>
      <c r="E1919" s="16" t="s">
        <v>145</v>
      </c>
      <c r="F1919" s="16" t="s">
        <v>105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58</v>
      </c>
      <c r="C1920" s="9">
        <v>46266</v>
      </c>
      <c r="D1920">
        <v>53</v>
      </c>
      <c r="E1920" s="16" t="s">
        <v>145</v>
      </c>
      <c r="F1920" s="16" t="s">
        <v>105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58</v>
      </c>
      <c r="C1921" s="9">
        <v>45689</v>
      </c>
      <c r="D1921">
        <v>54</v>
      </c>
      <c r="E1921" s="16" t="s">
        <v>146</v>
      </c>
      <c r="F1921" s="16" t="s">
        <v>105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58</v>
      </c>
      <c r="C1922" s="9">
        <v>45717</v>
      </c>
      <c r="D1922">
        <v>54</v>
      </c>
      <c r="E1922" s="16" t="s">
        <v>146</v>
      </c>
      <c r="F1922" s="16" t="s">
        <v>105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58</v>
      </c>
      <c r="C1923" s="9">
        <v>45748</v>
      </c>
      <c r="D1923">
        <v>54</v>
      </c>
      <c r="E1923" s="16" t="s">
        <v>146</v>
      </c>
      <c r="F1923" s="16" t="s">
        <v>105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58</v>
      </c>
      <c r="C1924" s="9">
        <v>45778</v>
      </c>
      <c r="D1924">
        <v>54</v>
      </c>
      <c r="E1924" s="16" t="s">
        <v>146</v>
      </c>
      <c r="F1924" s="16" t="s">
        <v>105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58</v>
      </c>
      <c r="C1925" s="9">
        <v>45809</v>
      </c>
      <c r="D1925">
        <v>54</v>
      </c>
      <c r="E1925" s="16" t="s">
        <v>146</v>
      </c>
      <c r="F1925" s="16" t="s">
        <v>105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58</v>
      </c>
      <c r="C1926" s="9">
        <v>45839</v>
      </c>
      <c r="D1926">
        <v>54</v>
      </c>
      <c r="E1926" s="16" t="s">
        <v>146</v>
      </c>
      <c r="F1926" s="16" t="s">
        <v>105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58</v>
      </c>
      <c r="C1927" s="9">
        <v>45870</v>
      </c>
      <c r="D1927">
        <v>54</v>
      </c>
      <c r="E1927" s="16" t="s">
        <v>146</v>
      </c>
      <c r="F1927" s="16" t="s">
        <v>105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58</v>
      </c>
      <c r="C1928" s="9">
        <v>45901</v>
      </c>
      <c r="D1928">
        <v>54</v>
      </c>
      <c r="E1928" s="16" t="s">
        <v>146</v>
      </c>
      <c r="F1928" s="16" t="s">
        <v>105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58</v>
      </c>
      <c r="C1929" s="9">
        <v>45931</v>
      </c>
      <c r="D1929">
        <v>54</v>
      </c>
      <c r="E1929" s="16" t="s">
        <v>146</v>
      </c>
      <c r="F1929" s="16" t="s">
        <v>105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58</v>
      </c>
      <c r="C1930" s="9">
        <v>45962</v>
      </c>
      <c r="D1930">
        <v>54</v>
      </c>
      <c r="E1930" s="16" t="s">
        <v>146</v>
      </c>
      <c r="F1930" s="16" t="s">
        <v>105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58</v>
      </c>
      <c r="C1931" s="9">
        <v>45992</v>
      </c>
      <c r="D1931">
        <v>54</v>
      </c>
      <c r="E1931" s="16" t="s">
        <v>146</v>
      </c>
      <c r="F1931" s="16" t="s">
        <v>105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58</v>
      </c>
      <c r="C1932" s="9">
        <v>46023</v>
      </c>
      <c r="D1932">
        <v>54</v>
      </c>
      <c r="E1932" s="16" t="s">
        <v>146</v>
      </c>
      <c r="F1932" s="16" t="s">
        <v>105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58</v>
      </c>
      <c r="C1933" s="9">
        <v>46054</v>
      </c>
      <c r="D1933">
        <v>54</v>
      </c>
      <c r="E1933" s="16" t="s">
        <v>146</v>
      </c>
      <c r="F1933" s="16" t="s">
        <v>105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58</v>
      </c>
      <c r="C1934" s="9">
        <v>46082</v>
      </c>
      <c r="D1934">
        <v>54</v>
      </c>
      <c r="E1934" s="16" t="s">
        <v>146</v>
      </c>
      <c r="F1934" s="16" t="s">
        <v>105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58</v>
      </c>
      <c r="C1935" s="9">
        <v>46113</v>
      </c>
      <c r="D1935">
        <v>54</v>
      </c>
      <c r="E1935" s="16" t="s">
        <v>146</v>
      </c>
      <c r="F1935" s="16" t="s">
        <v>105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58</v>
      </c>
      <c r="C1936" s="9">
        <v>46143</v>
      </c>
      <c r="D1936">
        <v>54</v>
      </c>
      <c r="E1936" s="16" t="s">
        <v>146</v>
      </c>
      <c r="F1936" s="16" t="s">
        <v>105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58</v>
      </c>
      <c r="C1937" s="9">
        <v>46174</v>
      </c>
      <c r="D1937">
        <v>54</v>
      </c>
      <c r="E1937" s="16" t="s">
        <v>146</v>
      </c>
      <c r="F1937" s="16" t="s">
        <v>105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58</v>
      </c>
      <c r="C1938" s="9">
        <v>46204</v>
      </c>
      <c r="D1938">
        <v>54</v>
      </c>
      <c r="E1938" s="16" t="s">
        <v>146</v>
      </c>
      <c r="F1938" s="16" t="s">
        <v>105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58</v>
      </c>
      <c r="C1939" s="9">
        <v>46266</v>
      </c>
      <c r="D1939">
        <v>54</v>
      </c>
      <c r="E1939" s="16" t="s">
        <v>146</v>
      </c>
      <c r="F1939" s="16" t="s">
        <v>105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58</v>
      </c>
      <c r="C1940" s="9">
        <v>45689</v>
      </c>
      <c r="D1940">
        <v>55</v>
      </c>
      <c r="E1940" s="16" t="s">
        <v>147</v>
      </c>
      <c r="F1940" s="16" t="s">
        <v>85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58</v>
      </c>
      <c r="C1941" s="9">
        <v>45717</v>
      </c>
      <c r="D1941">
        <v>55</v>
      </c>
      <c r="E1941" s="16" t="s">
        <v>147</v>
      </c>
      <c r="F1941" s="16" t="s">
        <v>85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58</v>
      </c>
      <c r="C1942" s="9">
        <v>45748</v>
      </c>
      <c r="D1942">
        <v>55</v>
      </c>
      <c r="E1942" s="16" t="s">
        <v>147</v>
      </c>
      <c r="F1942" s="16" t="s">
        <v>85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58</v>
      </c>
      <c r="C1943" s="9">
        <v>45778</v>
      </c>
      <c r="D1943">
        <v>55</v>
      </c>
      <c r="E1943" s="16" t="s">
        <v>147</v>
      </c>
      <c r="F1943" s="16" t="s">
        <v>85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58</v>
      </c>
      <c r="C1944" s="9">
        <v>45809</v>
      </c>
      <c r="D1944">
        <v>55</v>
      </c>
      <c r="E1944" s="16" t="s">
        <v>147</v>
      </c>
      <c r="F1944" s="16" t="s">
        <v>85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58</v>
      </c>
      <c r="C1945" s="9">
        <v>45839</v>
      </c>
      <c r="D1945">
        <v>55</v>
      </c>
      <c r="E1945" s="16" t="s">
        <v>147</v>
      </c>
      <c r="F1945" s="16" t="s">
        <v>85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58</v>
      </c>
      <c r="C1946" s="9">
        <v>45870</v>
      </c>
      <c r="D1946">
        <v>55</v>
      </c>
      <c r="E1946" s="16" t="s">
        <v>147</v>
      </c>
      <c r="F1946" s="16" t="s">
        <v>85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58</v>
      </c>
      <c r="C1947" s="9">
        <v>45901</v>
      </c>
      <c r="D1947">
        <v>55</v>
      </c>
      <c r="E1947" s="16" t="s">
        <v>147</v>
      </c>
      <c r="F1947" s="16" t="s">
        <v>85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58</v>
      </c>
      <c r="C1948" s="9">
        <v>45931</v>
      </c>
      <c r="D1948">
        <v>55</v>
      </c>
      <c r="E1948" s="16" t="s">
        <v>147</v>
      </c>
      <c r="F1948" s="16" t="s">
        <v>85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58</v>
      </c>
      <c r="C1949" s="9">
        <v>45962</v>
      </c>
      <c r="D1949">
        <v>55</v>
      </c>
      <c r="E1949" s="16" t="s">
        <v>147</v>
      </c>
      <c r="F1949" s="16" t="s">
        <v>85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58</v>
      </c>
      <c r="C1950" s="9">
        <v>45992</v>
      </c>
      <c r="D1950">
        <v>55</v>
      </c>
      <c r="E1950" s="16" t="s">
        <v>147</v>
      </c>
      <c r="F1950" s="16" t="s">
        <v>85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58</v>
      </c>
      <c r="C1951" s="9">
        <v>46023</v>
      </c>
      <c r="D1951">
        <v>55</v>
      </c>
      <c r="E1951" s="16" t="s">
        <v>147</v>
      </c>
      <c r="F1951" s="16" t="s">
        <v>85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58</v>
      </c>
      <c r="C1952" s="9">
        <v>46054</v>
      </c>
      <c r="D1952">
        <v>55</v>
      </c>
      <c r="E1952" s="16" t="s">
        <v>147</v>
      </c>
      <c r="F1952" s="16" t="s">
        <v>85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58</v>
      </c>
      <c r="C1953" s="9">
        <v>46082</v>
      </c>
      <c r="D1953">
        <v>55</v>
      </c>
      <c r="E1953" s="16" t="s">
        <v>147</v>
      </c>
      <c r="F1953" s="16" t="s">
        <v>85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58</v>
      </c>
      <c r="C1954" s="9">
        <v>46113</v>
      </c>
      <c r="D1954">
        <v>55</v>
      </c>
      <c r="E1954" s="16" t="s">
        <v>147</v>
      </c>
      <c r="F1954" s="16" t="s">
        <v>85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58</v>
      </c>
      <c r="C1955" s="9">
        <v>46143</v>
      </c>
      <c r="D1955">
        <v>55</v>
      </c>
      <c r="E1955" s="16" t="s">
        <v>147</v>
      </c>
      <c r="F1955" s="16" t="s">
        <v>85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58</v>
      </c>
      <c r="C1956" s="9">
        <v>46174</v>
      </c>
      <c r="D1956">
        <v>55</v>
      </c>
      <c r="E1956" s="16" t="s">
        <v>147</v>
      </c>
      <c r="F1956" s="16" t="s">
        <v>85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58</v>
      </c>
      <c r="C1957" s="9">
        <v>46204</v>
      </c>
      <c r="D1957">
        <v>55</v>
      </c>
      <c r="E1957" s="16" t="s">
        <v>147</v>
      </c>
      <c r="F1957" s="16" t="s">
        <v>85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58</v>
      </c>
      <c r="C1958" s="9">
        <v>46235</v>
      </c>
      <c r="D1958">
        <v>55</v>
      </c>
      <c r="E1958" s="16" t="s">
        <v>147</v>
      </c>
      <c r="F1958" s="16" t="s">
        <v>85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58</v>
      </c>
      <c r="C1959" s="9">
        <v>46266</v>
      </c>
      <c r="D1959">
        <v>55</v>
      </c>
      <c r="E1959" s="16" t="s">
        <v>147</v>
      </c>
      <c r="F1959" s="16" t="s">
        <v>85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58</v>
      </c>
      <c r="C1960" s="9">
        <v>45689</v>
      </c>
      <c r="D1960">
        <v>56</v>
      </c>
      <c r="E1960" s="16" t="s">
        <v>148</v>
      </c>
      <c r="F1960" s="16" t="s">
        <v>140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58</v>
      </c>
      <c r="C1961" s="9">
        <v>45717</v>
      </c>
      <c r="D1961">
        <v>56</v>
      </c>
      <c r="E1961" s="16" t="s">
        <v>148</v>
      </c>
      <c r="F1961" s="16" t="s">
        <v>140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58</v>
      </c>
      <c r="C1962" s="9">
        <v>45748</v>
      </c>
      <c r="D1962">
        <v>56</v>
      </c>
      <c r="E1962" s="16" t="s">
        <v>148</v>
      </c>
      <c r="F1962" s="16" t="s">
        <v>140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58</v>
      </c>
      <c r="C1963" s="9">
        <v>45778</v>
      </c>
      <c r="D1963">
        <v>56</v>
      </c>
      <c r="E1963" s="16" t="s">
        <v>148</v>
      </c>
      <c r="F1963" s="16" t="s">
        <v>140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58</v>
      </c>
      <c r="C1964" s="9">
        <v>45809</v>
      </c>
      <c r="D1964">
        <v>56</v>
      </c>
      <c r="E1964" s="16" t="s">
        <v>148</v>
      </c>
      <c r="F1964" s="16" t="s">
        <v>140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58</v>
      </c>
      <c r="C1965" s="9">
        <v>45839</v>
      </c>
      <c r="D1965">
        <v>56</v>
      </c>
      <c r="E1965" s="16" t="s">
        <v>148</v>
      </c>
      <c r="F1965" s="16" t="s">
        <v>140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58</v>
      </c>
      <c r="C1966" s="9">
        <v>45870</v>
      </c>
      <c r="D1966">
        <v>56</v>
      </c>
      <c r="E1966" s="16" t="s">
        <v>148</v>
      </c>
      <c r="F1966" s="16" t="s">
        <v>140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58</v>
      </c>
      <c r="C1967" s="9">
        <v>45901</v>
      </c>
      <c r="D1967">
        <v>56</v>
      </c>
      <c r="E1967" s="16" t="s">
        <v>148</v>
      </c>
      <c r="F1967" s="16" t="s">
        <v>140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58</v>
      </c>
      <c r="C1968" s="9">
        <v>45931</v>
      </c>
      <c r="D1968">
        <v>56</v>
      </c>
      <c r="E1968" s="16" t="s">
        <v>148</v>
      </c>
      <c r="F1968" s="16" t="s">
        <v>140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58</v>
      </c>
      <c r="C1969" s="9">
        <v>45962</v>
      </c>
      <c r="D1969">
        <v>56</v>
      </c>
      <c r="E1969" s="16" t="s">
        <v>148</v>
      </c>
      <c r="F1969" s="16" t="s">
        <v>140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58</v>
      </c>
      <c r="C1970" s="9">
        <v>45992</v>
      </c>
      <c r="D1970">
        <v>56</v>
      </c>
      <c r="E1970" s="16" t="s">
        <v>148</v>
      </c>
      <c r="F1970" s="16" t="s">
        <v>140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58</v>
      </c>
      <c r="C1971" s="9">
        <v>46023</v>
      </c>
      <c r="D1971">
        <v>56</v>
      </c>
      <c r="E1971" s="16" t="s">
        <v>148</v>
      </c>
      <c r="F1971" s="16" t="s">
        <v>140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58</v>
      </c>
      <c r="C1972" s="9">
        <v>46054</v>
      </c>
      <c r="D1972">
        <v>56</v>
      </c>
      <c r="E1972" s="16" t="s">
        <v>148</v>
      </c>
      <c r="F1972" s="16" t="s">
        <v>140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58</v>
      </c>
      <c r="C1973" s="9">
        <v>46082</v>
      </c>
      <c r="D1973">
        <v>56</v>
      </c>
      <c r="E1973" s="16" t="s">
        <v>148</v>
      </c>
      <c r="F1973" s="16" t="s">
        <v>140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58</v>
      </c>
      <c r="C1974" s="9">
        <v>46113</v>
      </c>
      <c r="D1974">
        <v>56</v>
      </c>
      <c r="E1974" s="16" t="s">
        <v>148</v>
      </c>
      <c r="F1974" s="16" t="s">
        <v>140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58</v>
      </c>
      <c r="C1975" s="9">
        <v>46143</v>
      </c>
      <c r="D1975">
        <v>56</v>
      </c>
      <c r="E1975" s="16" t="s">
        <v>148</v>
      </c>
      <c r="F1975" s="16" t="s">
        <v>140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58</v>
      </c>
      <c r="C1976" s="9">
        <v>46174</v>
      </c>
      <c r="D1976">
        <v>56</v>
      </c>
      <c r="E1976" s="16" t="s">
        <v>148</v>
      </c>
      <c r="F1976" s="16" t="s">
        <v>140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58</v>
      </c>
      <c r="C1977" s="9">
        <v>46204</v>
      </c>
      <c r="D1977">
        <v>56</v>
      </c>
      <c r="E1977" s="16" t="s">
        <v>148</v>
      </c>
      <c r="F1977" s="16" t="s">
        <v>140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58</v>
      </c>
      <c r="C1978" s="9">
        <v>46235</v>
      </c>
      <c r="D1978">
        <v>56</v>
      </c>
      <c r="E1978" s="16" t="s">
        <v>148</v>
      </c>
      <c r="F1978" s="16" t="s">
        <v>140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58</v>
      </c>
      <c r="C1979" s="9">
        <v>46266</v>
      </c>
      <c r="D1979">
        <v>56</v>
      </c>
      <c r="E1979" s="16" t="s">
        <v>148</v>
      </c>
      <c r="F1979" s="16" t="s">
        <v>140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60</v>
      </c>
      <c r="C1980" s="9">
        <v>45689</v>
      </c>
      <c r="D1980">
        <v>1</v>
      </c>
      <c r="E1980" s="16" t="s">
        <v>82</v>
      </c>
      <c r="F1980" s="16" t="s">
        <v>83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60</v>
      </c>
      <c r="C1981" s="9">
        <v>45717</v>
      </c>
      <c r="D1981">
        <v>1</v>
      </c>
      <c r="E1981" s="16" t="s">
        <v>82</v>
      </c>
      <c r="F1981" s="16" t="s">
        <v>83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60</v>
      </c>
      <c r="C1982" s="9">
        <v>45748</v>
      </c>
      <c r="D1982">
        <v>1</v>
      </c>
      <c r="E1982" s="16" t="s">
        <v>82</v>
      </c>
      <c r="F1982" s="16" t="s">
        <v>83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60</v>
      </c>
      <c r="C1983" s="9">
        <v>45778</v>
      </c>
      <c r="D1983">
        <v>1</v>
      </c>
      <c r="E1983" s="16" t="s">
        <v>82</v>
      </c>
      <c r="F1983" s="16" t="s">
        <v>83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60</v>
      </c>
      <c r="C1984" s="9">
        <v>45809</v>
      </c>
      <c r="D1984">
        <v>1</v>
      </c>
      <c r="E1984" s="16" t="s">
        <v>82</v>
      </c>
      <c r="F1984" s="16" t="s">
        <v>83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60</v>
      </c>
      <c r="C1985" s="9">
        <v>45839</v>
      </c>
      <c r="D1985">
        <v>1</v>
      </c>
      <c r="E1985" s="16" t="s">
        <v>82</v>
      </c>
      <c r="F1985" s="16" t="s">
        <v>83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60</v>
      </c>
      <c r="C1986" s="9">
        <v>45870</v>
      </c>
      <c r="D1986">
        <v>1</v>
      </c>
      <c r="E1986" s="16" t="s">
        <v>82</v>
      </c>
      <c r="F1986" s="16" t="s">
        <v>83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60</v>
      </c>
      <c r="C1987" s="9">
        <v>45901</v>
      </c>
      <c r="D1987">
        <v>1</v>
      </c>
      <c r="E1987" s="16" t="s">
        <v>82</v>
      </c>
      <c r="F1987" s="16" t="s">
        <v>83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60</v>
      </c>
      <c r="C1988" s="9">
        <v>45931</v>
      </c>
      <c r="D1988">
        <v>1</v>
      </c>
      <c r="E1988" s="16" t="s">
        <v>82</v>
      </c>
      <c r="F1988" s="16" t="s">
        <v>83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60</v>
      </c>
      <c r="C1989" s="9">
        <v>45962</v>
      </c>
      <c r="D1989">
        <v>1</v>
      </c>
      <c r="E1989" s="16" t="s">
        <v>82</v>
      </c>
      <c r="F1989" s="16" t="s">
        <v>83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60</v>
      </c>
      <c r="C1990" s="9">
        <v>45992</v>
      </c>
      <c r="D1990">
        <v>1</v>
      </c>
      <c r="E1990" s="16" t="s">
        <v>82</v>
      </c>
      <c r="F1990" s="16" t="s">
        <v>83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60</v>
      </c>
      <c r="C1991" s="9">
        <v>46023</v>
      </c>
      <c r="D1991">
        <v>1</v>
      </c>
      <c r="E1991" s="16" t="s">
        <v>82</v>
      </c>
      <c r="F1991" s="16" t="s">
        <v>83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60</v>
      </c>
      <c r="C1992" s="9">
        <v>46054</v>
      </c>
      <c r="D1992">
        <v>1</v>
      </c>
      <c r="E1992" s="16" t="s">
        <v>82</v>
      </c>
      <c r="F1992" s="16" t="s">
        <v>83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60</v>
      </c>
      <c r="C1993" s="9">
        <v>46082</v>
      </c>
      <c r="D1993">
        <v>1</v>
      </c>
      <c r="E1993" s="16" t="s">
        <v>82</v>
      </c>
      <c r="F1993" s="16" t="s">
        <v>83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60</v>
      </c>
      <c r="C1994" s="9">
        <v>46113</v>
      </c>
      <c r="D1994">
        <v>1</v>
      </c>
      <c r="E1994" s="16" t="s">
        <v>82</v>
      </c>
      <c r="F1994" s="16" t="s">
        <v>83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60</v>
      </c>
      <c r="C1995" s="9">
        <v>46143</v>
      </c>
      <c r="D1995">
        <v>1</v>
      </c>
      <c r="E1995" s="16" t="s">
        <v>82</v>
      </c>
      <c r="F1995" s="16" t="s">
        <v>83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60</v>
      </c>
      <c r="C1996" s="9">
        <v>46174</v>
      </c>
      <c r="D1996">
        <v>1</v>
      </c>
      <c r="E1996" s="16" t="s">
        <v>82</v>
      </c>
      <c r="F1996" s="16" t="s">
        <v>83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60</v>
      </c>
      <c r="C1997" s="9">
        <v>46204</v>
      </c>
      <c r="D1997">
        <v>1</v>
      </c>
      <c r="E1997" s="16" t="s">
        <v>82</v>
      </c>
      <c r="F1997" s="16" t="s">
        <v>83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60</v>
      </c>
      <c r="C1998" s="9">
        <v>46235</v>
      </c>
      <c r="D1998">
        <v>1</v>
      </c>
      <c r="E1998" s="16" t="s">
        <v>82</v>
      </c>
      <c r="F1998" s="16" t="s">
        <v>83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60</v>
      </c>
      <c r="C1999" s="9">
        <v>46266</v>
      </c>
      <c r="D1999">
        <v>1</v>
      </c>
      <c r="E1999" s="16" t="s">
        <v>82</v>
      </c>
      <c r="F1999" s="16" t="s">
        <v>83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60</v>
      </c>
      <c r="C2000" s="9">
        <v>45689</v>
      </c>
      <c r="D2000">
        <v>2</v>
      </c>
      <c r="E2000" s="16" t="s">
        <v>84</v>
      </c>
      <c r="F2000" s="16" t="s">
        <v>85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60</v>
      </c>
      <c r="C2001" s="9">
        <v>45717</v>
      </c>
      <c r="D2001">
        <v>2</v>
      </c>
      <c r="E2001" s="16" t="s">
        <v>84</v>
      </c>
      <c r="F2001" s="16" t="s">
        <v>85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60</v>
      </c>
      <c r="C2002" s="9">
        <v>45748</v>
      </c>
      <c r="D2002">
        <v>2</v>
      </c>
      <c r="E2002" s="16" t="s">
        <v>84</v>
      </c>
      <c r="F2002" s="16" t="s">
        <v>85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60</v>
      </c>
      <c r="C2003" s="9">
        <v>45778</v>
      </c>
      <c r="D2003">
        <v>2</v>
      </c>
      <c r="E2003" s="16" t="s">
        <v>84</v>
      </c>
      <c r="F2003" s="16" t="s">
        <v>85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60</v>
      </c>
      <c r="C2004" s="9">
        <v>45809</v>
      </c>
      <c r="D2004">
        <v>2</v>
      </c>
      <c r="E2004" s="16" t="s">
        <v>84</v>
      </c>
      <c r="F2004" s="16" t="s">
        <v>85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60</v>
      </c>
      <c r="C2005" s="9">
        <v>45839</v>
      </c>
      <c r="D2005">
        <v>2</v>
      </c>
      <c r="E2005" s="16" t="s">
        <v>84</v>
      </c>
      <c r="F2005" s="16" t="s">
        <v>85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60</v>
      </c>
      <c r="C2006" s="9">
        <v>45870</v>
      </c>
      <c r="D2006">
        <v>2</v>
      </c>
      <c r="E2006" s="16" t="s">
        <v>84</v>
      </c>
      <c r="F2006" s="16" t="s">
        <v>85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60</v>
      </c>
      <c r="C2007" s="9">
        <v>45901</v>
      </c>
      <c r="D2007">
        <v>2</v>
      </c>
      <c r="E2007" s="16" t="s">
        <v>84</v>
      </c>
      <c r="F2007" s="16" t="s">
        <v>85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60</v>
      </c>
      <c r="C2008" s="9">
        <v>45931</v>
      </c>
      <c r="D2008">
        <v>2</v>
      </c>
      <c r="E2008" s="16" t="s">
        <v>84</v>
      </c>
      <c r="F2008" s="16" t="s">
        <v>85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60</v>
      </c>
      <c r="C2009" s="9">
        <v>45962</v>
      </c>
      <c r="D2009">
        <v>2</v>
      </c>
      <c r="E2009" s="16" t="s">
        <v>84</v>
      </c>
      <c r="F2009" s="16" t="s">
        <v>85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60</v>
      </c>
      <c r="C2010" s="9">
        <v>45992</v>
      </c>
      <c r="D2010">
        <v>2</v>
      </c>
      <c r="E2010" s="16" t="s">
        <v>84</v>
      </c>
      <c r="F2010" s="16" t="s">
        <v>85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60</v>
      </c>
      <c r="C2011" s="9">
        <v>46023</v>
      </c>
      <c r="D2011">
        <v>2</v>
      </c>
      <c r="E2011" s="16" t="s">
        <v>84</v>
      </c>
      <c r="F2011" s="16" t="s">
        <v>85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60</v>
      </c>
      <c r="C2012" s="9">
        <v>46054</v>
      </c>
      <c r="D2012">
        <v>2</v>
      </c>
      <c r="E2012" s="16" t="s">
        <v>84</v>
      </c>
      <c r="F2012" s="16" t="s">
        <v>85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60</v>
      </c>
      <c r="C2013" s="9">
        <v>46082</v>
      </c>
      <c r="D2013">
        <v>2</v>
      </c>
      <c r="E2013" s="16" t="s">
        <v>84</v>
      </c>
      <c r="F2013" s="16" t="s">
        <v>85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60</v>
      </c>
      <c r="C2014" s="9">
        <v>46113</v>
      </c>
      <c r="D2014">
        <v>2</v>
      </c>
      <c r="E2014" s="16" t="s">
        <v>84</v>
      </c>
      <c r="F2014" s="16" t="s">
        <v>85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60</v>
      </c>
      <c r="C2015" s="9">
        <v>46143</v>
      </c>
      <c r="D2015">
        <v>2</v>
      </c>
      <c r="E2015" s="16" t="s">
        <v>84</v>
      </c>
      <c r="F2015" s="16" t="s">
        <v>85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60</v>
      </c>
      <c r="C2016" s="9">
        <v>46174</v>
      </c>
      <c r="D2016">
        <v>2</v>
      </c>
      <c r="E2016" s="16" t="s">
        <v>84</v>
      </c>
      <c r="F2016" s="16" t="s">
        <v>85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60</v>
      </c>
      <c r="C2017" s="9">
        <v>46204</v>
      </c>
      <c r="D2017">
        <v>2</v>
      </c>
      <c r="E2017" s="16" t="s">
        <v>84</v>
      </c>
      <c r="F2017" s="16" t="s">
        <v>85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60</v>
      </c>
      <c r="C2018" s="9">
        <v>46235</v>
      </c>
      <c r="D2018">
        <v>2</v>
      </c>
      <c r="E2018" s="16" t="s">
        <v>84</v>
      </c>
      <c r="F2018" s="16" t="s">
        <v>85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60</v>
      </c>
      <c r="C2019" s="9">
        <v>46266</v>
      </c>
      <c r="D2019">
        <v>2</v>
      </c>
      <c r="E2019" s="16" t="s">
        <v>84</v>
      </c>
      <c r="F2019" s="16" t="s">
        <v>85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60</v>
      </c>
      <c r="C2020" s="9">
        <v>45689</v>
      </c>
      <c r="D2020">
        <v>3</v>
      </c>
      <c r="E2020" s="16" t="s">
        <v>86</v>
      </c>
      <c r="F2020" s="16" t="s">
        <v>87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60</v>
      </c>
      <c r="C2021" s="9">
        <v>45717</v>
      </c>
      <c r="D2021">
        <v>3</v>
      </c>
      <c r="E2021" s="16" t="s">
        <v>86</v>
      </c>
      <c r="F2021" s="16" t="s">
        <v>87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60</v>
      </c>
      <c r="C2022" s="9">
        <v>45748</v>
      </c>
      <c r="D2022">
        <v>3</v>
      </c>
      <c r="E2022" s="16" t="s">
        <v>86</v>
      </c>
      <c r="F2022" s="16" t="s">
        <v>87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60</v>
      </c>
      <c r="C2023" s="9">
        <v>45778</v>
      </c>
      <c r="D2023">
        <v>3</v>
      </c>
      <c r="E2023" s="16" t="s">
        <v>86</v>
      </c>
      <c r="F2023" s="16" t="s">
        <v>87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60</v>
      </c>
      <c r="C2024" s="9">
        <v>45809</v>
      </c>
      <c r="D2024">
        <v>3</v>
      </c>
      <c r="E2024" s="16" t="s">
        <v>86</v>
      </c>
      <c r="F2024" s="16" t="s">
        <v>87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60</v>
      </c>
      <c r="C2025" s="9">
        <v>45839</v>
      </c>
      <c r="D2025">
        <v>3</v>
      </c>
      <c r="E2025" s="16" t="s">
        <v>86</v>
      </c>
      <c r="F2025" s="16" t="s">
        <v>87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60</v>
      </c>
      <c r="C2026" s="9">
        <v>45870</v>
      </c>
      <c r="D2026">
        <v>3</v>
      </c>
      <c r="E2026" s="16" t="s">
        <v>86</v>
      </c>
      <c r="F2026" s="16" t="s">
        <v>87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60</v>
      </c>
      <c r="C2027" s="9">
        <v>45901</v>
      </c>
      <c r="D2027">
        <v>3</v>
      </c>
      <c r="E2027" s="16" t="s">
        <v>86</v>
      </c>
      <c r="F2027" s="16" t="s">
        <v>87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60</v>
      </c>
      <c r="C2028" s="9">
        <v>45931</v>
      </c>
      <c r="D2028">
        <v>3</v>
      </c>
      <c r="E2028" s="16" t="s">
        <v>86</v>
      </c>
      <c r="F2028" s="16" t="s">
        <v>87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60</v>
      </c>
      <c r="C2029" s="9">
        <v>45962</v>
      </c>
      <c r="D2029">
        <v>3</v>
      </c>
      <c r="E2029" s="16" t="s">
        <v>86</v>
      </c>
      <c r="F2029" s="16" t="s">
        <v>87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60</v>
      </c>
      <c r="C2030" s="9">
        <v>45992</v>
      </c>
      <c r="D2030">
        <v>3</v>
      </c>
      <c r="E2030" s="16" t="s">
        <v>86</v>
      </c>
      <c r="F2030" s="16" t="s">
        <v>87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60</v>
      </c>
      <c r="C2031" s="9">
        <v>46023</v>
      </c>
      <c r="D2031">
        <v>3</v>
      </c>
      <c r="E2031" s="16" t="s">
        <v>86</v>
      </c>
      <c r="F2031" s="16" t="s">
        <v>87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60</v>
      </c>
      <c r="C2032" s="9">
        <v>46054</v>
      </c>
      <c r="D2032">
        <v>3</v>
      </c>
      <c r="E2032" s="16" t="s">
        <v>86</v>
      </c>
      <c r="F2032" s="16" t="s">
        <v>87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60</v>
      </c>
      <c r="C2033" s="9">
        <v>46082</v>
      </c>
      <c r="D2033">
        <v>3</v>
      </c>
      <c r="E2033" s="16" t="s">
        <v>86</v>
      </c>
      <c r="F2033" s="16" t="s">
        <v>87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60</v>
      </c>
      <c r="C2034" s="9">
        <v>46113</v>
      </c>
      <c r="D2034">
        <v>3</v>
      </c>
      <c r="E2034" s="16" t="s">
        <v>86</v>
      </c>
      <c r="F2034" s="16" t="s">
        <v>87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60</v>
      </c>
      <c r="C2035" s="9">
        <v>46143</v>
      </c>
      <c r="D2035">
        <v>3</v>
      </c>
      <c r="E2035" s="16" t="s">
        <v>86</v>
      </c>
      <c r="F2035" s="16" t="s">
        <v>87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60</v>
      </c>
      <c r="C2036" s="9">
        <v>46174</v>
      </c>
      <c r="D2036">
        <v>3</v>
      </c>
      <c r="E2036" s="16" t="s">
        <v>86</v>
      </c>
      <c r="F2036" s="16" t="s">
        <v>87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60</v>
      </c>
      <c r="C2037" s="9">
        <v>46204</v>
      </c>
      <c r="D2037">
        <v>3</v>
      </c>
      <c r="E2037" s="16" t="s">
        <v>86</v>
      </c>
      <c r="F2037" s="16" t="s">
        <v>87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60</v>
      </c>
      <c r="C2038" s="9">
        <v>46235</v>
      </c>
      <c r="D2038">
        <v>3</v>
      </c>
      <c r="E2038" s="16" t="s">
        <v>86</v>
      </c>
      <c r="F2038" s="16" t="s">
        <v>87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60</v>
      </c>
      <c r="C2039" s="9">
        <v>46266</v>
      </c>
      <c r="D2039">
        <v>3</v>
      </c>
      <c r="E2039" s="16" t="s">
        <v>86</v>
      </c>
      <c r="F2039" s="16" t="s">
        <v>87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60</v>
      </c>
      <c r="C2040" s="9">
        <v>45689</v>
      </c>
      <c r="D2040">
        <v>4</v>
      </c>
      <c r="E2040" s="16" t="s">
        <v>88</v>
      </c>
      <c r="F2040" s="16" t="s">
        <v>89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60</v>
      </c>
      <c r="C2041" s="9">
        <v>45717</v>
      </c>
      <c r="D2041">
        <v>4</v>
      </c>
      <c r="E2041" s="16" t="s">
        <v>88</v>
      </c>
      <c r="F2041" s="16" t="s">
        <v>89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60</v>
      </c>
      <c r="C2042" s="9">
        <v>45748</v>
      </c>
      <c r="D2042">
        <v>4</v>
      </c>
      <c r="E2042" s="16" t="s">
        <v>88</v>
      </c>
      <c r="F2042" s="16" t="s">
        <v>89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60</v>
      </c>
      <c r="C2043" s="9">
        <v>45778</v>
      </c>
      <c r="D2043">
        <v>4</v>
      </c>
      <c r="E2043" s="16" t="s">
        <v>88</v>
      </c>
      <c r="F2043" s="16" t="s">
        <v>89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60</v>
      </c>
      <c r="C2044" s="9">
        <v>45809</v>
      </c>
      <c r="D2044">
        <v>4</v>
      </c>
      <c r="E2044" s="16" t="s">
        <v>88</v>
      </c>
      <c r="F2044" s="16" t="s">
        <v>89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60</v>
      </c>
      <c r="C2045" s="9">
        <v>45839</v>
      </c>
      <c r="D2045">
        <v>4</v>
      </c>
      <c r="E2045" s="16" t="s">
        <v>88</v>
      </c>
      <c r="F2045" s="16" t="s">
        <v>89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60</v>
      </c>
      <c r="C2046" s="9">
        <v>45870</v>
      </c>
      <c r="D2046">
        <v>4</v>
      </c>
      <c r="E2046" s="16" t="s">
        <v>88</v>
      </c>
      <c r="F2046" s="16" t="s">
        <v>89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60</v>
      </c>
      <c r="C2047" s="9">
        <v>45901</v>
      </c>
      <c r="D2047">
        <v>4</v>
      </c>
      <c r="E2047" s="16" t="s">
        <v>88</v>
      </c>
      <c r="F2047" s="16" t="s">
        <v>89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60</v>
      </c>
      <c r="C2048" s="9">
        <v>45931</v>
      </c>
      <c r="D2048">
        <v>4</v>
      </c>
      <c r="E2048" s="16" t="s">
        <v>88</v>
      </c>
      <c r="F2048" s="16" t="s">
        <v>89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60</v>
      </c>
      <c r="C2049" s="9">
        <v>45962</v>
      </c>
      <c r="D2049">
        <v>4</v>
      </c>
      <c r="E2049" s="16" t="s">
        <v>88</v>
      </c>
      <c r="F2049" s="16" t="s">
        <v>89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60</v>
      </c>
      <c r="C2050" s="9">
        <v>45992</v>
      </c>
      <c r="D2050">
        <v>4</v>
      </c>
      <c r="E2050" s="16" t="s">
        <v>88</v>
      </c>
      <c r="F2050" s="16" t="s">
        <v>89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60</v>
      </c>
      <c r="C2051" s="9">
        <v>46023</v>
      </c>
      <c r="D2051">
        <v>4</v>
      </c>
      <c r="E2051" s="16" t="s">
        <v>88</v>
      </c>
      <c r="F2051" s="16" t="s">
        <v>89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60</v>
      </c>
      <c r="C2052" s="9">
        <v>46054</v>
      </c>
      <c r="D2052">
        <v>4</v>
      </c>
      <c r="E2052" s="16" t="s">
        <v>88</v>
      </c>
      <c r="F2052" s="16" t="s">
        <v>89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60</v>
      </c>
      <c r="C2053" s="9">
        <v>46082</v>
      </c>
      <c r="D2053">
        <v>4</v>
      </c>
      <c r="E2053" s="16" t="s">
        <v>88</v>
      </c>
      <c r="F2053" s="16" t="s">
        <v>89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60</v>
      </c>
      <c r="C2054" s="9">
        <v>46113</v>
      </c>
      <c r="D2054">
        <v>4</v>
      </c>
      <c r="E2054" s="16" t="s">
        <v>88</v>
      </c>
      <c r="F2054" s="16" t="s">
        <v>89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60</v>
      </c>
      <c r="C2055" s="9">
        <v>46143</v>
      </c>
      <c r="D2055">
        <v>4</v>
      </c>
      <c r="E2055" s="16" t="s">
        <v>88</v>
      </c>
      <c r="F2055" s="16" t="s">
        <v>89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60</v>
      </c>
      <c r="C2056" s="9">
        <v>46174</v>
      </c>
      <c r="D2056">
        <v>4</v>
      </c>
      <c r="E2056" s="16" t="s">
        <v>88</v>
      </c>
      <c r="F2056" s="16" t="s">
        <v>89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60</v>
      </c>
      <c r="C2057" s="9">
        <v>46204</v>
      </c>
      <c r="D2057">
        <v>4</v>
      </c>
      <c r="E2057" s="16" t="s">
        <v>88</v>
      </c>
      <c r="F2057" s="16" t="s">
        <v>89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60</v>
      </c>
      <c r="C2058" s="9">
        <v>46235</v>
      </c>
      <c r="D2058">
        <v>4</v>
      </c>
      <c r="E2058" s="16" t="s">
        <v>88</v>
      </c>
      <c r="F2058" s="16" t="s">
        <v>89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60</v>
      </c>
      <c r="C2059" s="9">
        <v>46266</v>
      </c>
      <c r="D2059">
        <v>4</v>
      </c>
      <c r="E2059" s="16" t="s">
        <v>88</v>
      </c>
      <c r="F2059" s="16" t="s">
        <v>89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60</v>
      </c>
      <c r="C2060" s="9">
        <v>45689</v>
      </c>
      <c r="D2060">
        <v>5</v>
      </c>
      <c r="E2060" s="16" t="s">
        <v>90</v>
      </c>
      <c r="F2060" s="16" t="s">
        <v>85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60</v>
      </c>
      <c r="C2061" s="9">
        <v>45717</v>
      </c>
      <c r="D2061">
        <v>5</v>
      </c>
      <c r="E2061" s="16" t="s">
        <v>90</v>
      </c>
      <c r="F2061" s="16" t="s">
        <v>85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60</v>
      </c>
      <c r="C2062" s="9">
        <v>45748</v>
      </c>
      <c r="D2062">
        <v>5</v>
      </c>
      <c r="E2062" s="16" t="s">
        <v>90</v>
      </c>
      <c r="F2062" s="16" t="s">
        <v>85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60</v>
      </c>
      <c r="C2063" s="9">
        <v>45778</v>
      </c>
      <c r="D2063">
        <v>5</v>
      </c>
      <c r="E2063" s="16" t="s">
        <v>90</v>
      </c>
      <c r="F2063" s="16" t="s">
        <v>85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60</v>
      </c>
      <c r="C2064" s="9">
        <v>45809</v>
      </c>
      <c r="D2064">
        <v>5</v>
      </c>
      <c r="E2064" s="16" t="s">
        <v>90</v>
      </c>
      <c r="F2064" s="16" t="s">
        <v>85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60</v>
      </c>
      <c r="C2065" s="9">
        <v>45839</v>
      </c>
      <c r="D2065">
        <v>5</v>
      </c>
      <c r="E2065" s="16" t="s">
        <v>90</v>
      </c>
      <c r="F2065" s="16" t="s">
        <v>85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60</v>
      </c>
      <c r="C2066" s="9">
        <v>45870</v>
      </c>
      <c r="D2066">
        <v>5</v>
      </c>
      <c r="E2066" s="16" t="s">
        <v>90</v>
      </c>
      <c r="F2066" s="16" t="s">
        <v>85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60</v>
      </c>
      <c r="C2067" s="9">
        <v>45901</v>
      </c>
      <c r="D2067">
        <v>5</v>
      </c>
      <c r="E2067" s="16" t="s">
        <v>90</v>
      </c>
      <c r="F2067" s="16" t="s">
        <v>85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60</v>
      </c>
      <c r="C2068" s="9">
        <v>45931</v>
      </c>
      <c r="D2068">
        <v>5</v>
      </c>
      <c r="E2068" s="16" t="s">
        <v>90</v>
      </c>
      <c r="F2068" s="16" t="s">
        <v>85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60</v>
      </c>
      <c r="C2069" s="9">
        <v>45962</v>
      </c>
      <c r="D2069">
        <v>5</v>
      </c>
      <c r="E2069" s="16" t="s">
        <v>90</v>
      </c>
      <c r="F2069" s="16" t="s">
        <v>85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60</v>
      </c>
      <c r="C2070" s="9">
        <v>45992</v>
      </c>
      <c r="D2070">
        <v>5</v>
      </c>
      <c r="E2070" s="16" t="s">
        <v>90</v>
      </c>
      <c r="F2070" s="16" t="s">
        <v>85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60</v>
      </c>
      <c r="C2071" s="9">
        <v>46023</v>
      </c>
      <c r="D2071">
        <v>5</v>
      </c>
      <c r="E2071" s="16" t="s">
        <v>90</v>
      </c>
      <c r="F2071" s="16" t="s">
        <v>85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60</v>
      </c>
      <c r="C2072" s="9">
        <v>46054</v>
      </c>
      <c r="D2072">
        <v>5</v>
      </c>
      <c r="E2072" s="16" t="s">
        <v>90</v>
      </c>
      <c r="F2072" s="16" t="s">
        <v>85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60</v>
      </c>
      <c r="C2073" s="9">
        <v>46082</v>
      </c>
      <c r="D2073">
        <v>5</v>
      </c>
      <c r="E2073" s="16" t="s">
        <v>90</v>
      </c>
      <c r="F2073" s="16" t="s">
        <v>85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60</v>
      </c>
      <c r="C2074" s="9">
        <v>46113</v>
      </c>
      <c r="D2074">
        <v>5</v>
      </c>
      <c r="E2074" s="16" t="s">
        <v>90</v>
      </c>
      <c r="F2074" s="16" t="s">
        <v>85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60</v>
      </c>
      <c r="C2075" s="9">
        <v>46143</v>
      </c>
      <c r="D2075">
        <v>5</v>
      </c>
      <c r="E2075" s="16" t="s">
        <v>90</v>
      </c>
      <c r="F2075" s="16" t="s">
        <v>85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60</v>
      </c>
      <c r="C2076" s="9">
        <v>46174</v>
      </c>
      <c r="D2076">
        <v>5</v>
      </c>
      <c r="E2076" s="16" t="s">
        <v>90</v>
      </c>
      <c r="F2076" s="16" t="s">
        <v>85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60</v>
      </c>
      <c r="C2077" s="9">
        <v>46204</v>
      </c>
      <c r="D2077">
        <v>5</v>
      </c>
      <c r="E2077" s="16" t="s">
        <v>90</v>
      </c>
      <c r="F2077" s="16" t="s">
        <v>85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60</v>
      </c>
      <c r="C2078" s="9">
        <v>46235</v>
      </c>
      <c r="D2078">
        <v>5</v>
      </c>
      <c r="E2078" s="16" t="s">
        <v>90</v>
      </c>
      <c r="F2078" s="16" t="s">
        <v>85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60</v>
      </c>
      <c r="C2079" s="9">
        <v>46266</v>
      </c>
      <c r="D2079">
        <v>5</v>
      </c>
      <c r="E2079" s="16" t="s">
        <v>90</v>
      </c>
      <c r="F2079" s="16" t="s">
        <v>85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60</v>
      </c>
      <c r="C2080" s="9">
        <v>45689</v>
      </c>
      <c r="D2080">
        <v>6</v>
      </c>
      <c r="E2080" s="16" t="s">
        <v>91</v>
      </c>
      <c r="F2080" s="16" t="s">
        <v>92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60</v>
      </c>
      <c r="C2081" s="9">
        <v>45717</v>
      </c>
      <c r="D2081">
        <v>6</v>
      </c>
      <c r="E2081" s="16" t="s">
        <v>91</v>
      </c>
      <c r="F2081" s="16" t="s">
        <v>92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60</v>
      </c>
      <c r="C2082" s="9">
        <v>45748</v>
      </c>
      <c r="D2082">
        <v>6</v>
      </c>
      <c r="E2082" s="16" t="s">
        <v>91</v>
      </c>
      <c r="F2082" s="16" t="s">
        <v>92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60</v>
      </c>
      <c r="C2083" s="9">
        <v>45778</v>
      </c>
      <c r="D2083">
        <v>6</v>
      </c>
      <c r="E2083" s="16" t="s">
        <v>91</v>
      </c>
      <c r="F2083" s="16" t="s">
        <v>92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60</v>
      </c>
      <c r="C2084" s="9">
        <v>45809</v>
      </c>
      <c r="D2084">
        <v>6</v>
      </c>
      <c r="E2084" s="16" t="s">
        <v>91</v>
      </c>
      <c r="F2084" s="16" t="s">
        <v>92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60</v>
      </c>
      <c r="C2085" s="9">
        <v>45839</v>
      </c>
      <c r="D2085">
        <v>6</v>
      </c>
      <c r="E2085" s="16" t="s">
        <v>91</v>
      </c>
      <c r="F2085" s="16" t="s">
        <v>92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60</v>
      </c>
      <c r="C2086" s="9">
        <v>45870</v>
      </c>
      <c r="D2086">
        <v>6</v>
      </c>
      <c r="E2086" s="16" t="s">
        <v>91</v>
      </c>
      <c r="F2086" s="16" t="s">
        <v>92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60</v>
      </c>
      <c r="C2087" s="9">
        <v>45901</v>
      </c>
      <c r="D2087">
        <v>6</v>
      </c>
      <c r="E2087" s="16" t="s">
        <v>91</v>
      </c>
      <c r="F2087" s="16" t="s">
        <v>92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60</v>
      </c>
      <c r="C2088" s="9">
        <v>45931</v>
      </c>
      <c r="D2088">
        <v>6</v>
      </c>
      <c r="E2088" s="16" t="s">
        <v>91</v>
      </c>
      <c r="F2088" s="16" t="s">
        <v>92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60</v>
      </c>
      <c r="C2089" s="9">
        <v>45962</v>
      </c>
      <c r="D2089">
        <v>6</v>
      </c>
      <c r="E2089" s="16" t="s">
        <v>91</v>
      </c>
      <c r="F2089" s="16" t="s">
        <v>92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60</v>
      </c>
      <c r="C2090" s="9">
        <v>45992</v>
      </c>
      <c r="D2090">
        <v>6</v>
      </c>
      <c r="E2090" s="16" t="s">
        <v>91</v>
      </c>
      <c r="F2090" s="16" t="s">
        <v>92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60</v>
      </c>
      <c r="C2091" s="9">
        <v>46023</v>
      </c>
      <c r="D2091">
        <v>6</v>
      </c>
      <c r="E2091" s="16" t="s">
        <v>91</v>
      </c>
      <c r="F2091" s="16" t="s">
        <v>92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60</v>
      </c>
      <c r="C2092" s="9">
        <v>46054</v>
      </c>
      <c r="D2092">
        <v>6</v>
      </c>
      <c r="E2092" s="16" t="s">
        <v>91</v>
      </c>
      <c r="F2092" s="16" t="s">
        <v>92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60</v>
      </c>
      <c r="C2093" s="9">
        <v>46082</v>
      </c>
      <c r="D2093">
        <v>6</v>
      </c>
      <c r="E2093" s="16" t="s">
        <v>91</v>
      </c>
      <c r="F2093" s="16" t="s">
        <v>92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60</v>
      </c>
      <c r="C2094" s="9">
        <v>46113</v>
      </c>
      <c r="D2094">
        <v>6</v>
      </c>
      <c r="E2094" s="16" t="s">
        <v>91</v>
      </c>
      <c r="F2094" s="16" t="s">
        <v>92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60</v>
      </c>
      <c r="C2095" s="9">
        <v>46143</v>
      </c>
      <c r="D2095">
        <v>6</v>
      </c>
      <c r="E2095" s="16" t="s">
        <v>91</v>
      </c>
      <c r="F2095" s="16" t="s">
        <v>92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60</v>
      </c>
      <c r="C2096" s="9">
        <v>46174</v>
      </c>
      <c r="D2096">
        <v>6</v>
      </c>
      <c r="E2096" s="16" t="s">
        <v>91</v>
      </c>
      <c r="F2096" s="16" t="s">
        <v>92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60</v>
      </c>
      <c r="C2097" s="9">
        <v>46204</v>
      </c>
      <c r="D2097">
        <v>6</v>
      </c>
      <c r="E2097" s="16" t="s">
        <v>91</v>
      </c>
      <c r="F2097" s="16" t="s">
        <v>92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60</v>
      </c>
      <c r="C2098" s="9">
        <v>46235</v>
      </c>
      <c r="D2098">
        <v>6</v>
      </c>
      <c r="E2098" s="16" t="s">
        <v>91</v>
      </c>
      <c r="F2098" s="16" t="s">
        <v>92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60</v>
      </c>
      <c r="C2099" s="9">
        <v>46266</v>
      </c>
      <c r="D2099">
        <v>6</v>
      </c>
      <c r="E2099" s="16" t="s">
        <v>91</v>
      </c>
      <c r="F2099" s="16" t="s">
        <v>92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60</v>
      </c>
      <c r="C2100" s="9">
        <v>45689</v>
      </c>
      <c r="D2100">
        <v>7</v>
      </c>
      <c r="E2100" s="16" t="s">
        <v>93</v>
      </c>
      <c r="F2100" s="16" t="s">
        <v>94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60</v>
      </c>
      <c r="C2101" s="9">
        <v>45717</v>
      </c>
      <c r="D2101">
        <v>7</v>
      </c>
      <c r="E2101" s="16" t="s">
        <v>93</v>
      </c>
      <c r="F2101" s="16" t="s">
        <v>94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60</v>
      </c>
      <c r="C2102" s="9">
        <v>45748</v>
      </c>
      <c r="D2102">
        <v>7</v>
      </c>
      <c r="E2102" s="16" t="s">
        <v>93</v>
      </c>
      <c r="F2102" s="16" t="s">
        <v>94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60</v>
      </c>
      <c r="C2103" s="9">
        <v>45778</v>
      </c>
      <c r="D2103">
        <v>7</v>
      </c>
      <c r="E2103" s="16" t="s">
        <v>93</v>
      </c>
      <c r="F2103" s="16" t="s">
        <v>94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60</v>
      </c>
      <c r="C2104" s="9">
        <v>45809</v>
      </c>
      <c r="D2104">
        <v>7</v>
      </c>
      <c r="E2104" s="16" t="s">
        <v>93</v>
      </c>
      <c r="F2104" s="16" t="s">
        <v>94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60</v>
      </c>
      <c r="C2105" s="9">
        <v>45839</v>
      </c>
      <c r="D2105">
        <v>7</v>
      </c>
      <c r="E2105" s="16" t="s">
        <v>93</v>
      </c>
      <c r="F2105" s="16" t="s">
        <v>94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60</v>
      </c>
      <c r="C2106" s="9">
        <v>45870</v>
      </c>
      <c r="D2106">
        <v>7</v>
      </c>
      <c r="E2106" s="16" t="s">
        <v>93</v>
      </c>
      <c r="F2106" s="16" t="s">
        <v>94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60</v>
      </c>
      <c r="C2107" s="9">
        <v>45901</v>
      </c>
      <c r="D2107">
        <v>7</v>
      </c>
      <c r="E2107" s="16" t="s">
        <v>93</v>
      </c>
      <c r="F2107" s="16" t="s">
        <v>94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60</v>
      </c>
      <c r="C2108" s="9">
        <v>45931</v>
      </c>
      <c r="D2108">
        <v>7</v>
      </c>
      <c r="E2108" s="16" t="s">
        <v>93</v>
      </c>
      <c r="F2108" s="16" t="s">
        <v>94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60</v>
      </c>
      <c r="C2109" s="9">
        <v>45962</v>
      </c>
      <c r="D2109">
        <v>7</v>
      </c>
      <c r="E2109" s="16" t="s">
        <v>93</v>
      </c>
      <c r="F2109" s="16" t="s">
        <v>94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60</v>
      </c>
      <c r="C2110" s="9">
        <v>45992</v>
      </c>
      <c r="D2110">
        <v>7</v>
      </c>
      <c r="E2110" s="16" t="s">
        <v>93</v>
      </c>
      <c r="F2110" s="16" t="s">
        <v>94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60</v>
      </c>
      <c r="C2111" s="9">
        <v>46023</v>
      </c>
      <c r="D2111">
        <v>7</v>
      </c>
      <c r="E2111" s="16" t="s">
        <v>93</v>
      </c>
      <c r="F2111" s="16" t="s">
        <v>94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60</v>
      </c>
      <c r="C2112" s="9">
        <v>46054</v>
      </c>
      <c r="D2112">
        <v>7</v>
      </c>
      <c r="E2112" s="16" t="s">
        <v>93</v>
      </c>
      <c r="F2112" s="16" t="s">
        <v>94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60</v>
      </c>
      <c r="C2113" s="9">
        <v>46082</v>
      </c>
      <c r="D2113">
        <v>7</v>
      </c>
      <c r="E2113" s="16" t="s">
        <v>93</v>
      </c>
      <c r="F2113" s="16" t="s">
        <v>94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60</v>
      </c>
      <c r="C2114" s="9">
        <v>46113</v>
      </c>
      <c r="D2114">
        <v>7</v>
      </c>
      <c r="E2114" s="16" t="s">
        <v>93</v>
      </c>
      <c r="F2114" s="16" t="s">
        <v>94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60</v>
      </c>
      <c r="C2115" s="9">
        <v>46143</v>
      </c>
      <c r="D2115">
        <v>7</v>
      </c>
      <c r="E2115" s="16" t="s">
        <v>93</v>
      </c>
      <c r="F2115" s="16" t="s">
        <v>94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60</v>
      </c>
      <c r="C2116" s="9">
        <v>46174</v>
      </c>
      <c r="D2116">
        <v>7</v>
      </c>
      <c r="E2116" s="16" t="s">
        <v>93</v>
      </c>
      <c r="F2116" s="16" t="s">
        <v>94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60</v>
      </c>
      <c r="C2117" s="9">
        <v>46204</v>
      </c>
      <c r="D2117">
        <v>7</v>
      </c>
      <c r="E2117" s="16" t="s">
        <v>93</v>
      </c>
      <c r="F2117" s="16" t="s">
        <v>94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60</v>
      </c>
      <c r="C2118" s="9">
        <v>46235</v>
      </c>
      <c r="D2118">
        <v>7</v>
      </c>
      <c r="E2118" s="16" t="s">
        <v>93</v>
      </c>
      <c r="F2118" s="16" t="s">
        <v>94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60</v>
      </c>
      <c r="C2119" s="9">
        <v>46266</v>
      </c>
      <c r="D2119">
        <v>7</v>
      </c>
      <c r="E2119" s="16" t="s">
        <v>93</v>
      </c>
      <c r="F2119" s="16" t="s">
        <v>94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60</v>
      </c>
      <c r="C2120" s="9">
        <v>45689</v>
      </c>
      <c r="D2120">
        <v>8</v>
      </c>
      <c r="E2120" s="16" t="s">
        <v>95</v>
      </c>
      <c r="F2120" s="16" t="s">
        <v>85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60</v>
      </c>
      <c r="C2121" s="9">
        <v>45717</v>
      </c>
      <c r="D2121">
        <v>8</v>
      </c>
      <c r="E2121" s="16" t="s">
        <v>95</v>
      </c>
      <c r="F2121" s="16" t="s">
        <v>85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60</v>
      </c>
      <c r="C2122" s="9">
        <v>45748</v>
      </c>
      <c r="D2122">
        <v>8</v>
      </c>
      <c r="E2122" s="16" t="s">
        <v>95</v>
      </c>
      <c r="F2122" s="16" t="s">
        <v>85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60</v>
      </c>
      <c r="C2123" s="9">
        <v>45778</v>
      </c>
      <c r="D2123">
        <v>8</v>
      </c>
      <c r="E2123" s="16" t="s">
        <v>95</v>
      </c>
      <c r="F2123" s="16" t="s">
        <v>85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60</v>
      </c>
      <c r="C2124" s="9">
        <v>45809</v>
      </c>
      <c r="D2124">
        <v>8</v>
      </c>
      <c r="E2124" s="16" t="s">
        <v>95</v>
      </c>
      <c r="F2124" s="16" t="s">
        <v>85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60</v>
      </c>
      <c r="C2125" s="9">
        <v>45839</v>
      </c>
      <c r="D2125">
        <v>8</v>
      </c>
      <c r="E2125" s="16" t="s">
        <v>95</v>
      </c>
      <c r="F2125" s="16" t="s">
        <v>85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60</v>
      </c>
      <c r="C2126" s="9">
        <v>45870</v>
      </c>
      <c r="D2126">
        <v>8</v>
      </c>
      <c r="E2126" s="16" t="s">
        <v>95</v>
      </c>
      <c r="F2126" s="16" t="s">
        <v>85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60</v>
      </c>
      <c r="C2127" s="9">
        <v>45901</v>
      </c>
      <c r="D2127">
        <v>8</v>
      </c>
      <c r="E2127" s="16" t="s">
        <v>95</v>
      </c>
      <c r="F2127" s="16" t="s">
        <v>85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60</v>
      </c>
      <c r="C2128" s="9">
        <v>45931</v>
      </c>
      <c r="D2128">
        <v>8</v>
      </c>
      <c r="E2128" s="16" t="s">
        <v>95</v>
      </c>
      <c r="F2128" s="16" t="s">
        <v>85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60</v>
      </c>
      <c r="C2129" s="9">
        <v>45962</v>
      </c>
      <c r="D2129">
        <v>8</v>
      </c>
      <c r="E2129" s="16" t="s">
        <v>95</v>
      </c>
      <c r="F2129" s="16" t="s">
        <v>85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60</v>
      </c>
      <c r="C2130" s="9">
        <v>45992</v>
      </c>
      <c r="D2130">
        <v>8</v>
      </c>
      <c r="E2130" s="16" t="s">
        <v>95</v>
      </c>
      <c r="F2130" s="16" t="s">
        <v>85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60</v>
      </c>
      <c r="C2131" s="9">
        <v>46023</v>
      </c>
      <c r="D2131">
        <v>8</v>
      </c>
      <c r="E2131" s="16" t="s">
        <v>95</v>
      </c>
      <c r="F2131" s="16" t="s">
        <v>85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60</v>
      </c>
      <c r="C2132" s="9">
        <v>46054</v>
      </c>
      <c r="D2132">
        <v>8</v>
      </c>
      <c r="E2132" s="16" t="s">
        <v>95</v>
      </c>
      <c r="F2132" s="16" t="s">
        <v>85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60</v>
      </c>
      <c r="C2133" s="9">
        <v>46082</v>
      </c>
      <c r="D2133">
        <v>8</v>
      </c>
      <c r="E2133" s="16" t="s">
        <v>95</v>
      </c>
      <c r="F2133" s="16" t="s">
        <v>85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60</v>
      </c>
      <c r="C2134" s="9">
        <v>46113</v>
      </c>
      <c r="D2134">
        <v>8</v>
      </c>
      <c r="E2134" s="16" t="s">
        <v>95</v>
      </c>
      <c r="F2134" s="16" t="s">
        <v>85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60</v>
      </c>
      <c r="C2135" s="9">
        <v>46143</v>
      </c>
      <c r="D2135">
        <v>8</v>
      </c>
      <c r="E2135" s="16" t="s">
        <v>95</v>
      </c>
      <c r="F2135" s="16" t="s">
        <v>85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60</v>
      </c>
      <c r="C2136" s="9">
        <v>46174</v>
      </c>
      <c r="D2136">
        <v>8</v>
      </c>
      <c r="E2136" s="16" t="s">
        <v>95</v>
      </c>
      <c r="F2136" s="16" t="s">
        <v>85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60</v>
      </c>
      <c r="C2137" s="9">
        <v>46204</v>
      </c>
      <c r="D2137">
        <v>8</v>
      </c>
      <c r="E2137" s="16" t="s">
        <v>95</v>
      </c>
      <c r="F2137" s="16" t="s">
        <v>85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60</v>
      </c>
      <c r="C2138" s="9">
        <v>46235</v>
      </c>
      <c r="D2138">
        <v>8</v>
      </c>
      <c r="E2138" s="16" t="s">
        <v>95</v>
      </c>
      <c r="F2138" s="16" t="s">
        <v>85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60</v>
      </c>
      <c r="C2139" s="9">
        <v>46266</v>
      </c>
      <c r="D2139">
        <v>8</v>
      </c>
      <c r="E2139" s="16" t="s">
        <v>95</v>
      </c>
      <c r="F2139" s="16" t="s">
        <v>85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60</v>
      </c>
      <c r="C2140" s="9">
        <v>45689</v>
      </c>
      <c r="D2140">
        <v>10</v>
      </c>
      <c r="E2140" s="16" t="s">
        <v>97</v>
      </c>
      <c r="F2140" s="16" t="s">
        <v>85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60</v>
      </c>
      <c r="C2141" s="9">
        <v>45717</v>
      </c>
      <c r="D2141">
        <v>10</v>
      </c>
      <c r="E2141" s="16" t="s">
        <v>97</v>
      </c>
      <c r="F2141" s="16" t="s">
        <v>85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60</v>
      </c>
      <c r="C2142" s="9">
        <v>45748</v>
      </c>
      <c r="D2142">
        <v>10</v>
      </c>
      <c r="E2142" s="16" t="s">
        <v>97</v>
      </c>
      <c r="F2142" s="16" t="s">
        <v>85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60</v>
      </c>
      <c r="C2143" s="9">
        <v>45778</v>
      </c>
      <c r="D2143">
        <v>10</v>
      </c>
      <c r="E2143" s="16" t="s">
        <v>97</v>
      </c>
      <c r="F2143" s="16" t="s">
        <v>85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60</v>
      </c>
      <c r="C2144" s="9">
        <v>45809</v>
      </c>
      <c r="D2144">
        <v>10</v>
      </c>
      <c r="E2144" s="16" t="s">
        <v>97</v>
      </c>
      <c r="F2144" s="16" t="s">
        <v>85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60</v>
      </c>
      <c r="C2145" s="9">
        <v>45839</v>
      </c>
      <c r="D2145">
        <v>10</v>
      </c>
      <c r="E2145" s="16" t="s">
        <v>97</v>
      </c>
      <c r="F2145" s="16" t="s">
        <v>85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60</v>
      </c>
      <c r="C2146" s="9">
        <v>45870</v>
      </c>
      <c r="D2146">
        <v>10</v>
      </c>
      <c r="E2146" s="16" t="s">
        <v>97</v>
      </c>
      <c r="F2146" s="16" t="s">
        <v>85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60</v>
      </c>
      <c r="C2147" s="9">
        <v>45901</v>
      </c>
      <c r="D2147">
        <v>10</v>
      </c>
      <c r="E2147" s="16" t="s">
        <v>97</v>
      </c>
      <c r="F2147" s="16" t="s">
        <v>85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60</v>
      </c>
      <c r="C2148" s="9">
        <v>45931</v>
      </c>
      <c r="D2148">
        <v>10</v>
      </c>
      <c r="E2148" s="16" t="s">
        <v>97</v>
      </c>
      <c r="F2148" s="16" t="s">
        <v>85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60</v>
      </c>
      <c r="C2149" s="9">
        <v>45962</v>
      </c>
      <c r="D2149">
        <v>10</v>
      </c>
      <c r="E2149" s="16" t="s">
        <v>97</v>
      </c>
      <c r="F2149" s="16" t="s">
        <v>85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60</v>
      </c>
      <c r="C2150" s="9">
        <v>45992</v>
      </c>
      <c r="D2150">
        <v>10</v>
      </c>
      <c r="E2150" s="16" t="s">
        <v>97</v>
      </c>
      <c r="F2150" s="16" t="s">
        <v>85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60</v>
      </c>
      <c r="C2151" s="9">
        <v>46023</v>
      </c>
      <c r="D2151">
        <v>10</v>
      </c>
      <c r="E2151" s="16" t="s">
        <v>97</v>
      </c>
      <c r="F2151" s="16" t="s">
        <v>85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60</v>
      </c>
      <c r="C2152" s="9">
        <v>46054</v>
      </c>
      <c r="D2152">
        <v>10</v>
      </c>
      <c r="E2152" s="16" t="s">
        <v>97</v>
      </c>
      <c r="F2152" s="16" t="s">
        <v>85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60</v>
      </c>
      <c r="C2153" s="9">
        <v>46082</v>
      </c>
      <c r="D2153">
        <v>10</v>
      </c>
      <c r="E2153" s="16" t="s">
        <v>97</v>
      </c>
      <c r="F2153" s="16" t="s">
        <v>85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60</v>
      </c>
      <c r="C2154" s="9">
        <v>46113</v>
      </c>
      <c r="D2154">
        <v>10</v>
      </c>
      <c r="E2154" s="16" t="s">
        <v>97</v>
      </c>
      <c r="F2154" s="16" t="s">
        <v>85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60</v>
      </c>
      <c r="C2155" s="9">
        <v>46143</v>
      </c>
      <c r="D2155">
        <v>10</v>
      </c>
      <c r="E2155" s="16" t="s">
        <v>97</v>
      </c>
      <c r="F2155" s="16" t="s">
        <v>85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60</v>
      </c>
      <c r="C2156" s="9">
        <v>46174</v>
      </c>
      <c r="D2156">
        <v>10</v>
      </c>
      <c r="E2156" s="16" t="s">
        <v>97</v>
      </c>
      <c r="F2156" s="16" t="s">
        <v>85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60</v>
      </c>
      <c r="C2157" s="9">
        <v>46204</v>
      </c>
      <c r="D2157">
        <v>10</v>
      </c>
      <c r="E2157" s="16" t="s">
        <v>97</v>
      </c>
      <c r="F2157" s="16" t="s">
        <v>85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60</v>
      </c>
      <c r="C2158" s="9">
        <v>46235</v>
      </c>
      <c r="D2158">
        <v>10</v>
      </c>
      <c r="E2158" s="16" t="s">
        <v>97</v>
      </c>
      <c r="F2158" s="16" t="s">
        <v>85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60</v>
      </c>
      <c r="C2159" s="9">
        <v>46266</v>
      </c>
      <c r="D2159">
        <v>10</v>
      </c>
      <c r="E2159" s="16" t="s">
        <v>97</v>
      </c>
      <c r="F2159" s="16" t="s">
        <v>85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60</v>
      </c>
      <c r="C2160" s="9">
        <v>45689</v>
      </c>
      <c r="D2160">
        <v>13</v>
      </c>
      <c r="E2160" s="16" t="s">
        <v>99</v>
      </c>
      <c r="F2160" s="16" t="s">
        <v>100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60</v>
      </c>
      <c r="C2161" s="9">
        <v>45717</v>
      </c>
      <c r="D2161">
        <v>13</v>
      </c>
      <c r="E2161" s="16" t="s">
        <v>99</v>
      </c>
      <c r="F2161" s="16" t="s">
        <v>100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60</v>
      </c>
      <c r="C2162" s="9">
        <v>45748</v>
      </c>
      <c r="D2162">
        <v>13</v>
      </c>
      <c r="E2162" s="16" t="s">
        <v>99</v>
      </c>
      <c r="F2162" s="16" t="s">
        <v>100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60</v>
      </c>
      <c r="C2163" s="9">
        <v>45778</v>
      </c>
      <c r="D2163">
        <v>13</v>
      </c>
      <c r="E2163" s="16" t="s">
        <v>99</v>
      </c>
      <c r="F2163" s="16" t="s">
        <v>100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60</v>
      </c>
      <c r="C2164" s="9">
        <v>45809</v>
      </c>
      <c r="D2164">
        <v>13</v>
      </c>
      <c r="E2164" s="16" t="s">
        <v>99</v>
      </c>
      <c r="F2164" s="16" t="s">
        <v>100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60</v>
      </c>
      <c r="C2165" s="9">
        <v>45839</v>
      </c>
      <c r="D2165">
        <v>13</v>
      </c>
      <c r="E2165" s="16" t="s">
        <v>99</v>
      </c>
      <c r="F2165" s="16" t="s">
        <v>100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60</v>
      </c>
      <c r="C2166" s="9">
        <v>45870</v>
      </c>
      <c r="D2166">
        <v>13</v>
      </c>
      <c r="E2166" s="16" t="s">
        <v>99</v>
      </c>
      <c r="F2166" s="16" t="s">
        <v>100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60</v>
      </c>
      <c r="C2167" s="9">
        <v>45901</v>
      </c>
      <c r="D2167">
        <v>13</v>
      </c>
      <c r="E2167" s="16" t="s">
        <v>99</v>
      </c>
      <c r="F2167" s="16" t="s">
        <v>100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60</v>
      </c>
      <c r="C2168" s="9">
        <v>45931</v>
      </c>
      <c r="D2168">
        <v>13</v>
      </c>
      <c r="E2168" s="16" t="s">
        <v>99</v>
      </c>
      <c r="F2168" s="16" t="s">
        <v>100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60</v>
      </c>
      <c r="C2169" s="9">
        <v>45962</v>
      </c>
      <c r="D2169">
        <v>13</v>
      </c>
      <c r="E2169" s="16" t="s">
        <v>99</v>
      </c>
      <c r="F2169" s="16" t="s">
        <v>100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60</v>
      </c>
      <c r="C2170" s="9">
        <v>45992</v>
      </c>
      <c r="D2170">
        <v>13</v>
      </c>
      <c r="E2170" s="16" t="s">
        <v>99</v>
      </c>
      <c r="F2170" s="16" t="s">
        <v>100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60</v>
      </c>
      <c r="C2171" s="9">
        <v>46023</v>
      </c>
      <c r="D2171">
        <v>13</v>
      </c>
      <c r="E2171" s="16" t="s">
        <v>99</v>
      </c>
      <c r="F2171" s="16" t="s">
        <v>100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60</v>
      </c>
      <c r="C2172" s="9">
        <v>46054</v>
      </c>
      <c r="D2172">
        <v>13</v>
      </c>
      <c r="E2172" s="16" t="s">
        <v>99</v>
      </c>
      <c r="F2172" s="16" t="s">
        <v>100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60</v>
      </c>
      <c r="C2173" s="9">
        <v>46082</v>
      </c>
      <c r="D2173">
        <v>13</v>
      </c>
      <c r="E2173" s="16" t="s">
        <v>99</v>
      </c>
      <c r="F2173" s="16" t="s">
        <v>100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60</v>
      </c>
      <c r="C2174" s="9">
        <v>46113</v>
      </c>
      <c r="D2174">
        <v>13</v>
      </c>
      <c r="E2174" s="16" t="s">
        <v>99</v>
      </c>
      <c r="F2174" s="16" t="s">
        <v>100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60</v>
      </c>
      <c r="C2175" s="9">
        <v>46143</v>
      </c>
      <c r="D2175">
        <v>13</v>
      </c>
      <c r="E2175" s="16" t="s">
        <v>99</v>
      </c>
      <c r="F2175" s="16" t="s">
        <v>100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60</v>
      </c>
      <c r="C2176" s="9">
        <v>46174</v>
      </c>
      <c r="D2176">
        <v>13</v>
      </c>
      <c r="E2176" s="16" t="s">
        <v>99</v>
      </c>
      <c r="F2176" s="16" t="s">
        <v>100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60</v>
      </c>
      <c r="C2177" s="9">
        <v>46204</v>
      </c>
      <c r="D2177">
        <v>13</v>
      </c>
      <c r="E2177" s="16" t="s">
        <v>99</v>
      </c>
      <c r="F2177" s="16" t="s">
        <v>100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60</v>
      </c>
      <c r="C2178" s="9">
        <v>46235</v>
      </c>
      <c r="D2178">
        <v>13</v>
      </c>
      <c r="E2178" s="16" t="s">
        <v>99</v>
      </c>
      <c r="F2178" s="16" t="s">
        <v>100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60</v>
      </c>
      <c r="C2179" s="9">
        <v>46266</v>
      </c>
      <c r="D2179">
        <v>13</v>
      </c>
      <c r="E2179" s="16" t="s">
        <v>99</v>
      </c>
      <c r="F2179" s="16" t="s">
        <v>100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60</v>
      </c>
      <c r="C2180" s="9">
        <v>45689</v>
      </c>
      <c r="D2180">
        <v>14</v>
      </c>
      <c r="E2180" s="16" t="s">
        <v>101</v>
      </c>
      <c r="F2180" s="16" t="s">
        <v>92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60</v>
      </c>
      <c r="C2181" s="9">
        <v>45717</v>
      </c>
      <c r="D2181">
        <v>14</v>
      </c>
      <c r="E2181" s="16" t="s">
        <v>101</v>
      </c>
      <c r="F2181" s="16" t="s">
        <v>92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60</v>
      </c>
      <c r="C2182" s="9">
        <v>45748</v>
      </c>
      <c r="D2182">
        <v>14</v>
      </c>
      <c r="E2182" s="16" t="s">
        <v>101</v>
      </c>
      <c r="F2182" s="16" t="s">
        <v>92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60</v>
      </c>
      <c r="C2183" s="9">
        <v>45778</v>
      </c>
      <c r="D2183">
        <v>14</v>
      </c>
      <c r="E2183" s="16" t="s">
        <v>101</v>
      </c>
      <c r="F2183" s="16" t="s">
        <v>92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60</v>
      </c>
      <c r="C2184" s="9">
        <v>45809</v>
      </c>
      <c r="D2184">
        <v>14</v>
      </c>
      <c r="E2184" s="16" t="s">
        <v>101</v>
      </c>
      <c r="F2184" s="16" t="s">
        <v>92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60</v>
      </c>
      <c r="C2185" s="9">
        <v>45839</v>
      </c>
      <c r="D2185">
        <v>14</v>
      </c>
      <c r="E2185" s="16" t="s">
        <v>101</v>
      </c>
      <c r="F2185" s="16" t="s">
        <v>92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60</v>
      </c>
      <c r="C2186" s="9">
        <v>45870</v>
      </c>
      <c r="D2186">
        <v>14</v>
      </c>
      <c r="E2186" s="16" t="s">
        <v>101</v>
      </c>
      <c r="F2186" s="16" t="s">
        <v>92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60</v>
      </c>
      <c r="C2187" s="9">
        <v>45901</v>
      </c>
      <c r="D2187">
        <v>14</v>
      </c>
      <c r="E2187" s="16" t="s">
        <v>101</v>
      </c>
      <c r="F2187" s="16" t="s">
        <v>92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60</v>
      </c>
      <c r="C2188" s="9">
        <v>45931</v>
      </c>
      <c r="D2188">
        <v>14</v>
      </c>
      <c r="E2188" s="16" t="s">
        <v>101</v>
      </c>
      <c r="F2188" s="16" t="s">
        <v>92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60</v>
      </c>
      <c r="C2189" s="9">
        <v>45962</v>
      </c>
      <c r="D2189">
        <v>14</v>
      </c>
      <c r="E2189" s="16" t="s">
        <v>101</v>
      </c>
      <c r="F2189" s="16" t="s">
        <v>92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60</v>
      </c>
      <c r="C2190" s="9">
        <v>45992</v>
      </c>
      <c r="D2190">
        <v>14</v>
      </c>
      <c r="E2190" s="16" t="s">
        <v>101</v>
      </c>
      <c r="F2190" s="16" t="s">
        <v>92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60</v>
      </c>
      <c r="C2191" s="9">
        <v>46023</v>
      </c>
      <c r="D2191">
        <v>14</v>
      </c>
      <c r="E2191" s="16" t="s">
        <v>101</v>
      </c>
      <c r="F2191" s="16" t="s">
        <v>92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60</v>
      </c>
      <c r="C2192" s="9">
        <v>46054</v>
      </c>
      <c r="D2192">
        <v>14</v>
      </c>
      <c r="E2192" s="16" t="s">
        <v>101</v>
      </c>
      <c r="F2192" s="16" t="s">
        <v>92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60</v>
      </c>
      <c r="C2193" s="9">
        <v>46082</v>
      </c>
      <c r="D2193">
        <v>14</v>
      </c>
      <c r="E2193" s="16" t="s">
        <v>101</v>
      </c>
      <c r="F2193" s="16" t="s">
        <v>92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60</v>
      </c>
      <c r="C2194" s="9">
        <v>46113</v>
      </c>
      <c r="D2194">
        <v>14</v>
      </c>
      <c r="E2194" s="16" t="s">
        <v>101</v>
      </c>
      <c r="F2194" s="16" t="s">
        <v>92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60</v>
      </c>
      <c r="C2195" s="9">
        <v>46143</v>
      </c>
      <c r="D2195">
        <v>14</v>
      </c>
      <c r="E2195" s="16" t="s">
        <v>101</v>
      </c>
      <c r="F2195" s="16" t="s">
        <v>92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60</v>
      </c>
      <c r="C2196" s="9">
        <v>46174</v>
      </c>
      <c r="D2196">
        <v>14</v>
      </c>
      <c r="E2196" s="16" t="s">
        <v>101</v>
      </c>
      <c r="F2196" s="16" t="s">
        <v>92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60</v>
      </c>
      <c r="C2197" s="9">
        <v>46204</v>
      </c>
      <c r="D2197">
        <v>14</v>
      </c>
      <c r="E2197" s="16" t="s">
        <v>101</v>
      </c>
      <c r="F2197" s="16" t="s">
        <v>92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60</v>
      </c>
      <c r="C2198" s="9">
        <v>46235</v>
      </c>
      <c r="D2198">
        <v>14</v>
      </c>
      <c r="E2198" s="16" t="s">
        <v>101</v>
      </c>
      <c r="F2198" s="16" t="s">
        <v>92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60</v>
      </c>
      <c r="C2199" s="9">
        <v>46266</v>
      </c>
      <c r="D2199">
        <v>14</v>
      </c>
      <c r="E2199" s="16" t="s">
        <v>101</v>
      </c>
      <c r="F2199" s="16" t="s">
        <v>92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60</v>
      </c>
      <c r="C2200" s="9">
        <v>45689</v>
      </c>
      <c r="D2200">
        <v>15</v>
      </c>
      <c r="E2200" s="16" t="s">
        <v>102</v>
      </c>
      <c r="F2200" s="16" t="s">
        <v>94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60</v>
      </c>
      <c r="C2201" s="9">
        <v>45717</v>
      </c>
      <c r="D2201">
        <v>15</v>
      </c>
      <c r="E2201" s="16" t="s">
        <v>102</v>
      </c>
      <c r="F2201" s="16" t="s">
        <v>94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60</v>
      </c>
      <c r="C2202" s="9">
        <v>45748</v>
      </c>
      <c r="D2202">
        <v>15</v>
      </c>
      <c r="E2202" s="16" t="s">
        <v>102</v>
      </c>
      <c r="F2202" s="16" t="s">
        <v>94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60</v>
      </c>
      <c r="C2203" s="9">
        <v>45778</v>
      </c>
      <c r="D2203">
        <v>15</v>
      </c>
      <c r="E2203" s="16" t="s">
        <v>102</v>
      </c>
      <c r="F2203" s="16" t="s">
        <v>94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60</v>
      </c>
      <c r="C2204" s="9">
        <v>45809</v>
      </c>
      <c r="D2204">
        <v>15</v>
      </c>
      <c r="E2204" s="16" t="s">
        <v>102</v>
      </c>
      <c r="F2204" s="16" t="s">
        <v>94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60</v>
      </c>
      <c r="C2205" s="9">
        <v>45839</v>
      </c>
      <c r="D2205">
        <v>15</v>
      </c>
      <c r="E2205" s="16" t="s">
        <v>102</v>
      </c>
      <c r="F2205" s="16" t="s">
        <v>94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60</v>
      </c>
      <c r="C2206" s="9">
        <v>45870</v>
      </c>
      <c r="D2206">
        <v>15</v>
      </c>
      <c r="E2206" s="16" t="s">
        <v>102</v>
      </c>
      <c r="F2206" s="16" t="s">
        <v>94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60</v>
      </c>
      <c r="C2207" s="9">
        <v>45901</v>
      </c>
      <c r="D2207">
        <v>15</v>
      </c>
      <c r="E2207" s="16" t="s">
        <v>102</v>
      </c>
      <c r="F2207" s="16" t="s">
        <v>94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60</v>
      </c>
      <c r="C2208" s="9">
        <v>45931</v>
      </c>
      <c r="D2208">
        <v>15</v>
      </c>
      <c r="E2208" s="16" t="s">
        <v>102</v>
      </c>
      <c r="F2208" s="16" t="s">
        <v>94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60</v>
      </c>
      <c r="C2209" s="9">
        <v>45962</v>
      </c>
      <c r="D2209">
        <v>15</v>
      </c>
      <c r="E2209" s="16" t="s">
        <v>102</v>
      </c>
      <c r="F2209" s="16" t="s">
        <v>94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60</v>
      </c>
      <c r="C2210" s="9">
        <v>45992</v>
      </c>
      <c r="D2210">
        <v>15</v>
      </c>
      <c r="E2210" s="16" t="s">
        <v>102</v>
      </c>
      <c r="F2210" s="16" t="s">
        <v>94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60</v>
      </c>
      <c r="C2211" s="9">
        <v>46023</v>
      </c>
      <c r="D2211">
        <v>15</v>
      </c>
      <c r="E2211" s="16" t="s">
        <v>102</v>
      </c>
      <c r="F2211" s="16" t="s">
        <v>94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60</v>
      </c>
      <c r="C2212" s="9">
        <v>46054</v>
      </c>
      <c r="D2212">
        <v>15</v>
      </c>
      <c r="E2212" s="16" t="s">
        <v>102</v>
      </c>
      <c r="F2212" s="16" t="s">
        <v>94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60</v>
      </c>
      <c r="C2213" s="9">
        <v>46082</v>
      </c>
      <c r="D2213">
        <v>15</v>
      </c>
      <c r="E2213" s="16" t="s">
        <v>102</v>
      </c>
      <c r="F2213" s="16" t="s">
        <v>94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60</v>
      </c>
      <c r="C2214" s="9">
        <v>46113</v>
      </c>
      <c r="D2214">
        <v>15</v>
      </c>
      <c r="E2214" s="16" t="s">
        <v>102</v>
      </c>
      <c r="F2214" s="16" t="s">
        <v>94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60</v>
      </c>
      <c r="C2215" s="9">
        <v>46143</v>
      </c>
      <c r="D2215">
        <v>15</v>
      </c>
      <c r="E2215" s="16" t="s">
        <v>102</v>
      </c>
      <c r="F2215" s="16" t="s">
        <v>94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60</v>
      </c>
      <c r="C2216" s="9">
        <v>46174</v>
      </c>
      <c r="D2216">
        <v>15</v>
      </c>
      <c r="E2216" s="16" t="s">
        <v>102</v>
      </c>
      <c r="F2216" s="16" t="s">
        <v>94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60</v>
      </c>
      <c r="C2217" s="9">
        <v>46204</v>
      </c>
      <c r="D2217">
        <v>15</v>
      </c>
      <c r="E2217" s="16" t="s">
        <v>102</v>
      </c>
      <c r="F2217" s="16" t="s">
        <v>94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60</v>
      </c>
      <c r="C2218" s="9">
        <v>46235</v>
      </c>
      <c r="D2218">
        <v>15</v>
      </c>
      <c r="E2218" s="16" t="s">
        <v>102</v>
      </c>
      <c r="F2218" s="16" t="s">
        <v>94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60</v>
      </c>
      <c r="C2219" s="9">
        <v>46266</v>
      </c>
      <c r="D2219">
        <v>15</v>
      </c>
      <c r="E2219" s="16" t="s">
        <v>102</v>
      </c>
      <c r="F2219" s="16" t="s">
        <v>94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60</v>
      </c>
      <c r="C2220" s="9">
        <v>45689</v>
      </c>
      <c r="D2220">
        <v>16</v>
      </c>
      <c r="E2220" s="16" t="s">
        <v>103</v>
      </c>
      <c r="F2220" s="16" t="s">
        <v>94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60</v>
      </c>
      <c r="C2221" s="9">
        <v>45717</v>
      </c>
      <c r="D2221">
        <v>16</v>
      </c>
      <c r="E2221" s="16" t="s">
        <v>103</v>
      </c>
      <c r="F2221" s="16" t="s">
        <v>94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60</v>
      </c>
      <c r="C2222" s="9">
        <v>45748</v>
      </c>
      <c r="D2222">
        <v>16</v>
      </c>
      <c r="E2222" s="16" t="s">
        <v>103</v>
      </c>
      <c r="F2222" s="16" t="s">
        <v>94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60</v>
      </c>
      <c r="C2223" s="9">
        <v>45778</v>
      </c>
      <c r="D2223">
        <v>16</v>
      </c>
      <c r="E2223" s="16" t="s">
        <v>103</v>
      </c>
      <c r="F2223" s="16" t="s">
        <v>94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60</v>
      </c>
      <c r="C2224" s="9">
        <v>45809</v>
      </c>
      <c r="D2224">
        <v>16</v>
      </c>
      <c r="E2224" s="16" t="s">
        <v>103</v>
      </c>
      <c r="F2224" s="16" t="s">
        <v>94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60</v>
      </c>
      <c r="C2225" s="9">
        <v>45839</v>
      </c>
      <c r="D2225">
        <v>16</v>
      </c>
      <c r="E2225" s="16" t="s">
        <v>103</v>
      </c>
      <c r="F2225" s="16" t="s">
        <v>94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60</v>
      </c>
      <c r="C2226" s="9">
        <v>45870</v>
      </c>
      <c r="D2226">
        <v>16</v>
      </c>
      <c r="E2226" s="16" t="s">
        <v>103</v>
      </c>
      <c r="F2226" s="16" t="s">
        <v>94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60</v>
      </c>
      <c r="C2227" s="9">
        <v>45901</v>
      </c>
      <c r="D2227">
        <v>16</v>
      </c>
      <c r="E2227" s="16" t="s">
        <v>103</v>
      </c>
      <c r="F2227" s="16" t="s">
        <v>94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60</v>
      </c>
      <c r="C2228" s="9">
        <v>45931</v>
      </c>
      <c r="D2228">
        <v>16</v>
      </c>
      <c r="E2228" s="16" t="s">
        <v>103</v>
      </c>
      <c r="F2228" s="16" t="s">
        <v>94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60</v>
      </c>
      <c r="C2229" s="9">
        <v>45962</v>
      </c>
      <c r="D2229">
        <v>16</v>
      </c>
      <c r="E2229" s="16" t="s">
        <v>103</v>
      </c>
      <c r="F2229" s="16" t="s">
        <v>94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60</v>
      </c>
      <c r="C2230" s="9">
        <v>45992</v>
      </c>
      <c r="D2230">
        <v>16</v>
      </c>
      <c r="E2230" s="16" t="s">
        <v>103</v>
      </c>
      <c r="F2230" s="16" t="s">
        <v>94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60</v>
      </c>
      <c r="C2231" s="9">
        <v>46023</v>
      </c>
      <c r="D2231">
        <v>16</v>
      </c>
      <c r="E2231" s="16" t="s">
        <v>103</v>
      </c>
      <c r="F2231" s="16" t="s">
        <v>94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60</v>
      </c>
      <c r="C2232" s="9">
        <v>46054</v>
      </c>
      <c r="D2232">
        <v>16</v>
      </c>
      <c r="E2232" s="16" t="s">
        <v>103</v>
      </c>
      <c r="F2232" s="16" t="s">
        <v>94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60</v>
      </c>
      <c r="C2233" s="9">
        <v>46082</v>
      </c>
      <c r="D2233">
        <v>16</v>
      </c>
      <c r="E2233" s="16" t="s">
        <v>103</v>
      </c>
      <c r="F2233" s="16" t="s">
        <v>94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60</v>
      </c>
      <c r="C2234" s="9">
        <v>46113</v>
      </c>
      <c r="D2234">
        <v>16</v>
      </c>
      <c r="E2234" s="16" t="s">
        <v>103</v>
      </c>
      <c r="F2234" s="16" t="s">
        <v>94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60</v>
      </c>
      <c r="C2235" s="9">
        <v>46143</v>
      </c>
      <c r="D2235">
        <v>16</v>
      </c>
      <c r="E2235" s="16" t="s">
        <v>103</v>
      </c>
      <c r="F2235" s="16" t="s">
        <v>94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60</v>
      </c>
      <c r="C2236" s="9">
        <v>46174</v>
      </c>
      <c r="D2236">
        <v>16</v>
      </c>
      <c r="E2236" s="16" t="s">
        <v>103</v>
      </c>
      <c r="F2236" s="16" t="s">
        <v>94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60</v>
      </c>
      <c r="C2237" s="9">
        <v>46204</v>
      </c>
      <c r="D2237">
        <v>16</v>
      </c>
      <c r="E2237" s="16" t="s">
        <v>103</v>
      </c>
      <c r="F2237" s="16" t="s">
        <v>94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60</v>
      </c>
      <c r="C2238" s="9">
        <v>46235</v>
      </c>
      <c r="D2238">
        <v>16</v>
      </c>
      <c r="E2238" s="16" t="s">
        <v>103</v>
      </c>
      <c r="F2238" s="16" t="s">
        <v>94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60</v>
      </c>
      <c r="C2239" s="9">
        <v>46266</v>
      </c>
      <c r="D2239">
        <v>16</v>
      </c>
      <c r="E2239" s="16" t="s">
        <v>103</v>
      </c>
      <c r="F2239" s="16" t="s">
        <v>94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60</v>
      </c>
      <c r="C2240" s="9">
        <v>45689</v>
      </c>
      <c r="D2240">
        <v>17</v>
      </c>
      <c r="E2240" s="16" t="s">
        <v>104</v>
      </c>
      <c r="F2240" s="16" t="s">
        <v>105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60</v>
      </c>
      <c r="C2241" s="9">
        <v>45717</v>
      </c>
      <c r="D2241">
        <v>17</v>
      </c>
      <c r="E2241" s="16" t="s">
        <v>104</v>
      </c>
      <c r="F2241" s="16" t="s">
        <v>105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60</v>
      </c>
      <c r="C2242" s="9">
        <v>45748</v>
      </c>
      <c r="D2242">
        <v>17</v>
      </c>
      <c r="E2242" s="16" t="s">
        <v>104</v>
      </c>
      <c r="F2242" s="16" t="s">
        <v>105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60</v>
      </c>
      <c r="C2243" s="9">
        <v>45778</v>
      </c>
      <c r="D2243">
        <v>17</v>
      </c>
      <c r="E2243" s="16" t="s">
        <v>104</v>
      </c>
      <c r="F2243" s="16" t="s">
        <v>105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60</v>
      </c>
      <c r="C2244" s="9">
        <v>45809</v>
      </c>
      <c r="D2244">
        <v>17</v>
      </c>
      <c r="E2244" s="16" t="s">
        <v>104</v>
      </c>
      <c r="F2244" s="16" t="s">
        <v>105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60</v>
      </c>
      <c r="C2245" s="9">
        <v>45839</v>
      </c>
      <c r="D2245">
        <v>17</v>
      </c>
      <c r="E2245" s="16" t="s">
        <v>104</v>
      </c>
      <c r="F2245" s="16" t="s">
        <v>105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60</v>
      </c>
      <c r="C2246" s="9">
        <v>45870</v>
      </c>
      <c r="D2246">
        <v>17</v>
      </c>
      <c r="E2246" s="16" t="s">
        <v>104</v>
      </c>
      <c r="F2246" s="16" t="s">
        <v>105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60</v>
      </c>
      <c r="C2247" s="9">
        <v>45901</v>
      </c>
      <c r="D2247">
        <v>17</v>
      </c>
      <c r="E2247" s="16" t="s">
        <v>104</v>
      </c>
      <c r="F2247" s="16" t="s">
        <v>105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60</v>
      </c>
      <c r="C2248" s="9">
        <v>45931</v>
      </c>
      <c r="D2248">
        <v>17</v>
      </c>
      <c r="E2248" s="16" t="s">
        <v>104</v>
      </c>
      <c r="F2248" s="16" t="s">
        <v>105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60</v>
      </c>
      <c r="C2249" s="9">
        <v>45962</v>
      </c>
      <c r="D2249">
        <v>17</v>
      </c>
      <c r="E2249" s="16" t="s">
        <v>104</v>
      </c>
      <c r="F2249" s="16" t="s">
        <v>105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60</v>
      </c>
      <c r="C2250" s="9">
        <v>45992</v>
      </c>
      <c r="D2250">
        <v>17</v>
      </c>
      <c r="E2250" s="16" t="s">
        <v>104</v>
      </c>
      <c r="F2250" s="16" t="s">
        <v>105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60</v>
      </c>
      <c r="C2251" s="9">
        <v>46023</v>
      </c>
      <c r="D2251">
        <v>17</v>
      </c>
      <c r="E2251" s="16" t="s">
        <v>104</v>
      </c>
      <c r="F2251" s="16" t="s">
        <v>105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60</v>
      </c>
      <c r="C2252" s="9">
        <v>46054</v>
      </c>
      <c r="D2252">
        <v>17</v>
      </c>
      <c r="E2252" s="16" t="s">
        <v>104</v>
      </c>
      <c r="F2252" s="16" t="s">
        <v>105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60</v>
      </c>
      <c r="C2253" s="9">
        <v>46082</v>
      </c>
      <c r="D2253">
        <v>17</v>
      </c>
      <c r="E2253" s="16" t="s">
        <v>104</v>
      </c>
      <c r="F2253" s="16" t="s">
        <v>105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60</v>
      </c>
      <c r="C2254" s="9">
        <v>46113</v>
      </c>
      <c r="D2254">
        <v>17</v>
      </c>
      <c r="E2254" s="16" t="s">
        <v>104</v>
      </c>
      <c r="F2254" s="16" t="s">
        <v>105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60</v>
      </c>
      <c r="C2255" s="9">
        <v>46143</v>
      </c>
      <c r="D2255">
        <v>17</v>
      </c>
      <c r="E2255" s="16" t="s">
        <v>104</v>
      </c>
      <c r="F2255" s="16" t="s">
        <v>105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60</v>
      </c>
      <c r="C2256" s="9">
        <v>46174</v>
      </c>
      <c r="D2256">
        <v>17</v>
      </c>
      <c r="E2256" s="16" t="s">
        <v>104</v>
      </c>
      <c r="F2256" s="16" t="s">
        <v>105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60</v>
      </c>
      <c r="C2257" s="9">
        <v>46204</v>
      </c>
      <c r="D2257">
        <v>17</v>
      </c>
      <c r="E2257" s="16" t="s">
        <v>104</v>
      </c>
      <c r="F2257" s="16" t="s">
        <v>105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60</v>
      </c>
      <c r="C2258" s="9">
        <v>46235</v>
      </c>
      <c r="D2258">
        <v>17</v>
      </c>
      <c r="E2258" s="16" t="s">
        <v>104</v>
      </c>
      <c r="F2258" s="16" t="s">
        <v>105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60</v>
      </c>
      <c r="C2259" s="9">
        <v>46266</v>
      </c>
      <c r="D2259">
        <v>17</v>
      </c>
      <c r="E2259" s="16" t="s">
        <v>104</v>
      </c>
      <c r="F2259" s="16" t="s">
        <v>105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60</v>
      </c>
      <c r="C2260" s="9">
        <v>45689</v>
      </c>
      <c r="D2260">
        <v>18</v>
      </c>
      <c r="E2260" s="16" t="s">
        <v>106</v>
      </c>
      <c r="F2260" s="16" t="s">
        <v>105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60</v>
      </c>
      <c r="C2261" s="9">
        <v>45717</v>
      </c>
      <c r="D2261">
        <v>18</v>
      </c>
      <c r="E2261" s="16" t="s">
        <v>106</v>
      </c>
      <c r="F2261" s="16" t="s">
        <v>105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60</v>
      </c>
      <c r="C2262" s="9">
        <v>45748</v>
      </c>
      <c r="D2262">
        <v>18</v>
      </c>
      <c r="E2262" s="16" t="s">
        <v>106</v>
      </c>
      <c r="F2262" s="16" t="s">
        <v>105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60</v>
      </c>
      <c r="C2263" s="9">
        <v>45778</v>
      </c>
      <c r="D2263">
        <v>18</v>
      </c>
      <c r="E2263" s="16" t="s">
        <v>106</v>
      </c>
      <c r="F2263" s="16" t="s">
        <v>105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60</v>
      </c>
      <c r="C2264" s="9">
        <v>45809</v>
      </c>
      <c r="D2264">
        <v>18</v>
      </c>
      <c r="E2264" s="16" t="s">
        <v>106</v>
      </c>
      <c r="F2264" s="16" t="s">
        <v>105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60</v>
      </c>
      <c r="C2265" s="9">
        <v>45839</v>
      </c>
      <c r="D2265">
        <v>18</v>
      </c>
      <c r="E2265" s="16" t="s">
        <v>106</v>
      </c>
      <c r="F2265" s="16" t="s">
        <v>105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60</v>
      </c>
      <c r="C2266" s="9">
        <v>45870</v>
      </c>
      <c r="D2266">
        <v>18</v>
      </c>
      <c r="E2266" s="16" t="s">
        <v>106</v>
      </c>
      <c r="F2266" s="16" t="s">
        <v>105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60</v>
      </c>
      <c r="C2267" s="9">
        <v>45901</v>
      </c>
      <c r="D2267">
        <v>18</v>
      </c>
      <c r="E2267" s="16" t="s">
        <v>106</v>
      </c>
      <c r="F2267" s="16" t="s">
        <v>105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60</v>
      </c>
      <c r="C2268" s="9">
        <v>45931</v>
      </c>
      <c r="D2268">
        <v>18</v>
      </c>
      <c r="E2268" s="16" t="s">
        <v>106</v>
      </c>
      <c r="F2268" s="16" t="s">
        <v>105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60</v>
      </c>
      <c r="C2269" s="9">
        <v>45962</v>
      </c>
      <c r="D2269">
        <v>18</v>
      </c>
      <c r="E2269" s="16" t="s">
        <v>106</v>
      </c>
      <c r="F2269" s="16" t="s">
        <v>105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60</v>
      </c>
      <c r="C2270" s="9">
        <v>45992</v>
      </c>
      <c r="D2270">
        <v>18</v>
      </c>
      <c r="E2270" s="16" t="s">
        <v>106</v>
      </c>
      <c r="F2270" s="16" t="s">
        <v>105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60</v>
      </c>
      <c r="C2271" s="9">
        <v>46023</v>
      </c>
      <c r="D2271">
        <v>18</v>
      </c>
      <c r="E2271" s="16" t="s">
        <v>106</v>
      </c>
      <c r="F2271" s="16" t="s">
        <v>105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60</v>
      </c>
      <c r="C2272" s="9">
        <v>46054</v>
      </c>
      <c r="D2272">
        <v>18</v>
      </c>
      <c r="E2272" s="16" t="s">
        <v>106</v>
      </c>
      <c r="F2272" s="16" t="s">
        <v>105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60</v>
      </c>
      <c r="C2273" s="9">
        <v>46082</v>
      </c>
      <c r="D2273">
        <v>18</v>
      </c>
      <c r="E2273" s="16" t="s">
        <v>106</v>
      </c>
      <c r="F2273" s="16" t="s">
        <v>105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60</v>
      </c>
      <c r="C2274" s="9">
        <v>46113</v>
      </c>
      <c r="D2274">
        <v>18</v>
      </c>
      <c r="E2274" s="16" t="s">
        <v>106</v>
      </c>
      <c r="F2274" s="16" t="s">
        <v>105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60</v>
      </c>
      <c r="C2275" s="9">
        <v>46143</v>
      </c>
      <c r="D2275">
        <v>18</v>
      </c>
      <c r="E2275" s="16" t="s">
        <v>106</v>
      </c>
      <c r="F2275" s="16" t="s">
        <v>105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60</v>
      </c>
      <c r="C2276" s="9">
        <v>46174</v>
      </c>
      <c r="D2276">
        <v>18</v>
      </c>
      <c r="E2276" s="16" t="s">
        <v>106</v>
      </c>
      <c r="F2276" s="16" t="s">
        <v>105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60</v>
      </c>
      <c r="C2277" s="9">
        <v>46204</v>
      </c>
      <c r="D2277">
        <v>18</v>
      </c>
      <c r="E2277" s="16" t="s">
        <v>106</v>
      </c>
      <c r="F2277" s="16" t="s">
        <v>105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60</v>
      </c>
      <c r="C2278" s="9">
        <v>46235</v>
      </c>
      <c r="D2278">
        <v>18</v>
      </c>
      <c r="E2278" s="16" t="s">
        <v>106</v>
      </c>
      <c r="F2278" s="16" t="s">
        <v>105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60</v>
      </c>
      <c r="C2279" s="9">
        <v>46266</v>
      </c>
      <c r="D2279">
        <v>18</v>
      </c>
      <c r="E2279" s="16" t="s">
        <v>106</v>
      </c>
      <c r="F2279" s="16" t="s">
        <v>105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60</v>
      </c>
      <c r="C2280" s="9">
        <v>45689</v>
      </c>
      <c r="D2280">
        <v>19</v>
      </c>
      <c r="E2280" s="16" t="s">
        <v>107</v>
      </c>
      <c r="F2280" s="16" t="s">
        <v>108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60</v>
      </c>
      <c r="C2281" s="9">
        <v>45717</v>
      </c>
      <c r="D2281">
        <v>19</v>
      </c>
      <c r="E2281" s="16" t="s">
        <v>107</v>
      </c>
      <c r="F2281" s="16" t="s">
        <v>108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60</v>
      </c>
      <c r="C2282" s="9">
        <v>45748</v>
      </c>
      <c r="D2282">
        <v>19</v>
      </c>
      <c r="E2282" s="16" t="s">
        <v>107</v>
      </c>
      <c r="F2282" s="16" t="s">
        <v>108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60</v>
      </c>
      <c r="C2283" s="9">
        <v>45778</v>
      </c>
      <c r="D2283">
        <v>19</v>
      </c>
      <c r="E2283" s="16" t="s">
        <v>107</v>
      </c>
      <c r="F2283" s="16" t="s">
        <v>108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60</v>
      </c>
      <c r="C2284" s="9">
        <v>45809</v>
      </c>
      <c r="D2284">
        <v>19</v>
      </c>
      <c r="E2284" s="16" t="s">
        <v>107</v>
      </c>
      <c r="F2284" s="16" t="s">
        <v>108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60</v>
      </c>
      <c r="C2285" s="9">
        <v>45839</v>
      </c>
      <c r="D2285">
        <v>19</v>
      </c>
      <c r="E2285" s="16" t="s">
        <v>107</v>
      </c>
      <c r="F2285" s="16" t="s">
        <v>108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60</v>
      </c>
      <c r="C2286" s="9">
        <v>45870</v>
      </c>
      <c r="D2286">
        <v>19</v>
      </c>
      <c r="E2286" s="16" t="s">
        <v>107</v>
      </c>
      <c r="F2286" s="16" t="s">
        <v>108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60</v>
      </c>
      <c r="C2287" s="9">
        <v>45901</v>
      </c>
      <c r="D2287">
        <v>19</v>
      </c>
      <c r="E2287" s="16" t="s">
        <v>107</v>
      </c>
      <c r="F2287" s="16" t="s">
        <v>108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60</v>
      </c>
      <c r="C2288" s="9">
        <v>45931</v>
      </c>
      <c r="D2288">
        <v>19</v>
      </c>
      <c r="E2288" s="16" t="s">
        <v>107</v>
      </c>
      <c r="F2288" s="16" t="s">
        <v>108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60</v>
      </c>
      <c r="C2289" s="9">
        <v>45962</v>
      </c>
      <c r="D2289">
        <v>19</v>
      </c>
      <c r="E2289" s="16" t="s">
        <v>107</v>
      </c>
      <c r="F2289" s="16" t="s">
        <v>108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60</v>
      </c>
      <c r="C2290" s="9">
        <v>45992</v>
      </c>
      <c r="D2290">
        <v>19</v>
      </c>
      <c r="E2290" s="16" t="s">
        <v>107</v>
      </c>
      <c r="F2290" s="16" t="s">
        <v>108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60</v>
      </c>
      <c r="C2291" s="9">
        <v>46023</v>
      </c>
      <c r="D2291">
        <v>19</v>
      </c>
      <c r="E2291" s="16" t="s">
        <v>107</v>
      </c>
      <c r="F2291" s="16" t="s">
        <v>108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60</v>
      </c>
      <c r="C2292" s="9">
        <v>46054</v>
      </c>
      <c r="D2292">
        <v>19</v>
      </c>
      <c r="E2292" s="16" t="s">
        <v>107</v>
      </c>
      <c r="F2292" s="16" t="s">
        <v>108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60</v>
      </c>
      <c r="C2293" s="9">
        <v>46082</v>
      </c>
      <c r="D2293">
        <v>19</v>
      </c>
      <c r="E2293" s="16" t="s">
        <v>107</v>
      </c>
      <c r="F2293" s="16" t="s">
        <v>108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60</v>
      </c>
      <c r="C2294" s="9">
        <v>46113</v>
      </c>
      <c r="D2294">
        <v>19</v>
      </c>
      <c r="E2294" s="16" t="s">
        <v>107</v>
      </c>
      <c r="F2294" s="16" t="s">
        <v>108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60</v>
      </c>
      <c r="C2295" s="9">
        <v>46143</v>
      </c>
      <c r="D2295">
        <v>19</v>
      </c>
      <c r="E2295" s="16" t="s">
        <v>107</v>
      </c>
      <c r="F2295" s="16" t="s">
        <v>108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60</v>
      </c>
      <c r="C2296" s="9">
        <v>46174</v>
      </c>
      <c r="D2296">
        <v>19</v>
      </c>
      <c r="E2296" s="16" t="s">
        <v>107</v>
      </c>
      <c r="F2296" s="16" t="s">
        <v>108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60</v>
      </c>
      <c r="C2297" s="9">
        <v>46204</v>
      </c>
      <c r="D2297">
        <v>19</v>
      </c>
      <c r="E2297" s="16" t="s">
        <v>107</v>
      </c>
      <c r="F2297" s="16" t="s">
        <v>108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60</v>
      </c>
      <c r="C2298" s="9">
        <v>46235</v>
      </c>
      <c r="D2298">
        <v>19</v>
      </c>
      <c r="E2298" s="16" t="s">
        <v>107</v>
      </c>
      <c r="F2298" s="16" t="s">
        <v>108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60</v>
      </c>
      <c r="C2299" s="9">
        <v>46266</v>
      </c>
      <c r="D2299">
        <v>19</v>
      </c>
      <c r="E2299" s="16" t="s">
        <v>107</v>
      </c>
      <c r="F2299" s="16" t="s">
        <v>108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60</v>
      </c>
      <c r="C2300" s="9">
        <v>45689</v>
      </c>
      <c r="D2300">
        <v>21</v>
      </c>
      <c r="E2300" s="16" t="s">
        <v>111</v>
      </c>
      <c r="F2300" s="16" t="s">
        <v>85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60</v>
      </c>
      <c r="C2301" s="9">
        <v>45748</v>
      </c>
      <c r="D2301">
        <v>21</v>
      </c>
      <c r="E2301" s="16" t="s">
        <v>111</v>
      </c>
      <c r="F2301" s="16" t="s">
        <v>85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60</v>
      </c>
      <c r="C2302" s="9">
        <v>45778</v>
      </c>
      <c r="D2302">
        <v>21</v>
      </c>
      <c r="E2302" s="16" t="s">
        <v>111</v>
      </c>
      <c r="F2302" s="16" t="s">
        <v>85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60</v>
      </c>
      <c r="C2303" s="9">
        <v>45809</v>
      </c>
      <c r="D2303">
        <v>21</v>
      </c>
      <c r="E2303" s="16" t="s">
        <v>111</v>
      </c>
      <c r="F2303" s="16" t="s">
        <v>85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60</v>
      </c>
      <c r="C2304" s="9">
        <v>45839</v>
      </c>
      <c r="D2304">
        <v>21</v>
      </c>
      <c r="E2304" s="16" t="s">
        <v>111</v>
      </c>
      <c r="F2304" s="16" t="s">
        <v>85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60</v>
      </c>
      <c r="C2305" s="9">
        <v>45870</v>
      </c>
      <c r="D2305">
        <v>21</v>
      </c>
      <c r="E2305" s="16" t="s">
        <v>111</v>
      </c>
      <c r="F2305" s="16" t="s">
        <v>85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60</v>
      </c>
      <c r="C2306" s="9">
        <v>45901</v>
      </c>
      <c r="D2306">
        <v>21</v>
      </c>
      <c r="E2306" s="16" t="s">
        <v>111</v>
      </c>
      <c r="F2306" s="16" t="s">
        <v>85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60</v>
      </c>
      <c r="C2307" s="9">
        <v>45931</v>
      </c>
      <c r="D2307">
        <v>21</v>
      </c>
      <c r="E2307" s="16" t="s">
        <v>111</v>
      </c>
      <c r="F2307" s="16" t="s">
        <v>85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60</v>
      </c>
      <c r="C2308" s="9">
        <v>45962</v>
      </c>
      <c r="D2308">
        <v>21</v>
      </c>
      <c r="E2308" s="16" t="s">
        <v>111</v>
      </c>
      <c r="F2308" s="16" t="s">
        <v>85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60</v>
      </c>
      <c r="C2309" s="9">
        <v>45992</v>
      </c>
      <c r="D2309">
        <v>21</v>
      </c>
      <c r="E2309" s="16" t="s">
        <v>111</v>
      </c>
      <c r="F2309" s="16" t="s">
        <v>85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60</v>
      </c>
      <c r="C2310" s="9">
        <v>46023</v>
      </c>
      <c r="D2310">
        <v>21</v>
      </c>
      <c r="E2310" s="16" t="s">
        <v>111</v>
      </c>
      <c r="F2310" s="16" t="s">
        <v>85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60</v>
      </c>
      <c r="C2311" s="9">
        <v>46054</v>
      </c>
      <c r="D2311">
        <v>21</v>
      </c>
      <c r="E2311" s="16" t="s">
        <v>111</v>
      </c>
      <c r="F2311" s="16" t="s">
        <v>85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60</v>
      </c>
      <c r="C2312" s="9">
        <v>46082</v>
      </c>
      <c r="D2312">
        <v>21</v>
      </c>
      <c r="E2312" s="16" t="s">
        <v>111</v>
      </c>
      <c r="F2312" s="16" t="s">
        <v>85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60</v>
      </c>
      <c r="C2313" s="9">
        <v>46113</v>
      </c>
      <c r="D2313">
        <v>21</v>
      </c>
      <c r="E2313" s="16" t="s">
        <v>111</v>
      </c>
      <c r="F2313" s="16" t="s">
        <v>85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60</v>
      </c>
      <c r="C2314" s="9">
        <v>46143</v>
      </c>
      <c r="D2314">
        <v>21</v>
      </c>
      <c r="E2314" s="16" t="s">
        <v>111</v>
      </c>
      <c r="F2314" s="16" t="s">
        <v>85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60</v>
      </c>
      <c r="C2315" s="9">
        <v>46174</v>
      </c>
      <c r="D2315">
        <v>21</v>
      </c>
      <c r="E2315" s="16" t="s">
        <v>111</v>
      </c>
      <c r="F2315" s="16" t="s">
        <v>85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60</v>
      </c>
      <c r="C2316" s="9">
        <v>46204</v>
      </c>
      <c r="D2316">
        <v>21</v>
      </c>
      <c r="E2316" s="16" t="s">
        <v>111</v>
      </c>
      <c r="F2316" s="16" t="s">
        <v>85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60</v>
      </c>
      <c r="C2317" s="9">
        <v>46235</v>
      </c>
      <c r="D2317">
        <v>21</v>
      </c>
      <c r="E2317" s="16" t="s">
        <v>111</v>
      </c>
      <c r="F2317" s="16" t="s">
        <v>85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60</v>
      </c>
      <c r="C2318" s="9">
        <v>46266</v>
      </c>
      <c r="D2318">
        <v>21</v>
      </c>
      <c r="E2318" s="16" t="s">
        <v>111</v>
      </c>
      <c r="F2318" s="16" t="s">
        <v>85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60</v>
      </c>
      <c r="C2319" s="9">
        <v>45689</v>
      </c>
      <c r="D2319">
        <v>22</v>
      </c>
      <c r="E2319" s="16" t="s">
        <v>112</v>
      </c>
      <c r="F2319" s="16" t="s">
        <v>92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60</v>
      </c>
      <c r="C2320" s="9">
        <v>45717</v>
      </c>
      <c r="D2320">
        <v>22</v>
      </c>
      <c r="E2320" s="16" t="s">
        <v>112</v>
      </c>
      <c r="F2320" s="16" t="s">
        <v>92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60</v>
      </c>
      <c r="C2321" s="9">
        <v>45748</v>
      </c>
      <c r="D2321">
        <v>22</v>
      </c>
      <c r="E2321" s="16" t="s">
        <v>112</v>
      </c>
      <c r="F2321" s="16" t="s">
        <v>92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60</v>
      </c>
      <c r="C2322" s="9">
        <v>45778</v>
      </c>
      <c r="D2322">
        <v>22</v>
      </c>
      <c r="E2322" s="16" t="s">
        <v>112</v>
      </c>
      <c r="F2322" s="16" t="s">
        <v>92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60</v>
      </c>
      <c r="C2323" s="9">
        <v>45809</v>
      </c>
      <c r="D2323">
        <v>22</v>
      </c>
      <c r="E2323" s="16" t="s">
        <v>112</v>
      </c>
      <c r="F2323" s="16" t="s">
        <v>92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60</v>
      </c>
      <c r="C2324" s="9">
        <v>45839</v>
      </c>
      <c r="D2324">
        <v>22</v>
      </c>
      <c r="E2324" s="16" t="s">
        <v>112</v>
      </c>
      <c r="F2324" s="16" t="s">
        <v>92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60</v>
      </c>
      <c r="C2325" s="9">
        <v>45870</v>
      </c>
      <c r="D2325">
        <v>22</v>
      </c>
      <c r="E2325" s="16" t="s">
        <v>112</v>
      </c>
      <c r="F2325" s="16" t="s">
        <v>92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60</v>
      </c>
      <c r="C2326" s="9">
        <v>45901</v>
      </c>
      <c r="D2326">
        <v>22</v>
      </c>
      <c r="E2326" s="16" t="s">
        <v>112</v>
      </c>
      <c r="F2326" s="16" t="s">
        <v>92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60</v>
      </c>
      <c r="C2327" s="9">
        <v>45931</v>
      </c>
      <c r="D2327">
        <v>22</v>
      </c>
      <c r="E2327" s="16" t="s">
        <v>112</v>
      </c>
      <c r="F2327" s="16" t="s">
        <v>92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60</v>
      </c>
      <c r="C2328" s="9">
        <v>45962</v>
      </c>
      <c r="D2328">
        <v>22</v>
      </c>
      <c r="E2328" s="16" t="s">
        <v>112</v>
      </c>
      <c r="F2328" s="16" t="s">
        <v>92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60</v>
      </c>
      <c r="C2329" s="9">
        <v>45992</v>
      </c>
      <c r="D2329">
        <v>22</v>
      </c>
      <c r="E2329" s="16" t="s">
        <v>112</v>
      </c>
      <c r="F2329" s="16" t="s">
        <v>92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60</v>
      </c>
      <c r="C2330" s="9">
        <v>46023</v>
      </c>
      <c r="D2330">
        <v>22</v>
      </c>
      <c r="E2330" s="16" t="s">
        <v>112</v>
      </c>
      <c r="F2330" s="16" t="s">
        <v>92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60</v>
      </c>
      <c r="C2331" s="9">
        <v>46054</v>
      </c>
      <c r="D2331">
        <v>22</v>
      </c>
      <c r="E2331" s="16" t="s">
        <v>112</v>
      </c>
      <c r="F2331" s="16" t="s">
        <v>92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60</v>
      </c>
      <c r="C2332" s="9">
        <v>46082</v>
      </c>
      <c r="D2332">
        <v>22</v>
      </c>
      <c r="E2332" s="16" t="s">
        <v>112</v>
      </c>
      <c r="F2332" s="16" t="s">
        <v>92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60</v>
      </c>
      <c r="C2333" s="9">
        <v>46113</v>
      </c>
      <c r="D2333">
        <v>22</v>
      </c>
      <c r="E2333" s="16" t="s">
        <v>112</v>
      </c>
      <c r="F2333" s="16" t="s">
        <v>92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60</v>
      </c>
      <c r="C2334" s="9">
        <v>46143</v>
      </c>
      <c r="D2334">
        <v>22</v>
      </c>
      <c r="E2334" s="16" t="s">
        <v>112</v>
      </c>
      <c r="F2334" s="16" t="s">
        <v>92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60</v>
      </c>
      <c r="C2335" s="9">
        <v>46174</v>
      </c>
      <c r="D2335">
        <v>22</v>
      </c>
      <c r="E2335" s="16" t="s">
        <v>112</v>
      </c>
      <c r="F2335" s="16" t="s">
        <v>92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60</v>
      </c>
      <c r="C2336" s="9">
        <v>46204</v>
      </c>
      <c r="D2336">
        <v>22</v>
      </c>
      <c r="E2336" s="16" t="s">
        <v>112</v>
      </c>
      <c r="F2336" s="16" t="s">
        <v>92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60</v>
      </c>
      <c r="C2337" s="9">
        <v>46235</v>
      </c>
      <c r="D2337">
        <v>22</v>
      </c>
      <c r="E2337" s="16" t="s">
        <v>112</v>
      </c>
      <c r="F2337" s="16" t="s">
        <v>92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60</v>
      </c>
      <c r="C2338" s="9">
        <v>46266</v>
      </c>
      <c r="D2338">
        <v>22</v>
      </c>
      <c r="E2338" s="16" t="s">
        <v>112</v>
      </c>
      <c r="F2338" s="16" t="s">
        <v>92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60</v>
      </c>
      <c r="C2339" s="9">
        <v>45689</v>
      </c>
      <c r="D2339">
        <v>24</v>
      </c>
      <c r="E2339" s="16" t="s">
        <v>114</v>
      </c>
      <c r="F2339" s="16" t="s">
        <v>85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60</v>
      </c>
      <c r="C2340" s="9">
        <v>45717</v>
      </c>
      <c r="D2340">
        <v>24</v>
      </c>
      <c r="E2340" s="16" t="s">
        <v>114</v>
      </c>
      <c r="F2340" s="16" t="s">
        <v>85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60</v>
      </c>
      <c r="C2341" s="9">
        <v>45748</v>
      </c>
      <c r="D2341">
        <v>24</v>
      </c>
      <c r="E2341" s="16" t="s">
        <v>114</v>
      </c>
      <c r="F2341" s="16" t="s">
        <v>85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60</v>
      </c>
      <c r="C2342" s="9">
        <v>45778</v>
      </c>
      <c r="D2342">
        <v>24</v>
      </c>
      <c r="E2342" s="16" t="s">
        <v>114</v>
      </c>
      <c r="F2342" s="16" t="s">
        <v>85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60</v>
      </c>
      <c r="C2343" s="9">
        <v>45809</v>
      </c>
      <c r="D2343">
        <v>24</v>
      </c>
      <c r="E2343" s="16" t="s">
        <v>114</v>
      </c>
      <c r="F2343" s="16" t="s">
        <v>85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60</v>
      </c>
      <c r="C2344" s="9">
        <v>45839</v>
      </c>
      <c r="D2344">
        <v>24</v>
      </c>
      <c r="E2344" s="16" t="s">
        <v>114</v>
      </c>
      <c r="F2344" s="16" t="s">
        <v>85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60</v>
      </c>
      <c r="C2345" s="9">
        <v>45870</v>
      </c>
      <c r="D2345">
        <v>24</v>
      </c>
      <c r="E2345" s="16" t="s">
        <v>114</v>
      </c>
      <c r="F2345" s="16" t="s">
        <v>85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60</v>
      </c>
      <c r="C2346" s="9">
        <v>45901</v>
      </c>
      <c r="D2346">
        <v>24</v>
      </c>
      <c r="E2346" s="16" t="s">
        <v>114</v>
      </c>
      <c r="F2346" s="16" t="s">
        <v>85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60</v>
      </c>
      <c r="C2347" s="9">
        <v>45931</v>
      </c>
      <c r="D2347">
        <v>24</v>
      </c>
      <c r="E2347" s="16" t="s">
        <v>114</v>
      </c>
      <c r="F2347" s="16" t="s">
        <v>85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60</v>
      </c>
      <c r="C2348" s="9">
        <v>45962</v>
      </c>
      <c r="D2348">
        <v>24</v>
      </c>
      <c r="E2348" s="16" t="s">
        <v>114</v>
      </c>
      <c r="F2348" s="16" t="s">
        <v>85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60</v>
      </c>
      <c r="C2349" s="9">
        <v>45992</v>
      </c>
      <c r="D2349">
        <v>24</v>
      </c>
      <c r="E2349" s="16" t="s">
        <v>114</v>
      </c>
      <c r="F2349" s="16" t="s">
        <v>85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60</v>
      </c>
      <c r="C2350" s="9">
        <v>46023</v>
      </c>
      <c r="D2350">
        <v>24</v>
      </c>
      <c r="E2350" s="16" t="s">
        <v>114</v>
      </c>
      <c r="F2350" s="16" t="s">
        <v>85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60</v>
      </c>
      <c r="C2351" s="9">
        <v>46054</v>
      </c>
      <c r="D2351">
        <v>24</v>
      </c>
      <c r="E2351" s="16" t="s">
        <v>114</v>
      </c>
      <c r="F2351" s="16" t="s">
        <v>85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60</v>
      </c>
      <c r="C2352" s="9">
        <v>46082</v>
      </c>
      <c r="D2352">
        <v>24</v>
      </c>
      <c r="E2352" s="16" t="s">
        <v>114</v>
      </c>
      <c r="F2352" s="16" t="s">
        <v>85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60</v>
      </c>
      <c r="C2353" s="9">
        <v>46113</v>
      </c>
      <c r="D2353">
        <v>24</v>
      </c>
      <c r="E2353" s="16" t="s">
        <v>114</v>
      </c>
      <c r="F2353" s="16" t="s">
        <v>85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60</v>
      </c>
      <c r="C2354" s="9">
        <v>46143</v>
      </c>
      <c r="D2354">
        <v>24</v>
      </c>
      <c r="E2354" s="16" t="s">
        <v>114</v>
      </c>
      <c r="F2354" s="16" t="s">
        <v>85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60</v>
      </c>
      <c r="C2355" s="9">
        <v>46174</v>
      </c>
      <c r="D2355">
        <v>24</v>
      </c>
      <c r="E2355" s="16" t="s">
        <v>114</v>
      </c>
      <c r="F2355" s="16" t="s">
        <v>85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60</v>
      </c>
      <c r="C2356" s="9">
        <v>46204</v>
      </c>
      <c r="D2356">
        <v>24</v>
      </c>
      <c r="E2356" s="16" t="s">
        <v>114</v>
      </c>
      <c r="F2356" s="16" t="s">
        <v>85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60</v>
      </c>
      <c r="C2357" s="9">
        <v>46235</v>
      </c>
      <c r="D2357">
        <v>24</v>
      </c>
      <c r="E2357" s="16" t="s">
        <v>114</v>
      </c>
      <c r="F2357" s="16" t="s">
        <v>85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60</v>
      </c>
      <c r="C2358" s="9">
        <v>46266</v>
      </c>
      <c r="D2358">
        <v>24</v>
      </c>
      <c r="E2358" s="16" t="s">
        <v>114</v>
      </c>
      <c r="F2358" s="16" t="s">
        <v>85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60</v>
      </c>
      <c r="C2359" s="9">
        <v>45689</v>
      </c>
      <c r="D2359">
        <v>25</v>
      </c>
      <c r="E2359" s="16" t="s">
        <v>115</v>
      </c>
      <c r="F2359" s="16" t="s">
        <v>116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60</v>
      </c>
      <c r="C2360" s="9">
        <v>45717</v>
      </c>
      <c r="D2360">
        <v>25</v>
      </c>
      <c r="E2360" s="16" t="s">
        <v>115</v>
      </c>
      <c r="F2360" s="16" t="s">
        <v>116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60</v>
      </c>
      <c r="C2361" s="9">
        <v>45748</v>
      </c>
      <c r="D2361">
        <v>25</v>
      </c>
      <c r="E2361" s="16" t="s">
        <v>115</v>
      </c>
      <c r="F2361" s="16" t="s">
        <v>116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60</v>
      </c>
      <c r="C2362" s="9">
        <v>45778</v>
      </c>
      <c r="D2362">
        <v>25</v>
      </c>
      <c r="E2362" s="16" t="s">
        <v>115</v>
      </c>
      <c r="F2362" s="16" t="s">
        <v>116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60</v>
      </c>
      <c r="C2363" s="9">
        <v>45809</v>
      </c>
      <c r="D2363">
        <v>25</v>
      </c>
      <c r="E2363" s="16" t="s">
        <v>115</v>
      </c>
      <c r="F2363" s="16" t="s">
        <v>116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60</v>
      </c>
      <c r="C2364" s="9">
        <v>45839</v>
      </c>
      <c r="D2364">
        <v>25</v>
      </c>
      <c r="E2364" s="16" t="s">
        <v>115</v>
      </c>
      <c r="F2364" s="16" t="s">
        <v>116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60</v>
      </c>
      <c r="C2365" s="9">
        <v>45870</v>
      </c>
      <c r="D2365">
        <v>25</v>
      </c>
      <c r="E2365" s="16" t="s">
        <v>115</v>
      </c>
      <c r="F2365" s="16" t="s">
        <v>116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60</v>
      </c>
      <c r="C2366" s="9">
        <v>45901</v>
      </c>
      <c r="D2366">
        <v>25</v>
      </c>
      <c r="E2366" s="16" t="s">
        <v>115</v>
      </c>
      <c r="F2366" s="16" t="s">
        <v>116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60</v>
      </c>
      <c r="C2367" s="9">
        <v>45931</v>
      </c>
      <c r="D2367">
        <v>25</v>
      </c>
      <c r="E2367" s="16" t="s">
        <v>115</v>
      </c>
      <c r="F2367" s="16" t="s">
        <v>116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60</v>
      </c>
      <c r="C2368" s="9">
        <v>45962</v>
      </c>
      <c r="D2368">
        <v>25</v>
      </c>
      <c r="E2368" s="16" t="s">
        <v>115</v>
      </c>
      <c r="F2368" s="16" t="s">
        <v>116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60</v>
      </c>
      <c r="C2369" s="9">
        <v>45992</v>
      </c>
      <c r="D2369">
        <v>25</v>
      </c>
      <c r="E2369" s="16" t="s">
        <v>115</v>
      </c>
      <c r="F2369" s="16" t="s">
        <v>116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60</v>
      </c>
      <c r="C2370" s="9">
        <v>46023</v>
      </c>
      <c r="D2370">
        <v>25</v>
      </c>
      <c r="E2370" s="16" t="s">
        <v>115</v>
      </c>
      <c r="F2370" s="16" t="s">
        <v>116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60</v>
      </c>
      <c r="C2371" s="9">
        <v>46054</v>
      </c>
      <c r="D2371">
        <v>25</v>
      </c>
      <c r="E2371" s="16" t="s">
        <v>115</v>
      </c>
      <c r="F2371" s="16" t="s">
        <v>116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60</v>
      </c>
      <c r="C2372" s="9">
        <v>46082</v>
      </c>
      <c r="D2372">
        <v>25</v>
      </c>
      <c r="E2372" s="16" t="s">
        <v>115</v>
      </c>
      <c r="F2372" s="16" t="s">
        <v>116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60</v>
      </c>
      <c r="C2373" s="9">
        <v>46113</v>
      </c>
      <c r="D2373">
        <v>25</v>
      </c>
      <c r="E2373" s="16" t="s">
        <v>115</v>
      </c>
      <c r="F2373" s="16" t="s">
        <v>116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60</v>
      </c>
      <c r="C2374" s="9">
        <v>46143</v>
      </c>
      <c r="D2374">
        <v>25</v>
      </c>
      <c r="E2374" s="16" t="s">
        <v>115</v>
      </c>
      <c r="F2374" s="16" t="s">
        <v>116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60</v>
      </c>
      <c r="C2375" s="9">
        <v>46174</v>
      </c>
      <c r="D2375">
        <v>25</v>
      </c>
      <c r="E2375" s="16" t="s">
        <v>115</v>
      </c>
      <c r="F2375" s="16" t="s">
        <v>116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60</v>
      </c>
      <c r="C2376" s="9">
        <v>46204</v>
      </c>
      <c r="D2376">
        <v>25</v>
      </c>
      <c r="E2376" s="16" t="s">
        <v>115</v>
      </c>
      <c r="F2376" s="16" t="s">
        <v>116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60</v>
      </c>
      <c r="C2377" s="9">
        <v>46235</v>
      </c>
      <c r="D2377">
        <v>25</v>
      </c>
      <c r="E2377" s="16" t="s">
        <v>115</v>
      </c>
      <c r="F2377" s="16" t="s">
        <v>116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60</v>
      </c>
      <c r="C2378" s="9">
        <v>46266</v>
      </c>
      <c r="D2378">
        <v>25</v>
      </c>
      <c r="E2378" s="16" t="s">
        <v>115</v>
      </c>
      <c r="F2378" s="16" t="s">
        <v>116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60</v>
      </c>
      <c r="C2379" s="9">
        <v>45689</v>
      </c>
      <c r="D2379">
        <v>26</v>
      </c>
      <c r="E2379" s="16" t="s">
        <v>117</v>
      </c>
      <c r="F2379" s="16" t="s">
        <v>92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60</v>
      </c>
      <c r="C2380" s="9">
        <v>45717</v>
      </c>
      <c r="D2380">
        <v>26</v>
      </c>
      <c r="E2380" s="16" t="s">
        <v>117</v>
      </c>
      <c r="F2380" s="16" t="s">
        <v>92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60</v>
      </c>
      <c r="C2381" s="9">
        <v>45748</v>
      </c>
      <c r="D2381">
        <v>26</v>
      </c>
      <c r="E2381" s="16" t="s">
        <v>117</v>
      </c>
      <c r="F2381" s="16" t="s">
        <v>92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60</v>
      </c>
      <c r="C2382" s="9">
        <v>45778</v>
      </c>
      <c r="D2382">
        <v>26</v>
      </c>
      <c r="E2382" s="16" t="s">
        <v>117</v>
      </c>
      <c r="F2382" s="16" t="s">
        <v>92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60</v>
      </c>
      <c r="C2383" s="9">
        <v>45809</v>
      </c>
      <c r="D2383">
        <v>26</v>
      </c>
      <c r="E2383" s="16" t="s">
        <v>117</v>
      </c>
      <c r="F2383" s="16" t="s">
        <v>92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60</v>
      </c>
      <c r="C2384" s="9">
        <v>45839</v>
      </c>
      <c r="D2384">
        <v>26</v>
      </c>
      <c r="E2384" s="16" t="s">
        <v>117</v>
      </c>
      <c r="F2384" s="16" t="s">
        <v>92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60</v>
      </c>
      <c r="C2385" s="9">
        <v>45870</v>
      </c>
      <c r="D2385">
        <v>26</v>
      </c>
      <c r="E2385" s="16" t="s">
        <v>117</v>
      </c>
      <c r="F2385" s="16" t="s">
        <v>92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60</v>
      </c>
      <c r="C2386" s="9">
        <v>45901</v>
      </c>
      <c r="D2386">
        <v>26</v>
      </c>
      <c r="E2386" s="16" t="s">
        <v>117</v>
      </c>
      <c r="F2386" s="16" t="s">
        <v>92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60</v>
      </c>
      <c r="C2387" s="9">
        <v>45931</v>
      </c>
      <c r="D2387">
        <v>26</v>
      </c>
      <c r="E2387" s="16" t="s">
        <v>117</v>
      </c>
      <c r="F2387" s="16" t="s">
        <v>92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60</v>
      </c>
      <c r="C2388" s="9">
        <v>45962</v>
      </c>
      <c r="D2388">
        <v>26</v>
      </c>
      <c r="E2388" s="16" t="s">
        <v>117</v>
      </c>
      <c r="F2388" s="16" t="s">
        <v>92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60</v>
      </c>
      <c r="C2389" s="9">
        <v>45992</v>
      </c>
      <c r="D2389">
        <v>26</v>
      </c>
      <c r="E2389" s="16" t="s">
        <v>117</v>
      </c>
      <c r="F2389" s="16" t="s">
        <v>92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60</v>
      </c>
      <c r="C2390" s="9">
        <v>46023</v>
      </c>
      <c r="D2390">
        <v>26</v>
      </c>
      <c r="E2390" s="16" t="s">
        <v>117</v>
      </c>
      <c r="F2390" s="16" t="s">
        <v>92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60</v>
      </c>
      <c r="C2391" s="9">
        <v>46054</v>
      </c>
      <c r="D2391">
        <v>26</v>
      </c>
      <c r="E2391" s="16" t="s">
        <v>117</v>
      </c>
      <c r="F2391" s="16" t="s">
        <v>92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60</v>
      </c>
      <c r="C2392" s="9">
        <v>46082</v>
      </c>
      <c r="D2392">
        <v>26</v>
      </c>
      <c r="E2392" s="16" t="s">
        <v>117</v>
      </c>
      <c r="F2392" s="16" t="s">
        <v>92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60</v>
      </c>
      <c r="C2393" s="9">
        <v>46113</v>
      </c>
      <c r="D2393">
        <v>26</v>
      </c>
      <c r="E2393" s="16" t="s">
        <v>117</v>
      </c>
      <c r="F2393" s="16" t="s">
        <v>92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60</v>
      </c>
      <c r="C2394" s="9">
        <v>46143</v>
      </c>
      <c r="D2394">
        <v>26</v>
      </c>
      <c r="E2394" s="16" t="s">
        <v>117</v>
      </c>
      <c r="F2394" s="16" t="s">
        <v>92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60</v>
      </c>
      <c r="C2395" s="9">
        <v>46174</v>
      </c>
      <c r="D2395">
        <v>26</v>
      </c>
      <c r="E2395" s="16" t="s">
        <v>117</v>
      </c>
      <c r="F2395" s="16" t="s">
        <v>92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60</v>
      </c>
      <c r="C2396" s="9">
        <v>46204</v>
      </c>
      <c r="D2396">
        <v>26</v>
      </c>
      <c r="E2396" s="16" t="s">
        <v>117</v>
      </c>
      <c r="F2396" s="16" t="s">
        <v>92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60</v>
      </c>
      <c r="C2397" s="9">
        <v>46235</v>
      </c>
      <c r="D2397">
        <v>26</v>
      </c>
      <c r="E2397" s="16" t="s">
        <v>117</v>
      </c>
      <c r="F2397" s="16" t="s">
        <v>92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60</v>
      </c>
      <c r="C2398" s="9">
        <v>46266</v>
      </c>
      <c r="D2398">
        <v>26</v>
      </c>
      <c r="E2398" s="16" t="s">
        <v>117</v>
      </c>
      <c r="F2398" s="16" t="s">
        <v>92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60</v>
      </c>
      <c r="C2399" s="9">
        <v>45689</v>
      </c>
      <c r="D2399">
        <v>27</v>
      </c>
      <c r="E2399" s="16" t="s">
        <v>118</v>
      </c>
      <c r="F2399" s="16" t="s">
        <v>92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60</v>
      </c>
      <c r="C2400" s="9">
        <v>45717</v>
      </c>
      <c r="D2400">
        <v>27</v>
      </c>
      <c r="E2400" s="16" t="s">
        <v>118</v>
      </c>
      <c r="F2400" s="16" t="s">
        <v>92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60</v>
      </c>
      <c r="C2401" s="9">
        <v>45748</v>
      </c>
      <c r="D2401">
        <v>27</v>
      </c>
      <c r="E2401" s="16" t="s">
        <v>118</v>
      </c>
      <c r="F2401" s="16" t="s">
        <v>92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60</v>
      </c>
      <c r="C2402" s="9">
        <v>45778</v>
      </c>
      <c r="D2402">
        <v>27</v>
      </c>
      <c r="E2402" s="16" t="s">
        <v>118</v>
      </c>
      <c r="F2402" s="16" t="s">
        <v>92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60</v>
      </c>
      <c r="C2403" s="9">
        <v>45809</v>
      </c>
      <c r="D2403">
        <v>27</v>
      </c>
      <c r="E2403" s="16" t="s">
        <v>118</v>
      </c>
      <c r="F2403" s="16" t="s">
        <v>92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60</v>
      </c>
      <c r="C2404" s="9">
        <v>45839</v>
      </c>
      <c r="D2404">
        <v>27</v>
      </c>
      <c r="E2404" s="16" t="s">
        <v>118</v>
      </c>
      <c r="F2404" s="16" t="s">
        <v>92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60</v>
      </c>
      <c r="C2405" s="9">
        <v>45870</v>
      </c>
      <c r="D2405">
        <v>27</v>
      </c>
      <c r="E2405" s="16" t="s">
        <v>118</v>
      </c>
      <c r="F2405" s="16" t="s">
        <v>92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60</v>
      </c>
      <c r="C2406" s="9">
        <v>45901</v>
      </c>
      <c r="D2406">
        <v>27</v>
      </c>
      <c r="E2406" s="16" t="s">
        <v>118</v>
      </c>
      <c r="F2406" s="16" t="s">
        <v>92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60</v>
      </c>
      <c r="C2407" s="9">
        <v>45931</v>
      </c>
      <c r="D2407">
        <v>27</v>
      </c>
      <c r="E2407" s="16" t="s">
        <v>118</v>
      </c>
      <c r="F2407" s="16" t="s">
        <v>92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60</v>
      </c>
      <c r="C2408" s="9">
        <v>45962</v>
      </c>
      <c r="D2408">
        <v>27</v>
      </c>
      <c r="E2408" s="16" t="s">
        <v>118</v>
      </c>
      <c r="F2408" s="16" t="s">
        <v>92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60</v>
      </c>
      <c r="C2409" s="9">
        <v>45992</v>
      </c>
      <c r="D2409">
        <v>27</v>
      </c>
      <c r="E2409" s="16" t="s">
        <v>118</v>
      </c>
      <c r="F2409" s="16" t="s">
        <v>92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60</v>
      </c>
      <c r="C2410" s="9">
        <v>46023</v>
      </c>
      <c r="D2410">
        <v>27</v>
      </c>
      <c r="E2410" s="16" t="s">
        <v>118</v>
      </c>
      <c r="F2410" s="16" t="s">
        <v>92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60</v>
      </c>
      <c r="C2411" s="9">
        <v>46054</v>
      </c>
      <c r="D2411">
        <v>27</v>
      </c>
      <c r="E2411" s="16" t="s">
        <v>118</v>
      </c>
      <c r="F2411" s="16" t="s">
        <v>92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60</v>
      </c>
      <c r="C2412" s="9">
        <v>46082</v>
      </c>
      <c r="D2412">
        <v>27</v>
      </c>
      <c r="E2412" s="16" t="s">
        <v>118</v>
      </c>
      <c r="F2412" s="16" t="s">
        <v>92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60</v>
      </c>
      <c r="C2413" s="9">
        <v>46113</v>
      </c>
      <c r="D2413">
        <v>27</v>
      </c>
      <c r="E2413" s="16" t="s">
        <v>118</v>
      </c>
      <c r="F2413" s="16" t="s">
        <v>92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60</v>
      </c>
      <c r="C2414" s="9">
        <v>46143</v>
      </c>
      <c r="D2414">
        <v>27</v>
      </c>
      <c r="E2414" s="16" t="s">
        <v>118</v>
      </c>
      <c r="F2414" s="16" t="s">
        <v>92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60</v>
      </c>
      <c r="C2415" s="9">
        <v>46174</v>
      </c>
      <c r="D2415">
        <v>27</v>
      </c>
      <c r="E2415" s="16" t="s">
        <v>118</v>
      </c>
      <c r="F2415" s="16" t="s">
        <v>92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60</v>
      </c>
      <c r="C2416" s="9">
        <v>46204</v>
      </c>
      <c r="D2416">
        <v>27</v>
      </c>
      <c r="E2416" s="16" t="s">
        <v>118</v>
      </c>
      <c r="F2416" s="16" t="s">
        <v>92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60</v>
      </c>
      <c r="C2417" s="9">
        <v>46235</v>
      </c>
      <c r="D2417">
        <v>27</v>
      </c>
      <c r="E2417" s="16" t="s">
        <v>118</v>
      </c>
      <c r="F2417" s="16" t="s">
        <v>92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60</v>
      </c>
      <c r="C2418" s="9">
        <v>46266</v>
      </c>
      <c r="D2418">
        <v>27</v>
      </c>
      <c r="E2418" s="16" t="s">
        <v>118</v>
      </c>
      <c r="F2418" s="16" t="s">
        <v>92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60</v>
      </c>
      <c r="C2419" s="9">
        <v>45689</v>
      </c>
      <c r="D2419">
        <v>28</v>
      </c>
      <c r="E2419" s="16" t="s">
        <v>119</v>
      </c>
      <c r="F2419" s="16" t="s">
        <v>94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60</v>
      </c>
      <c r="C2420" s="9">
        <v>45717</v>
      </c>
      <c r="D2420">
        <v>28</v>
      </c>
      <c r="E2420" s="16" t="s">
        <v>119</v>
      </c>
      <c r="F2420" s="16" t="s">
        <v>94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60</v>
      </c>
      <c r="C2421" s="9">
        <v>45748</v>
      </c>
      <c r="D2421">
        <v>28</v>
      </c>
      <c r="E2421" s="16" t="s">
        <v>119</v>
      </c>
      <c r="F2421" s="16" t="s">
        <v>94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60</v>
      </c>
      <c r="C2422" s="9">
        <v>45778</v>
      </c>
      <c r="D2422">
        <v>28</v>
      </c>
      <c r="E2422" s="16" t="s">
        <v>119</v>
      </c>
      <c r="F2422" s="16" t="s">
        <v>94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60</v>
      </c>
      <c r="C2423" s="9">
        <v>45809</v>
      </c>
      <c r="D2423">
        <v>28</v>
      </c>
      <c r="E2423" s="16" t="s">
        <v>119</v>
      </c>
      <c r="F2423" s="16" t="s">
        <v>94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60</v>
      </c>
      <c r="C2424" s="9">
        <v>45839</v>
      </c>
      <c r="D2424">
        <v>28</v>
      </c>
      <c r="E2424" s="16" t="s">
        <v>119</v>
      </c>
      <c r="F2424" s="16" t="s">
        <v>94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60</v>
      </c>
      <c r="C2425" s="9">
        <v>45870</v>
      </c>
      <c r="D2425">
        <v>28</v>
      </c>
      <c r="E2425" s="16" t="s">
        <v>119</v>
      </c>
      <c r="F2425" s="16" t="s">
        <v>94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60</v>
      </c>
      <c r="C2426" s="9">
        <v>45901</v>
      </c>
      <c r="D2426">
        <v>28</v>
      </c>
      <c r="E2426" s="16" t="s">
        <v>119</v>
      </c>
      <c r="F2426" s="16" t="s">
        <v>94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60</v>
      </c>
      <c r="C2427" s="9">
        <v>45931</v>
      </c>
      <c r="D2427">
        <v>28</v>
      </c>
      <c r="E2427" s="16" t="s">
        <v>119</v>
      </c>
      <c r="F2427" s="16" t="s">
        <v>94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60</v>
      </c>
      <c r="C2428" s="9">
        <v>45962</v>
      </c>
      <c r="D2428">
        <v>28</v>
      </c>
      <c r="E2428" s="16" t="s">
        <v>119</v>
      </c>
      <c r="F2428" s="16" t="s">
        <v>94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60</v>
      </c>
      <c r="C2429" s="9">
        <v>45992</v>
      </c>
      <c r="D2429">
        <v>28</v>
      </c>
      <c r="E2429" s="16" t="s">
        <v>119</v>
      </c>
      <c r="F2429" s="16" t="s">
        <v>94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60</v>
      </c>
      <c r="C2430" s="9">
        <v>46023</v>
      </c>
      <c r="D2430">
        <v>28</v>
      </c>
      <c r="E2430" s="16" t="s">
        <v>119</v>
      </c>
      <c r="F2430" s="16" t="s">
        <v>94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60</v>
      </c>
      <c r="C2431" s="9">
        <v>46054</v>
      </c>
      <c r="D2431">
        <v>28</v>
      </c>
      <c r="E2431" s="16" t="s">
        <v>119</v>
      </c>
      <c r="F2431" s="16" t="s">
        <v>94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60</v>
      </c>
      <c r="C2432" s="9">
        <v>46082</v>
      </c>
      <c r="D2432">
        <v>28</v>
      </c>
      <c r="E2432" s="16" t="s">
        <v>119</v>
      </c>
      <c r="F2432" s="16" t="s">
        <v>94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60</v>
      </c>
      <c r="C2433" s="9">
        <v>46113</v>
      </c>
      <c r="D2433">
        <v>28</v>
      </c>
      <c r="E2433" s="16" t="s">
        <v>119</v>
      </c>
      <c r="F2433" s="16" t="s">
        <v>94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60</v>
      </c>
      <c r="C2434" s="9">
        <v>46143</v>
      </c>
      <c r="D2434">
        <v>28</v>
      </c>
      <c r="E2434" s="16" t="s">
        <v>119</v>
      </c>
      <c r="F2434" s="16" t="s">
        <v>94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60</v>
      </c>
      <c r="C2435" s="9">
        <v>46174</v>
      </c>
      <c r="D2435">
        <v>28</v>
      </c>
      <c r="E2435" s="16" t="s">
        <v>119</v>
      </c>
      <c r="F2435" s="16" t="s">
        <v>94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60</v>
      </c>
      <c r="C2436" s="9">
        <v>46204</v>
      </c>
      <c r="D2436">
        <v>28</v>
      </c>
      <c r="E2436" s="16" t="s">
        <v>119</v>
      </c>
      <c r="F2436" s="16" t="s">
        <v>94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60</v>
      </c>
      <c r="C2437" s="9">
        <v>46235</v>
      </c>
      <c r="D2437">
        <v>28</v>
      </c>
      <c r="E2437" s="16" t="s">
        <v>119</v>
      </c>
      <c r="F2437" s="16" t="s">
        <v>94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60</v>
      </c>
      <c r="C2438" s="9">
        <v>46266</v>
      </c>
      <c r="D2438">
        <v>28</v>
      </c>
      <c r="E2438" s="16" t="s">
        <v>119</v>
      </c>
      <c r="F2438" s="16" t="s">
        <v>94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60</v>
      </c>
      <c r="C2439" s="9">
        <v>45689</v>
      </c>
      <c r="D2439">
        <v>29</v>
      </c>
      <c r="E2439" s="16" t="s">
        <v>120</v>
      </c>
      <c r="F2439" s="16" t="s">
        <v>89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60</v>
      </c>
      <c r="C2440" s="9">
        <v>45717</v>
      </c>
      <c r="D2440">
        <v>29</v>
      </c>
      <c r="E2440" s="16" t="s">
        <v>120</v>
      </c>
      <c r="F2440" s="16" t="s">
        <v>89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60</v>
      </c>
      <c r="C2441" s="9">
        <v>45748</v>
      </c>
      <c r="D2441">
        <v>29</v>
      </c>
      <c r="E2441" s="16" t="s">
        <v>120</v>
      </c>
      <c r="F2441" s="16" t="s">
        <v>89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60</v>
      </c>
      <c r="C2442" s="9">
        <v>45778</v>
      </c>
      <c r="D2442">
        <v>29</v>
      </c>
      <c r="E2442" s="16" t="s">
        <v>120</v>
      </c>
      <c r="F2442" s="16" t="s">
        <v>89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60</v>
      </c>
      <c r="C2443" s="9">
        <v>45809</v>
      </c>
      <c r="D2443">
        <v>29</v>
      </c>
      <c r="E2443" s="16" t="s">
        <v>120</v>
      </c>
      <c r="F2443" s="16" t="s">
        <v>89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60</v>
      </c>
      <c r="C2444" s="9">
        <v>45839</v>
      </c>
      <c r="D2444">
        <v>29</v>
      </c>
      <c r="E2444" s="16" t="s">
        <v>120</v>
      </c>
      <c r="F2444" s="16" t="s">
        <v>89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60</v>
      </c>
      <c r="C2445" s="9">
        <v>45870</v>
      </c>
      <c r="D2445">
        <v>29</v>
      </c>
      <c r="E2445" s="16" t="s">
        <v>120</v>
      </c>
      <c r="F2445" s="16" t="s">
        <v>89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60</v>
      </c>
      <c r="C2446" s="9">
        <v>45901</v>
      </c>
      <c r="D2446">
        <v>29</v>
      </c>
      <c r="E2446" s="16" t="s">
        <v>120</v>
      </c>
      <c r="F2446" s="16" t="s">
        <v>89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60</v>
      </c>
      <c r="C2447" s="9">
        <v>45931</v>
      </c>
      <c r="D2447">
        <v>29</v>
      </c>
      <c r="E2447" s="16" t="s">
        <v>120</v>
      </c>
      <c r="F2447" s="16" t="s">
        <v>89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60</v>
      </c>
      <c r="C2448" s="9">
        <v>45962</v>
      </c>
      <c r="D2448">
        <v>29</v>
      </c>
      <c r="E2448" s="16" t="s">
        <v>120</v>
      </c>
      <c r="F2448" s="16" t="s">
        <v>89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60</v>
      </c>
      <c r="C2449" s="9">
        <v>45992</v>
      </c>
      <c r="D2449">
        <v>29</v>
      </c>
      <c r="E2449" s="16" t="s">
        <v>120</v>
      </c>
      <c r="F2449" s="16" t="s">
        <v>89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60</v>
      </c>
      <c r="C2450" s="9">
        <v>46023</v>
      </c>
      <c r="D2450">
        <v>29</v>
      </c>
      <c r="E2450" s="16" t="s">
        <v>120</v>
      </c>
      <c r="F2450" s="16" t="s">
        <v>89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60</v>
      </c>
      <c r="C2451" s="9">
        <v>46054</v>
      </c>
      <c r="D2451">
        <v>29</v>
      </c>
      <c r="E2451" s="16" t="s">
        <v>120</v>
      </c>
      <c r="F2451" s="16" t="s">
        <v>89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60</v>
      </c>
      <c r="C2452" s="9">
        <v>46082</v>
      </c>
      <c r="D2452">
        <v>29</v>
      </c>
      <c r="E2452" s="16" t="s">
        <v>120</v>
      </c>
      <c r="F2452" s="16" t="s">
        <v>89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60</v>
      </c>
      <c r="C2453" s="9">
        <v>46113</v>
      </c>
      <c r="D2453">
        <v>29</v>
      </c>
      <c r="E2453" s="16" t="s">
        <v>120</v>
      </c>
      <c r="F2453" s="16" t="s">
        <v>89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60</v>
      </c>
      <c r="C2454" s="9">
        <v>46143</v>
      </c>
      <c r="D2454">
        <v>29</v>
      </c>
      <c r="E2454" s="16" t="s">
        <v>120</v>
      </c>
      <c r="F2454" s="16" t="s">
        <v>89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60</v>
      </c>
      <c r="C2455" s="9">
        <v>46174</v>
      </c>
      <c r="D2455">
        <v>29</v>
      </c>
      <c r="E2455" s="16" t="s">
        <v>120</v>
      </c>
      <c r="F2455" s="16" t="s">
        <v>89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60</v>
      </c>
      <c r="C2456" s="9">
        <v>46204</v>
      </c>
      <c r="D2456">
        <v>29</v>
      </c>
      <c r="E2456" s="16" t="s">
        <v>120</v>
      </c>
      <c r="F2456" s="16" t="s">
        <v>89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60</v>
      </c>
      <c r="C2457" s="9">
        <v>46235</v>
      </c>
      <c r="D2457">
        <v>29</v>
      </c>
      <c r="E2457" s="16" t="s">
        <v>120</v>
      </c>
      <c r="F2457" s="16" t="s">
        <v>89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60</v>
      </c>
      <c r="C2458" s="9">
        <v>46266</v>
      </c>
      <c r="D2458">
        <v>29</v>
      </c>
      <c r="E2458" s="16" t="s">
        <v>120</v>
      </c>
      <c r="F2458" s="16" t="s">
        <v>89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60</v>
      </c>
      <c r="C2459" s="9">
        <v>45689</v>
      </c>
      <c r="D2459">
        <v>30</v>
      </c>
      <c r="E2459" s="16" t="s">
        <v>121</v>
      </c>
      <c r="F2459" s="16" t="s">
        <v>94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60</v>
      </c>
      <c r="C2460" s="9">
        <v>45717</v>
      </c>
      <c r="D2460">
        <v>30</v>
      </c>
      <c r="E2460" s="16" t="s">
        <v>121</v>
      </c>
      <c r="F2460" s="16" t="s">
        <v>94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60</v>
      </c>
      <c r="C2461" s="9">
        <v>45748</v>
      </c>
      <c r="D2461">
        <v>30</v>
      </c>
      <c r="E2461" s="16" t="s">
        <v>121</v>
      </c>
      <c r="F2461" s="16" t="s">
        <v>94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60</v>
      </c>
      <c r="C2462" s="9">
        <v>45778</v>
      </c>
      <c r="D2462">
        <v>30</v>
      </c>
      <c r="E2462" s="16" t="s">
        <v>121</v>
      </c>
      <c r="F2462" s="16" t="s">
        <v>94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60</v>
      </c>
      <c r="C2463" s="9">
        <v>45809</v>
      </c>
      <c r="D2463">
        <v>30</v>
      </c>
      <c r="E2463" s="16" t="s">
        <v>121</v>
      </c>
      <c r="F2463" s="16" t="s">
        <v>94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60</v>
      </c>
      <c r="C2464" s="9">
        <v>45839</v>
      </c>
      <c r="D2464">
        <v>30</v>
      </c>
      <c r="E2464" s="16" t="s">
        <v>121</v>
      </c>
      <c r="F2464" s="16" t="s">
        <v>94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60</v>
      </c>
      <c r="C2465" s="9">
        <v>45870</v>
      </c>
      <c r="D2465">
        <v>30</v>
      </c>
      <c r="E2465" s="16" t="s">
        <v>121</v>
      </c>
      <c r="F2465" s="16" t="s">
        <v>94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60</v>
      </c>
      <c r="C2466" s="9">
        <v>45901</v>
      </c>
      <c r="D2466">
        <v>30</v>
      </c>
      <c r="E2466" s="16" t="s">
        <v>121</v>
      </c>
      <c r="F2466" s="16" t="s">
        <v>94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60</v>
      </c>
      <c r="C2467" s="9">
        <v>45931</v>
      </c>
      <c r="D2467">
        <v>30</v>
      </c>
      <c r="E2467" s="16" t="s">
        <v>121</v>
      </c>
      <c r="F2467" s="16" t="s">
        <v>94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60</v>
      </c>
      <c r="C2468" s="9">
        <v>45962</v>
      </c>
      <c r="D2468">
        <v>30</v>
      </c>
      <c r="E2468" s="16" t="s">
        <v>121</v>
      </c>
      <c r="F2468" s="16" t="s">
        <v>94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60</v>
      </c>
      <c r="C2469" s="9">
        <v>45992</v>
      </c>
      <c r="D2469">
        <v>30</v>
      </c>
      <c r="E2469" s="16" t="s">
        <v>121</v>
      </c>
      <c r="F2469" s="16" t="s">
        <v>94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60</v>
      </c>
      <c r="C2470" s="9">
        <v>46023</v>
      </c>
      <c r="D2470">
        <v>30</v>
      </c>
      <c r="E2470" s="16" t="s">
        <v>121</v>
      </c>
      <c r="F2470" s="16" t="s">
        <v>94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60</v>
      </c>
      <c r="C2471" s="9">
        <v>46054</v>
      </c>
      <c r="D2471">
        <v>30</v>
      </c>
      <c r="E2471" s="16" t="s">
        <v>121</v>
      </c>
      <c r="F2471" s="16" t="s">
        <v>94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60</v>
      </c>
      <c r="C2472" s="9">
        <v>46082</v>
      </c>
      <c r="D2472">
        <v>30</v>
      </c>
      <c r="E2472" s="16" t="s">
        <v>121</v>
      </c>
      <c r="F2472" s="16" t="s">
        <v>94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60</v>
      </c>
      <c r="C2473" s="9">
        <v>46113</v>
      </c>
      <c r="D2473">
        <v>30</v>
      </c>
      <c r="E2473" s="16" t="s">
        <v>121</v>
      </c>
      <c r="F2473" s="16" t="s">
        <v>94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60</v>
      </c>
      <c r="C2474" s="9">
        <v>46143</v>
      </c>
      <c r="D2474">
        <v>30</v>
      </c>
      <c r="E2474" s="16" t="s">
        <v>121</v>
      </c>
      <c r="F2474" s="16" t="s">
        <v>94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60</v>
      </c>
      <c r="C2475" s="9">
        <v>46174</v>
      </c>
      <c r="D2475">
        <v>30</v>
      </c>
      <c r="E2475" s="16" t="s">
        <v>121</v>
      </c>
      <c r="F2475" s="16" t="s">
        <v>94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60</v>
      </c>
      <c r="C2476" s="9">
        <v>46204</v>
      </c>
      <c r="D2476">
        <v>30</v>
      </c>
      <c r="E2476" s="16" t="s">
        <v>121</v>
      </c>
      <c r="F2476" s="16" t="s">
        <v>94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60</v>
      </c>
      <c r="C2477" s="9">
        <v>46235</v>
      </c>
      <c r="D2477">
        <v>30</v>
      </c>
      <c r="E2477" s="16" t="s">
        <v>121</v>
      </c>
      <c r="F2477" s="16" t="s">
        <v>94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60</v>
      </c>
      <c r="C2478" s="9">
        <v>46266</v>
      </c>
      <c r="D2478">
        <v>30</v>
      </c>
      <c r="E2478" s="16" t="s">
        <v>121</v>
      </c>
      <c r="F2478" s="16" t="s">
        <v>94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60</v>
      </c>
      <c r="C2479" s="9">
        <v>45689</v>
      </c>
      <c r="D2479">
        <v>31</v>
      </c>
      <c r="E2479" s="16" t="s">
        <v>122</v>
      </c>
      <c r="F2479" s="16" t="s">
        <v>94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60</v>
      </c>
      <c r="C2480" s="9">
        <v>45717</v>
      </c>
      <c r="D2480">
        <v>31</v>
      </c>
      <c r="E2480" s="16" t="s">
        <v>122</v>
      </c>
      <c r="F2480" s="16" t="s">
        <v>94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60</v>
      </c>
      <c r="C2481" s="9">
        <v>45748</v>
      </c>
      <c r="D2481">
        <v>31</v>
      </c>
      <c r="E2481" s="16" t="s">
        <v>122</v>
      </c>
      <c r="F2481" s="16" t="s">
        <v>94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60</v>
      </c>
      <c r="C2482" s="9">
        <v>45778</v>
      </c>
      <c r="D2482">
        <v>31</v>
      </c>
      <c r="E2482" s="16" t="s">
        <v>122</v>
      </c>
      <c r="F2482" s="16" t="s">
        <v>94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60</v>
      </c>
      <c r="C2483" s="9">
        <v>45809</v>
      </c>
      <c r="D2483">
        <v>31</v>
      </c>
      <c r="E2483" s="16" t="s">
        <v>122</v>
      </c>
      <c r="F2483" s="16" t="s">
        <v>94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60</v>
      </c>
      <c r="C2484" s="9">
        <v>45839</v>
      </c>
      <c r="D2484">
        <v>31</v>
      </c>
      <c r="E2484" s="16" t="s">
        <v>122</v>
      </c>
      <c r="F2484" s="16" t="s">
        <v>94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60</v>
      </c>
      <c r="C2485" s="9">
        <v>45870</v>
      </c>
      <c r="D2485">
        <v>31</v>
      </c>
      <c r="E2485" s="16" t="s">
        <v>122</v>
      </c>
      <c r="F2485" s="16" t="s">
        <v>94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60</v>
      </c>
      <c r="C2486" s="9">
        <v>45901</v>
      </c>
      <c r="D2486">
        <v>31</v>
      </c>
      <c r="E2486" s="16" t="s">
        <v>122</v>
      </c>
      <c r="F2486" s="16" t="s">
        <v>94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60</v>
      </c>
      <c r="C2487" s="9">
        <v>45931</v>
      </c>
      <c r="D2487">
        <v>31</v>
      </c>
      <c r="E2487" s="16" t="s">
        <v>122</v>
      </c>
      <c r="F2487" s="16" t="s">
        <v>94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60</v>
      </c>
      <c r="C2488" s="9">
        <v>45962</v>
      </c>
      <c r="D2488">
        <v>31</v>
      </c>
      <c r="E2488" s="16" t="s">
        <v>122</v>
      </c>
      <c r="F2488" s="16" t="s">
        <v>94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60</v>
      </c>
      <c r="C2489" s="9">
        <v>45992</v>
      </c>
      <c r="D2489">
        <v>31</v>
      </c>
      <c r="E2489" s="16" t="s">
        <v>122</v>
      </c>
      <c r="F2489" s="16" t="s">
        <v>94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60</v>
      </c>
      <c r="C2490" s="9">
        <v>46023</v>
      </c>
      <c r="D2490">
        <v>31</v>
      </c>
      <c r="E2490" s="16" t="s">
        <v>122</v>
      </c>
      <c r="F2490" s="16" t="s">
        <v>94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60</v>
      </c>
      <c r="C2491" s="9">
        <v>46054</v>
      </c>
      <c r="D2491">
        <v>31</v>
      </c>
      <c r="E2491" s="16" t="s">
        <v>122</v>
      </c>
      <c r="F2491" s="16" t="s">
        <v>94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60</v>
      </c>
      <c r="C2492" s="9">
        <v>46082</v>
      </c>
      <c r="D2492">
        <v>31</v>
      </c>
      <c r="E2492" s="16" t="s">
        <v>122</v>
      </c>
      <c r="F2492" s="16" t="s">
        <v>94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60</v>
      </c>
      <c r="C2493" s="9">
        <v>46113</v>
      </c>
      <c r="D2493">
        <v>31</v>
      </c>
      <c r="E2493" s="16" t="s">
        <v>122</v>
      </c>
      <c r="F2493" s="16" t="s">
        <v>94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60</v>
      </c>
      <c r="C2494" s="9">
        <v>46143</v>
      </c>
      <c r="D2494">
        <v>31</v>
      </c>
      <c r="E2494" s="16" t="s">
        <v>122</v>
      </c>
      <c r="F2494" s="16" t="s">
        <v>94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60</v>
      </c>
      <c r="C2495" s="9">
        <v>46174</v>
      </c>
      <c r="D2495">
        <v>31</v>
      </c>
      <c r="E2495" s="16" t="s">
        <v>122</v>
      </c>
      <c r="F2495" s="16" t="s">
        <v>94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60</v>
      </c>
      <c r="C2496" s="9">
        <v>46204</v>
      </c>
      <c r="D2496">
        <v>31</v>
      </c>
      <c r="E2496" s="16" t="s">
        <v>122</v>
      </c>
      <c r="F2496" s="16" t="s">
        <v>94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60</v>
      </c>
      <c r="C2497" s="9">
        <v>46235</v>
      </c>
      <c r="D2497">
        <v>31</v>
      </c>
      <c r="E2497" s="16" t="s">
        <v>122</v>
      </c>
      <c r="F2497" s="16" t="s">
        <v>94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60</v>
      </c>
      <c r="C2498" s="9">
        <v>46266</v>
      </c>
      <c r="D2498">
        <v>31</v>
      </c>
      <c r="E2498" s="16" t="s">
        <v>122</v>
      </c>
      <c r="F2498" s="16" t="s">
        <v>94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60</v>
      </c>
      <c r="C2499" s="9">
        <v>45689</v>
      </c>
      <c r="D2499">
        <v>32</v>
      </c>
      <c r="E2499" s="16" t="s">
        <v>123</v>
      </c>
      <c r="F2499" s="16" t="s">
        <v>94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60</v>
      </c>
      <c r="C2500" s="9">
        <v>45717</v>
      </c>
      <c r="D2500">
        <v>32</v>
      </c>
      <c r="E2500" s="16" t="s">
        <v>123</v>
      </c>
      <c r="F2500" s="16" t="s">
        <v>94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60</v>
      </c>
      <c r="C2501" s="9">
        <v>45748</v>
      </c>
      <c r="D2501">
        <v>32</v>
      </c>
      <c r="E2501" s="16" t="s">
        <v>123</v>
      </c>
      <c r="F2501" s="16" t="s">
        <v>94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60</v>
      </c>
      <c r="C2502" s="9">
        <v>45778</v>
      </c>
      <c r="D2502">
        <v>32</v>
      </c>
      <c r="E2502" s="16" t="s">
        <v>123</v>
      </c>
      <c r="F2502" s="16" t="s">
        <v>94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60</v>
      </c>
      <c r="C2503" s="9">
        <v>45809</v>
      </c>
      <c r="D2503">
        <v>32</v>
      </c>
      <c r="E2503" s="16" t="s">
        <v>123</v>
      </c>
      <c r="F2503" s="16" t="s">
        <v>94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60</v>
      </c>
      <c r="C2504" s="9">
        <v>45839</v>
      </c>
      <c r="D2504">
        <v>32</v>
      </c>
      <c r="E2504" s="16" t="s">
        <v>123</v>
      </c>
      <c r="F2504" s="16" t="s">
        <v>94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60</v>
      </c>
      <c r="C2505" s="9">
        <v>45870</v>
      </c>
      <c r="D2505">
        <v>32</v>
      </c>
      <c r="E2505" s="16" t="s">
        <v>123</v>
      </c>
      <c r="F2505" s="16" t="s">
        <v>94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60</v>
      </c>
      <c r="C2506" s="9">
        <v>45901</v>
      </c>
      <c r="D2506">
        <v>32</v>
      </c>
      <c r="E2506" s="16" t="s">
        <v>123</v>
      </c>
      <c r="F2506" s="16" t="s">
        <v>94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60</v>
      </c>
      <c r="C2507" s="9">
        <v>45931</v>
      </c>
      <c r="D2507">
        <v>32</v>
      </c>
      <c r="E2507" s="16" t="s">
        <v>123</v>
      </c>
      <c r="F2507" s="16" t="s">
        <v>94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60</v>
      </c>
      <c r="C2508" s="9">
        <v>45962</v>
      </c>
      <c r="D2508">
        <v>32</v>
      </c>
      <c r="E2508" s="16" t="s">
        <v>123</v>
      </c>
      <c r="F2508" s="16" t="s">
        <v>94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60</v>
      </c>
      <c r="C2509" s="9">
        <v>45992</v>
      </c>
      <c r="D2509">
        <v>32</v>
      </c>
      <c r="E2509" s="16" t="s">
        <v>123</v>
      </c>
      <c r="F2509" s="16" t="s">
        <v>94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60</v>
      </c>
      <c r="C2510" s="9">
        <v>46023</v>
      </c>
      <c r="D2510">
        <v>32</v>
      </c>
      <c r="E2510" s="16" t="s">
        <v>123</v>
      </c>
      <c r="F2510" s="16" t="s">
        <v>94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60</v>
      </c>
      <c r="C2511" s="9">
        <v>46054</v>
      </c>
      <c r="D2511">
        <v>32</v>
      </c>
      <c r="E2511" s="16" t="s">
        <v>123</v>
      </c>
      <c r="F2511" s="16" t="s">
        <v>94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60</v>
      </c>
      <c r="C2512" s="9">
        <v>46082</v>
      </c>
      <c r="D2512">
        <v>32</v>
      </c>
      <c r="E2512" s="16" t="s">
        <v>123</v>
      </c>
      <c r="F2512" s="16" t="s">
        <v>94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60</v>
      </c>
      <c r="C2513" s="9">
        <v>46113</v>
      </c>
      <c r="D2513">
        <v>32</v>
      </c>
      <c r="E2513" s="16" t="s">
        <v>123</v>
      </c>
      <c r="F2513" s="16" t="s">
        <v>94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60</v>
      </c>
      <c r="C2514" s="9">
        <v>46143</v>
      </c>
      <c r="D2514">
        <v>32</v>
      </c>
      <c r="E2514" s="16" t="s">
        <v>123</v>
      </c>
      <c r="F2514" s="16" t="s">
        <v>94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60</v>
      </c>
      <c r="C2515" s="9">
        <v>46174</v>
      </c>
      <c r="D2515">
        <v>32</v>
      </c>
      <c r="E2515" s="16" t="s">
        <v>123</v>
      </c>
      <c r="F2515" s="16" t="s">
        <v>94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60</v>
      </c>
      <c r="C2516" s="9">
        <v>46204</v>
      </c>
      <c r="D2516">
        <v>32</v>
      </c>
      <c r="E2516" s="16" t="s">
        <v>123</v>
      </c>
      <c r="F2516" s="16" t="s">
        <v>94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60</v>
      </c>
      <c r="C2517" s="9">
        <v>46235</v>
      </c>
      <c r="D2517">
        <v>32</v>
      </c>
      <c r="E2517" s="16" t="s">
        <v>123</v>
      </c>
      <c r="F2517" s="16" t="s">
        <v>94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60</v>
      </c>
      <c r="C2518" s="9">
        <v>46266</v>
      </c>
      <c r="D2518">
        <v>32</v>
      </c>
      <c r="E2518" s="16" t="s">
        <v>123</v>
      </c>
      <c r="F2518" s="16" t="s">
        <v>94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60</v>
      </c>
      <c r="C2519" s="9">
        <v>45689</v>
      </c>
      <c r="D2519">
        <v>33</v>
      </c>
      <c r="E2519" s="16" t="s">
        <v>124</v>
      </c>
      <c r="F2519" s="16" t="s">
        <v>94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60</v>
      </c>
      <c r="C2520" s="9">
        <v>45717</v>
      </c>
      <c r="D2520">
        <v>33</v>
      </c>
      <c r="E2520" s="16" t="s">
        <v>124</v>
      </c>
      <c r="F2520" s="16" t="s">
        <v>94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60</v>
      </c>
      <c r="C2521" s="9">
        <v>45748</v>
      </c>
      <c r="D2521">
        <v>33</v>
      </c>
      <c r="E2521" s="16" t="s">
        <v>124</v>
      </c>
      <c r="F2521" s="16" t="s">
        <v>94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60</v>
      </c>
      <c r="C2522" s="9">
        <v>45778</v>
      </c>
      <c r="D2522">
        <v>33</v>
      </c>
      <c r="E2522" s="16" t="s">
        <v>124</v>
      </c>
      <c r="F2522" s="16" t="s">
        <v>94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60</v>
      </c>
      <c r="C2523" s="9">
        <v>45809</v>
      </c>
      <c r="D2523">
        <v>33</v>
      </c>
      <c r="E2523" s="16" t="s">
        <v>124</v>
      </c>
      <c r="F2523" s="16" t="s">
        <v>94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60</v>
      </c>
      <c r="C2524" s="9">
        <v>45839</v>
      </c>
      <c r="D2524">
        <v>33</v>
      </c>
      <c r="E2524" s="16" t="s">
        <v>124</v>
      </c>
      <c r="F2524" s="16" t="s">
        <v>94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60</v>
      </c>
      <c r="C2525" s="9">
        <v>45870</v>
      </c>
      <c r="D2525">
        <v>33</v>
      </c>
      <c r="E2525" s="16" t="s">
        <v>124</v>
      </c>
      <c r="F2525" s="16" t="s">
        <v>94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60</v>
      </c>
      <c r="C2526" s="9">
        <v>45901</v>
      </c>
      <c r="D2526">
        <v>33</v>
      </c>
      <c r="E2526" s="16" t="s">
        <v>124</v>
      </c>
      <c r="F2526" s="16" t="s">
        <v>94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60</v>
      </c>
      <c r="C2527" s="9">
        <v>45931</v>
      </c>
      <c r="D2527">
        <v>33</v>
      </c>
      <c r="E2527" s="16" t="s">
        <v>124</v>
      </c>
      <c r="F2527" s="16" t="s">
        <v>94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60</v>
      </c>
      <c r="C2528" s="9">
        <v>45962</v>
      </c>
      <c r="D2528">
        <v>33</v>
      </c>
      <c r="E2528" s="16" t="s">
        <v>124</v>
      </c>
      <c r="F2528" s="16" t="s">
        <v>94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60</v>
      </c>
      <c r="C2529" s="9">
        <v>45992</v>
      </c>
      <c r="D2529">
        <v>33</v>
      </c>
      <c r="E2529" s="16" t="s">
        <v>124</v>
      </c>
      <c r="F2529" s="16" t="s">
        <v>94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60</v>
      </c>
      <c r="C2530" s="9">
        <v>46023</v>
      </c>
      <c r="D2530">
        <v>33</v>
      </c>
      <c r="E2530" s="16" t="s">
        <v>124</v>
      </c>
      <c r="F2530" s="16" t="s">
        <v>94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60</v>
      </c>
      <c r="C2531" s="9">
        <v>46054</v>
      </c>
      <c r="D2531">
        <v>33</v>
      </c>
      <c r="E2531" s="16" t="s">
        <v>124</v>
      </c>
      <c r="F2531" s="16" t="s">
        <v>94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60</v>
      </c>
      <c r="C2532" s="9">
        <v>46082</v>
      </c>
      <c r="D2532">
        <v>33</v>
      </c>
      <c r="E2532" s="16" t="s">
        <v>124</v>
      </c>
      <c r="F2532" s="16" t="s">
        <v>94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60</v>
      </c>
      <c r="C2533" s="9">
        <v>46113</v>
      </c>
      <c r="D2533">
        <v>33</v>
      </c>
      <c r="E2533" s="16" t="s">
        <v>124</v>
      </c>
      <c r="F2533" s="16" t="s">
        <v>94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60</v>
      </c>
      <c r="C2534" s="9">
        <v>46143</v>
      </c>
      <c r="D2534">
        <v>33</v>
      </c>
      <c r="E2534" s="16" t="s">
        <v>124</v>
      </c>
      <c r="F2534" s="16" t="s">
        <v>94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60</v>
      </c>
      <c r="C2535" s="9">
        <v>46174</v>
      </c>
      <c r="D2535">
        <v>33</v>
      </c>
      <c r="E2535" s="16" t="s">
        <v>124</v>
      </c>
      <c r="F2535" s="16" t="s">
        <v>94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60</v>
      </c>
      <c r="C2536" s="9">
        <v>46204</v>
      </c>
      <c r="D2536">
        <v>33</v>
      </c>
      <c r="E2536" s="16" t="s">
        <v>124</v>
      </c>
      <c r="F2536" s="16" t="s">
        <v>94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60</v>
      </c>
      <c r="C2537" s="9">
        <v>46235</v>
      </c>
      <c r="D2537">
        <v>33</v>
      </c>
      <c r="E2537" s="16" t="s">
        <v>124</v>
      </c>
      <c r="F2537" s="16" t="s">
        <v>94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60</v>
      </c>
      <c r="C2538" s="9">
        <v>46266</v>
      </c>
      <c r="D2538">
        <v>33</v>
      </c>
      <c r="E2538" s="16" t="s">
        <v>124</v>
      </c>
      <c r="F2538" s="16" t="s">
        <v>94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60</v>
      </c>
      <c r="C2539" s="9">
        <v>45689</v>
      </c>
      <c r="D2539">
        <v>36</v>
      </c>
      <c r="E2539" s="16" t="s">
        <v>127</v>
      </c>
      <c r="F2539" s="16" t="s">
        <v>100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60</v>
      </c>
      <c r="C2540" s="9">
        <v>45717</v>
      </c>
      <c r="D2540">
        <v>36</v>
      </c>
      <c r="E2540" s="16" t="s">
        <v>127</v>
      </c>
      <c r="F2540" s="16" t="s">
        <v>100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60</v>
      </c>
      <c r="C2541" s="9">
        <v>45748</v>
      </c>
      <c r="D2541">
        <v>36</v>
      </c>
      <c r="E2541" s="16" t="s">
        <v>127</v>
      </c>
      <c r="F2541" s="16" t="s">
        <v>100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60</v>
      </c>
      <c r="C2542" s="9">
        <v>45778</v>
      </c>
      <c r="D2542">
        <v>36</v>
      </c>
      <c r="E2542" s="16" t="s">
        <v>127</v>
      </c>
      <c r="F2542" s="16" t="s">
        <v>100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60</v>
      </c>
      <c r="C2543" s="9">
        <v>45809</v>
      </c>
      <c r="D2543">
        <v>36</v>
      </c>
      <c r="E2543" s="16" t="s">
        <v>127</v>
      </c>
      <c r="F2543" s="16" t="s">
        <v>100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60</v>
      </c>
      <c r="C2544" s="9">
        <v>45839</v>
      </c>
      <c r="D2544">
        <v>36</v>
      </c>
      <c r="E2544" s="16" t="s">
        <v>127</v>
      </c>
      <c r="F2544" s="16" t="s">
        <v>100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60</v>
      </c>
      <c r="C2545" s="9">
        <v>45870</v>
      </c>
      <c r="D2545">
        <v>36</v>
      </c>
      <c r="E2545" s="16" t="s">
        <v>127</v>
      </c>
      <c r="F2545" s="16" t="s">
        <v>100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60</v>
      </c>
      <c r="C2546" s="9">
        <v>45901</v>
      </c>
      <c r="D2546">
        <v>36</v>
      </c>
      <c r="E2546" s="16" t="s">
        <v>127</v>
      </c>
      <c r="F2546" s="16" t="s">
        <v>100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60</v>
      </c>
      <c r="C2547" s="9">
        <v>45931</v>
      </c>
      <c r="D2547">
        <v>36</v>
      </c>
      <c r="E2547" s="16" t="s">
        <v>127</v>
      </c>
      <c r="F2547" s="16" t="s">
        <v>100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60</v>
      </c>
      <c r="C2548" s="9">
        <v>45962</v>
      </c>
      <c r="D2548">
        <v>36</v>
      </c>
      <c r="E2548" s="16" t="s">
        <v>127</v>
      </c>
      <c r="F2548" s="16" t="s">
        <v>100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60</v>
      </c>
      <c r="C2549" s="9">
        <v>45992</v>
      </c>
      <c r="D2549">
        <v>36</v>
      </c>
      <c r="E2549" s="16" t="s">
        <v>127</v>
      </c>
      <c r="F2549" s="16" t="s">
        <v>100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60</v>
      </c>
      <c r="C2550" s="9">
        <v>46023</v>
      </c>
      <c r="D2550">
        <v>36</v>
      </c>
      <c r="E2550" s="16" t="s">
        <v>127</v>
      </c>
      <c r="F2550" s="16" t="s">
        <v>100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60</v>
      </c>
      <c r="C2551" s="9">
        <v>46054</v>
      </c>
      <c r="D2551">
        <v>36</v>
      </c>
      <c r="E2551" s="16" t="s">
        <v>127</v>
      </c>
      <c r="F2551" s="16" t="s">
        <v>100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60</v>
      </c>
      <c r="C2552" s="9">
        <v>46082</v>
      </c>
      <c r="D2552">
        <v>36</v>
      </c>
      <c r="E2552" s="16" t="s">
        <v>127</v>
      </c>
      <c r="F2552" s="16" t="s">
        <v>100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60</v>
      </c>
      <c r="C2553" s="9">
        <v>46113</v>
      </c>
      <c r="D2553">
        <v>36</v>
      </c>
      <c r="E2553" s="16" t="s">
        <v>127</v>
      </c>
      <c r="F2553" s="16" t="s">
        <v>100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60</v>
      </c>
      <c r="C2554" s="9">
        <v>46143</v>
      </c>
      <c r="D2554">
        <v>36</v>
      </c>
      <c r="E2554" s="16" t="s">
        <v>127</v>
      </c>
      <c r="F2554" s="16" t="s">
        <v>100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60</v>
      </c>
      <c r="C2555" s="9">
        <v>46174</v>
      </c>
      <c r="D2555">
        <v>36</v>
      </c>
      <c r="E2555" s="16" t="s">
        <v>127</v>
      </c>
      <c r="F2555" s="16" t="s">
        <v>100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60</v>
      </c>
      <c r="C2556" s="9">
        <v>46204</v>
      </c>
      <c r="D2556">
        <v>36</v>
      </c>
      <c r="E2556" s="16" t="s">
        <v>127</v>
      </c>
      <c r="F2556" s="16" t="s">
        <v>100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60</v>
      </c>
      <c r="C2557" s="9">
        <v>46235</v>
      </c>
      <c r="D2557">
        <v>36</v>
      </c>
      <c r="E2557" s="16" t="s">
        <v>127</v>
      </c>
      <c r="F2557" s="16" t="s">
        <v>100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60</v>
      </c>
      <c r="C2558" s="9">
        <v>46266</v>
      </c>
      <c r="D2558">
        <v>36</v>
      </c>
      <c r="E2558" s="16" t="s">
        <v>127</v>
      </c>
      <c r="F2558" s="16" t="s">
        <v>100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60</v>
      </c>
      <c r="C2559" s="9">
        <v>45689</v>
      </c>
      <c r="D2559">
        <v>37</v>
      </c>
      <c r="E2559" s="16" t="s">
        <v>128</v>
      </c>
      <c r="F2559" s="16" t="s">
        <v>92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60</v>
      </c>
      <c r="C2560" s="9">
        <v>45717</v>
      </c>
      <c r="D2560">
        <v>37</v>
      </c>
      <c r="E2560" s="16" t="s">
        <v>128</v>
      </c>
      <c r="F2560" s="16" t="s">
        <v>92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60</v>
      </c>
      <c r="C2561" s="9">
        <v>45748</v>
      </c>
      <c r="D2561">
        <v>37</v>
      </c>
      <c r="E2561" s="16" t="s">
        <v>128</v>
      </c>
      <c r="F2561" s="16" t="s">
        <v>92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60</v>
      </c>
      <c r="C2562" s="9">
        <v>45778</v>
      </c>
      <c r="D2562">
        <v>37</v>
      </c>
      <c r="E2562" s="16" t="s">
        <v>128</v>
      </c>
      <c r="F2562" s="16" t="s">
        <v>92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60</v>
      </c>
      <c r="C2563" s="9">
        <v>45809</v>
      </c>
      <c r="D2563">
        <v>37</v>
      </c>
      <c r="E2563" s="16" t="s">
        <v>128</v>
      </c>
      <c r="F2563" s="16" t="s">
        <v>92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60</v>
      </c>
      <c r="C2564" s="9">
        <v>45839</v>
      </c>
      <c r="D2564">
        <v>37</v>
      </c>
      <c r="E2564" s="16" t="s">
        <v>128</v>
      </c>
      <c r="F2564" s="16" t="s">
        <v>92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60</v>
      </c>
      <c r="C2565" s="9">
        <v>45870</v>
      </c>
      <c r="D2565">
        <v>37</v>
      </c>
      <c r="E2565" s="16" t="s">
        <v>128</v>
      </c>
      <c r="F2565" s="16" t="s">
        <v>92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60</v>
      </c>
      <c r="C2566" s="9">
        <v>45901</v>
      </c>
      <c r="D2566">
        <v>37</v>
      </c>
      <c r="E2566" s="16" t="s">
        <v>128</v>
      </c>
      <c r="F2566" s="16" t="s">
        <v>92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60</v>
      </c>
      <c r="C2567" s="9">
        <v>45931</v>
      </c>
      <c r="D2567">
        <v>37</v>
      </c>
      <c r="E2567" s="16" t="s">
        <v>128</v>
      </c>
      <c r="F2567" s="16" t="s">
        <v>92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60</v>
      </c>
      <c r="C2568" s="9">
        <v>45962</v>
      </c>
      <c r="D2568">
        <v>37</v>
      </c>
      <c r="E2568" s="16" t="s">
        <v>128</v>
      </c>
      <c r="F2568" s="16" t="s">
        <v>92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60</v>
      </c>
      <c r="C2569" s="9">
        <v>45992</v>
      </c>
      <c r="D2569">
        <v>37</v>
      </c>
      <c r="E2569" s="16" t="s">
        <v>128</v>
      </c>
      <c r="F2569" s="16" t="s">
        <v>92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60</v>
      </c>
      <c r="C2570" s="9">
        <v>46023</v>
      </c>
      <c r="D2570">
        <v>37</v>
      </c>
      <c r="E2570" s="16" t="s">
        <v>128</v>
      </c>
      <c r="F2570" s="16" t="s">
        <v>92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60</v>
      </c>
      <c r="C2571" s="9">
        <v>46054</v>
      </c>
      <c r="D2571">
        <v>37</v>
      </c>
      <c r="E2571" s="16" t="s">
        <v>128</v>
      </c>
      <c r="F2571" s="16" t="s">
        <v>92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60</v>
      </c>
      <c r="C2572" s="9">
        <v>46082</v>
      </c>
      <c r="D2572">
        <v>37</v>
      </c>
      <c r="E2572" s="16" t="s">
        <v>128</v>
      </c>
      <c r="F2572" s="16" t="s">
        <v>92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60</v>
      </c>
      <c r="C2573" s="9">
        <v>46113</v>
      </c>
      <c r="D2573">
        <v>37</v>
      </c>
      <c r="E2573" s="16" t="s">
        <v>128</v>
      </c>
      <c r="F2573" s="16" t="s">
        <v>92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60</v>
      </c>
      <c r="C2574" s="9">
        <v>46143</v>
      </c>
      <c r="D2574">
        <v>37</v>
      </c>
      <c r="E2574" s="16" t="s">
        <v>128</v>
      </c>
      <c r="F2574" s="16" t="s">
        <v>92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60</v>
      </c>
      <c r="C2575" s="9">
        <v>46174</v>
      </c>
      <c r="D2575">
        <v>37</v>
      </c>
      <c r="E2575" s="16" t="s">
        <v>128</v>
      </c>
      <c r="F2575" s="16" t="s">
        <v>92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60</v>
      </c>
      <c r="C2576" s="9">
        <v>46204</v>
      </c>
      <c r="D2576">
        <v>37</v>
      </c>
      <c r="E2576" s="16" t="s">
        <v>128</v>
      </c>
      <c r="F2576" s="16" t="s">
        <v>92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60</v>
      </c>
      <c r="C2577" s="9">
        <v>46235</v>
      </c>
      <c r="D2577">
        <v>37</v>
      </c>
      <c r="E2577" s="16" t="s">
        <v>128</v>
      </c>
      <c r="F2577" s="16" t="s">
        <v>92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60</v>
      </c>
      <c r="C2578" s="9">
        <v>46266</v>
      </c>
      <c r="D2578">
        <v>37</v>
      </c>
      <c r="E2578" s="16" t="s">
        <v>128</v>
      </c>
      <c r="F2578" s="16" t="s">
        <v>92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60</v>
      </c>
      <c r="C2579" s="9">
        <v>45689</v>
      </c>
      <c r="D2579">
        <v>38</v>
      </c>
      <c r="E2579" s="16" t="s">
        <v>129</v>
      </c>
      <c r="F2579" s="16" t="s">
        <v>85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60</v>
      </c>
      <c r="C2580" s="9">
        <v>45717</v>
      </c>
      <c r="D2580">
        <v>38</v>
      </c>
      <c r="E2580" s="16" t="s">
        <v>129</v>
      </c>
      <c r="F2580" s="16" t="s">
        <v>85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60</v>
      </c>
      <c r="C2581" s="9">
        <v>45748</v>
      </c>
      <c r="D2581">
        <v>38</v>
      </c>
      <c r="E2581" s="16" t="s">
        <v>129</v>
      </c>
      <c r="F2581" s="16" t="s">
        <v>85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60</v>
      </c>
      <c r="C2582" s="9">
        <v>45778</v>
      </c>
      <c r="D2582">
        <v>38</v>
      </c>
      <c r="E2582" s="16" t="s">
        <v>129</v>
      </c>
      <c r="F2582" s="16" t="s">
        <v>85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60</v>
      </c>
      <c r="C2583" s="9">
        <v>45809</v>
      </c>
      <c r="D2583">
        <v>38</v>
      </c>
      <c r="E2583" s="16" t="s">
        <v>129</v>
      </c>
      <c r="F2583" s="16" t="s">
        <v>85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60</v>
      </c>
      <c r="C2584" s="9">
        <v>45839</v>
      </c>
      <c r="D2584">
        <v>38</v>
      </c>
      <c r="E2584" s="16" t="s">
        <v>129</v>
      </c>
      <c r="F2584" s="16" t="s">
        <v>85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60</v>
      </c>
      <c r="C2585" s="9">
        <v>45870</v>
      </c>
      <c r="D2585">
        <v>38</v>
      </c>
      <c r="E2585" s="16" t="s">
        <v>129</v>
      </c>
      <c r="F2585" s="16" t="s">
        <v>85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60</v>
      </c>
      <c r="C2586" s="9">
        <v>45901</v>
      </c>
      <c r="D2586">
        <v>38</v>
      </c>
      <c r="E2586" s="16" t="s">
        <v>129</v>
      </c>
      <c r="F2586" s="16" t="s">
        <v>85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60</v>
      </c>
      <c r="C2587" s="9">
        <v>45931</v>
      </c>
      <c r="D2587">
        <v>38</v>
      </c>
      <c r="E2587" s="16" t="s">
        <v>129</v>
      </c>
      <c r="F2587" s="16" t="s">
        <v>85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60</v>
      </c>
      <c r="C2588" s="9">
        <v>45962</v>
      </c>
      <c r="D2588">
        <v>38</v>
      </c>
      <c r="E2588" s="16" t="s">
        <v>129</v>
      </c>
      <c r="F2588" s="16" t="s">
        <v>85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60</v>
      </c>
      <c r="C2589" s="9">
        <v>45992</v>
      </c>
      <c r="D2589">
        <v>38</v>
      </c>
      <c r="E2589" s="16" t="s">
        <v>129</v>
      </c>
      <c r="F2589" s="16" t="s">
        <v>85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60</v>
      </c>
      <c r="C2590" s="9">
        <v>46023</v>
      </c>
      <c r="D2590">
        <v>38</v>
      </c>
      <c r="E2590" s="16" t="s">
        <v>129</v>
      </c>
      <c r="F2590" s="16" t="s">
        <v>85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60</v>
      </c>
      <c r="C2591" s="9">
        <v>46054</v>
      </c>
      <c r="D2591">
        <v>38</v>
      </c>
      <c r="E2591" s="16" t="s">
        <v>129</v>
      </c>
      <c r="F2591" s="16" t="s">
        <v>85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60</v>
      </c>
      <c r="C2592" s="9">
        <v>46082</v>
      </c>
      <c r="D2592">
        <v>38</v>
      </c>
      <c r="E2592" s="16" t="s">
        <v>129</v>
      </c>
      <c r="F2592" s="16" t="s">
        <v>85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60</v>
      </c>
      <c r="C2593" s="9">
        <v>46113</v>
      </c>
      <c r="D2593">
        <v>38</v>
      </c>
      <c r="E2593" s="16" t="s">
        <v>129</v>
      </c>
      <c r="F2593" s="16" t="s">
        <v>85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60</v>
      </c>
      <c r="C2594" s="9">
        <v>46143</v>
      </c>
      <c r="D2594">
        <v>38</v>
      </c>
      <c r="E2594" s="16" t="s">
        <v>129</v>
      </c>
      <c r="F2594" s="16" t="s">
        <v>85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60</v>
      </c>
      <c r="C2595" s="9">
        <v>46174</v>
      </c>
      <c r="D2595">
        <v>38</v>
      </c>
      <c r="E2595" s="16" t="s">
        <v>129</v>
      </c>
      <c r="F2595" s="16" t="s">
        <v>85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60</v>
      </c>
      <c r="C2596" s="9">
        <v>46204</v>
      </c>
      <c r="D2596">
        <v>38</v>
      </c>
      <c r="E2596" s="16" t="s">
        <v>129</v>
      </c>
      <c r="F2596" s="16" t="s">
        <v>85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60</v>
      </c>
      <c r="C2597" s="9">
        <v>46235</v>
      </c>
      <c r="D2597">
        <v>38</v>
      </c>
      <c r="E2597" s="16" t="s">
        <v>129</v>
      </c>
      <c r="F2597" s="16" t="s">
        <v>85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60</v>
      </c>
      <c r="C2598" s="9">
        <v>46266</v>
      </c>
      <c r="D2598">
        <v>38</v>
      </c>
      <c r="E2598" s="16" t="s">
        <v>129</v>
      </c>
      <c r="F2598" s="16" t="s">
        <v>85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60</v>
      </c>
      <c r="C2599" s="9">
        <v>45689</v>
      </c>
      <c r="D2599">
        <v>39</v>
      </c>
      <c r="E2599" s="16" t="s">
        <v>130</v>
      </c>
      <c r="F2599" s="16" t="s">
        <v>89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60</v>
      </c>
      <c r="C2600" s="9">
        <v>45717</v>
      </c>
      <c r="D2600">
        <v>39</v>
      </c>
      <c r="E2600" s="16" t="s">
        <v>130</v>
      </c>
      <c r="F2600" s="16" t="s">
        <v>89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60</v>
      </c>
      <c r="C2601" s="9">
        <v>45748</v>
      </c>
      <c r="D2601">
        <v>39</v>
      </c>
      <c r="E2601" s="16" t="s">
        <v>130</v>
      </c>
      <c r="F2601" s="16" t="s">
        <v>89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60</v>
      </c>
      <c r="C2602" s="9">
        <v>45778</v>
      </c>
      <c r="D2602">
        <v>39</v>
      </c>
      <c r="E2602" s="16" t="s">
        <v>130</v>
      </c>
      <c r="F2602" s="16" t="s">
        <v>89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60</v>
      </c>
      <c r="C2603" s="9">
        <v>45809</v>
      </c>
      <c r="D2603">
        <v>39</v>
      </c>
      <c r="E2603" s="16" t="s">
        <v>130</v>
      </c>
      <c r="F2603" s="16" t="s">
        <v>89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60</v>
      </c>
      <c r="C2604" s="9">
        <v>45839</v>
      </c>
      <c r="D2604">
        <v>39</v>
      </c>
      <c r="E2604" s="16" t="s">
        <v>130</v>
      </c>
      <c r="F2604" s="16" t="s">
        <v>89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60</v>
      </c>
      <c r="C2605" s="9">
        <v>45870</v>
      </c>
      <c r="D2605">
        <v>39</v>
      </c>
      <c r="E2605" s="16" t="s">
        <v>130</v>
      </c>
      <c r="F2605" s="16" t="s">
        <v>89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60</v>
      </c>
      <c r="C2606" s="9">
        <v>45901</v>
      </c>
      <c r="D2606">
        <v>39</v>
      </c>
      <c r="E2606" s="16" t="s">
        <v>130</v>
      </c>
      <c r="F2606" s="16" t="s">
        <v>89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60</v>
      </c>
      <c r="C2607" s="9">
        <v>45931</v>
      </c>
      <c r="D2607">
        <v>39</v>
      </c>
      <c r="E2607" s="16" t="s">
        <v>130</v>
      </c>
      <c r="F2607" s="16" t="s">
        <v>89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60</v>
      </c>
      <c r="C2608" s="9">
        <v>45962</v>
      </c>
      <c r="D2608">
        <v>39</v>
      </c>
      <c r="E2608" s="16" t="s">
        <v>130</v>
      </c>
      <c r="F2608" s="16" t="s">
        <v>89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60</v>
      </c>
      <c r="C2609" s="9">
        <v>45992</v>
      </c>
      <c r="D2609">
        <v>39</v>
      </c>
      <c r="E2609" s="16" t="s">
        <v>130</v>
      </c>
      <c r="F2609" s="16" t="s">
        <v>89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60</v>
      </c>
      <c r="C2610" s="9">
        <v>46023</v>
      </c>
      <c r="D2610">
        <v>39</v>
      </c>
      <c r="E2610" s="16" t="s">
        <v>130</v>
      </c>
      <c r="F2610" s="16" t="s">
        <v>89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60</v>
      </c>
      <c r="C2611" s="9">
        <v>46054</v>
      </c>
      <c r="D2611">
        <v>39</v>
      </c>
      <c r="E2611" s="16" t="s">
        <v>130</v>
      </c>
      <c r="F2611" s="16" t="s">
        <v>89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60</v>
      </c>
      <c r="C2612" s="9">
        <v>46082</v>
      </c>
      <c r="D2612">
        <v>39</v>
      </c>
      <c r="E2612" s="16" t="s">
        <v>130</v>
      </c>
      <c r="F2612" s="16" t="s">
        <v>89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60</v>
      </c>
      <c r="C2613" s="9">
        <v>46113</v>
      </c>
      <c r="D2613">
        <v>39</v>
      </c>
      <c r="E2613" s="16" t="s">
        <v>130</v>
      </c>
      <c r="F2613" s="16" t="s">
        <v>89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60</v>
      </c>
      <c r="C2614" s="9">
        <v>46143</v>
      </c>
      <c r="D2614">
        <v>39</v>
      </c>
      <c r="E2614" s="16" t="s">
        <v>130</v>
      </c>
      <c r="F2614" s="16" t="s">
        <v>89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60</v>
      </c>
      <c r="C2615" s="9">
        <v>46174</v>
      </c>
      <c r="D2615">
        <v>39</v>
      </c>
      <c r="E2615" s="16" t="s">
        <v>130</v>
      </c>
      <c r="F2615" s="16" t="s">
        <v>89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60</v>
      </c>
      <c r="C2616" s="9">
        <v>46204</v>
      </c>
      <c r="D2616">
        <v>39</v>
      </c>
      <c r="E2616" s="16" t="s">
        <v>130</v>
      </c>
      <c r="F2616" s="16" t="s">
        <v>89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60</v>
      </c>
      <c r="C2617" s="9">
        <v>46235</v>
      </c>
      <c r="D2617">
        <v>39</v>
      </c>
      <c r="E2617" s="16" t="s">
        <v>130</v>
      </c>
      <c r="F2617" s="16" t="s">
        <v>89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60</v>
      </c>
      <c r="C2618" s="9">
        <v>46266</v>
      </c>
      <c r="D2618">
        <v>39</v>
      </c>
      <c r="E2618" s="16" t="s">
        <v>130</v>
      </c>
      <c r="F2618" s="16" t="s">
        <v>89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60</v>
      </c>
      <c r="C2619" s="9">
        <v>45717</v>
      </c>
      <c r="D2619">
        <v>40</v>
      </c>
      <c r="E2619" s="16" t="s">
        <v>131</v>
      </c>
      <c r="F2619" s="16" t="s">
        <v>110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60</v>
      </c>
      <c r="C2620" s="9">
        <v>45748</v>
      </c>
      <c r="D2620">
        <v>40</v>
      </c>
      <c r="E2620" s="16" t="s">
        <v>131</v>
      </c>
      <c r="F2620" s="16" t="s">
        <v>110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60</v>
      </c>
      <c r="C2621" s="9">
        <v>45809</v>
      </c>
      <c r="D2621">
        <v>40</v>
      </c>
      <c r="E2621" s="16" t="s">
        <v>131</v>
      </c>
      <c r="F2621" s="16" t="s">
        <v>110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60</v>
      </c>
      <c r="C2622" s="9">
        <v>45870</v>
      </c>
      <c r="D2622">
        <v>40</v>
      </c>
      <c r="E2622" s="16" t="s">
        <v>131</v>
      </c>
      <c r="F2622" s="16" t="s">
        <v>110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60</v>
      </c>
      <c r="C2623" s="9">
        <v>45931</v>
      </c>
      <c r="D2623">
        <v>40</v>
      </c>
      <c r="E2623" s="16" t="s">
        <v>131</v>
      </c>
      <c r="F2623" s="16" t="s">
        <v>110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60</v>
      </c>
      <c r="C2624" s="9">
        <v>45992</v>
      </c>
      <c r="D2624">
        <v>40</v>
      </c>
      <c r="E2624" s="16" t="s">
        <v>131</v>
      </c>
      <c r="F2624" s="16" t="s">
        <v>110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60</v>
      </c>
      <c r="C2625" s="9">
        <v>46023</v>
      </c>
      <c r="D2625">
        <v>40</v>
      </c>
      <c r="E2625" s="16" t="s">
        <v>131</v>
      </c>
      <c r="F2625" s="16" t="s">
        <v>110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60</v>
      </c>
      <c r="C2626" s="9">
        <v>46082</v>
      </c>
      <c r="D2626">
        <v>40</v>
      </c>
      <c r="E2626" s="16" t="s">
        <v>131</v>
      </c>
      <c r="F2626" s="16" t="s">
        <v>110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60</v>
      </c>
      <c r="C2627" s="9">
        <v>46143</v>
      </c>
      <c r="D2627">
        <v>40</v>
      </c>
      <c r="E2627" s="16" t="s">
        <v>131</v>
      </c>
      <c r="F2627" s="16" t="s">
        <v>110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60</v>
      </c>
      <c r="C2628" s="9">
        <v>46204</v>
      </c>
      <c r="D2628">
        <v>40</v>
      </c>
      <c r="E2628" s="16" t="s">
        <v>131</v>
      </c>
      <c r="F2628" s="16" t="s">
        <v>110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60</v>
      </c>
      <c r="C2629" s="9">
        <v>46266</v>
      </c>
      <c r="D2629">
        <v>40</v>
      </c>
      <c r="E2629" s="16" t="s">
        <v>131</v>
      </c>
      <c r="F2629" s="16" t="s">
        <v>110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60</v>
      </c>
      <c r="C2630" s="9">
        <v>45689</v>
      </c>
      <c r="D2630">
        <v>41</v>
      </c>
      <c r="E2630" s="16" t="s">
        <v>132</v>
      </c>
      <c r="F2630" s="16" t="s">
        <v>89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60</v>
      </c>
      <c r="C2631" s="9">
        <v>45717</v>
      </c>
      <c r="D2631">
        <v>41</v>
      </c>
      <c r="E2631" s="16" t="s">
        <v>132</v>
      </c>
      <c r="F2631" s="16" t="s">
        <v>89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60</v>
      </c>
      <c r="C2632" s="9">
        <v>45748</v>
      </c>
      <c r="D2632">
        <v>41</v>
      </c>
      <c r="E2632" s="16" t="s">
        <v>132</v>
      </c>
      <c r="F2632" s="16" t="s">
        <v>89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60</v>
      </c>
      <c r="C2633" s="9">
        <v>45778</v>
      </c>
      <c r="D2633">
        <v>41</v>
      </c>
      <c r="E2633" s="16" t="s">
        <v>132</v>
      </c>
      <c r="F2633" s="16" t="s">
        <v>89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60</v>
      </c>
      <c r="C2634" s="9">
        <v>45809</v>
      </c>
      <c r="D2634">
        <v>41</v>
      </c>
      <c r="E2634" s="16" t="s">
        <v>132</v>
      </c>
      <c r="F2634" s="16" t="s">
        <v>89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60</v>
      </c>
      <c r="C2635" s="9">
        <v>45839</v>
      </c>
      <c r="D2635">
        <v>41</v>
      </c>
      <c r="E2635" s="16" t="s">
        <v>132</v>
      </c>
      <c r="F2635" s="16" t="s">
        <v>89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60</v>
      </c>
      <c r="C2636" s="9">
        <v>45870</v>
      </c>
      <c r="D2636">
        <v>41</v>
      </c>
      <c r="E2636" s="16" t="s">
        <v>132</v>
      </c>
      <c r="F2636" s="16" t="s">
        <v>89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60</v>
      </c>
      <c r="C2637" s="9">
        <v>45901</v>
      </c>
      <c r="D2637">
        <v>41</v>
      </c>
      <c r="E2637" s="16" t="s">
        <v>132</v>
      </c>
      <c r="F2637" s="16" t="s">
        <v>89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60</v>
      </c>
      <c r="C2638" s="9">
        <v>45931</v>
      </c>
      <c r="D2638">
        <v>41</v>
      </c>
      <c r="E2638" s="16" t="s">
        <v>132</v>
      </c>
      <c r="F2638" s="16" t="s">
        <v>89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60</v>
      </c>
      <c r="C2639" s="9">
        <v>45962</v>
      </c>
      <c r="D2639">
        <v>41</v>
      </c>
      <c r="E2639" s="16" t="s">
        <v>132</v>
      </c>
      <c r="F2639" s="16" t="s">
        <v>89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60</v>
      </c>
      <c r="C2640" s="9">
        <v>45992</v>
      </c>
      <c r="D2640">
        <v>41</v>
      </c>
      <c r="E2640" s="16" t="s">
        <v>132</v>
      </c>
      <c r="F2640" s="16" t="s">
        <v>89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60</v>
      </c>
      <c r="C2641" s="9">
        <v>46023</v>
      </c>
      <c r="D2641">
        <v>41</v>
      </c>
      <c r="E2641" s="16" t="s">
        <v>132</v>
      </c>
      <c r="F2641" s="16" t="s">
        <v>89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60</v>
      </c>
      <c r="C2642" s="9">
        <v>46054</v>
      </c>
      <c r="D2642">
        <v>41</v>
      </c>
      <c r="E2642" s="16" t="s">
        <v>132</v>
      </c>
      <c r="F2642" s="16" t="s">
        <v>89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60</v>
      </c>
      <c r="C2643" s="9">
        <v>46082</v>
      </c>
      <c r="D2643">
        <v>41</v>
      </c>
      <c r="E2643" s="16" t="s">
        <v>132</v>
      </c>
      <c r="F2643" s="16" t="s">
        <v>89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60</v>
      </c>
      <c r="C2644" s="9">
        <v>46113</v>
      </c>
      <c r="D2644">
        <v>41</v>
      </c>
      <c r="E2644" s="16" t="s">
        <v>132</v>
      </c>
      <c r="F2644" s="16" t="s">
        <v>89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60</v>
      </c>
      <c r="C2645" s="9">
        <v>46143</v>
      </c>
      <c r="D2645">
        <v>41</v>
      </c>
      <c r="E2645" s="16" t="s">
        <v>132</v>
      </c>
      <c r="F2645" s="16" t="s">
        <v>89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60</v>
      </c>
      <c r="C2646" s="9">
        <v>46174</v>
      </c>
      <c r="D2646">
        <v>41</v>
      </c>
      <c r="E2646" s="16" t="s">
        <v>132</v>
      </c>
      <c r="F2646" s="16" t="s">
        <v>89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60</v>
      </c>
      <c r="C2647" s="9">
        <v>46204</v>
      </c>
      <c r="D2647">
        <v>41</v>
      </c>
      <c r="E2647" s="16" t="s">
        <v>132</v>
      </c>
      <c r="F2647" s="16" t="s">
        <v>89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60</v>
      </c>
      <c r="C2648" s="9">
        <v>46235</v>
      </c>
      <c r="D2648">
        <v>41</v>
      </c>
      <c r="E2648" s="16" t="s">
        <v>132</v>
      </c>
      <c r="F2648" s="16" t="s">
        <v>89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60</v>
      </c>
      <c r="C2649" s="9">
        <v>46266</v>
      </c>
      <c r="D2649">
        <v>41</v>
      </c>
      <c r="E2649" s="16" t="s">
        <v>132</v>
      </c>
      <c r="F2649" s="16" t="s">
        <v>89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60</v>
      </c>
      <c r="C2650" s="9">
        <v>45689</v>
      </c>
      <c r="D2650">
        <v>42</v>
      </c>
      <c r="E2650" s="16" t="s">
        <v>133</v>
      </c>
      <c r="F2650" s="16" t="s">
        <v>85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60</v>
      </c>
      <c r="C2651" s="9">
        <v>45717</v>
      </c>
      <c r="D2651">
        <v>42</v>
      </c>
      <c r="E2651" s="16" t="s">
        <v>133</v>
      </c>
      <c r="F2651" s="16" t="s">
        <v>85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60</v>
      </c>
      <c r="C2652" s="9">
        <v>45748</v>
      </c>
      <c r="D2652">
        <v>42</v>
      </c>
      <c r="E2652" s="16" t="s">
        <v>133</v>
      </c>
      <c r="F2652" s="16" t="s">
        <v>85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60</v>
      </c>
      <c r="C2653" s="9">
        <v>45778</v>
      </c>
      <c r="D2653">
        <v>42</v>
      </c>
      <c r="E2653" s="16" t="s">
        <v>133</v>
      </c>
      <c r="F2653" s="16" t="s">
        <v>85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60</v>
      </c>
      <c r="C2654" s="9">
        <v>45809</v>
      </c>
      <c r="D2654">
        <v>42</v>
      </c>
      <c r="E2654" s="16" t="s">
        <v>133</v>
      </c>
      <c r="F2654" s="16" t="s">
        <v>85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60</v>
      </c>
      <c r="C2655" s="9">
        <v>45839</v>
      </c>
      <c r="D2655">
        <v>42</v>
      </c>
      <c r="E2655" s="16" t="s">
        <v>133</v>
      </c>
      <c r="F2655" s="16" t="s">
        <v>85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60</v>
      </c>
      <c r="C2656" s="9">
        <v>45870</v>
      </c>
      <c r="D2656">
        <v>42</v>
      </c>
      <c r="E2656" s="16" t="s">
        <v>133</v>
      </c>
      <c r="F2656" s="16" t="s">
        <v>85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60</v>
      </c>
      <c r="C2657" s="9">
        <v>45901</v>
      </c>
      <c r="D2657">
        <v>42</v>
      </c>
      <c r="E2657" s="16" t="s">
        <v>133</v>
      </c>
      <c r="F2657" s="16" t="s">
        <v>85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60</v>
      </c>
      <c r="C2658" s="9">
        <v>45931</v>
      </c>
      <c r="D2658">
        <v>42</v>
      </c>
      <c r="E2658" s="16" t="s">
        <v>133</v>
      </c>
      <c r="F2658" s="16" t="s">
        <v>85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60</v>
      </c>
      <c r="C2659" s="9">
        <v>45962</v>
      </c>
      <c r="D2659">
        <v>42</v>
      </c>
      <c r="E2659" s="16" t="s">
        <v>133</v>
      </c>
      <c r="F2659" s="16" t="s">
        <v>85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60</v>
      </c>
      <c r="C2660" s="9">
        <v>45992</v>
      </c>
      <c r="D2660">
        <v>42</v>
      </c>
      <c r="E2660" s="16" t="s">
        <v>133</v>
      </c>
      <c r="F2660" s="16" t="s">
        <v>85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60</v>
      </c>
      <c r="C2661" s="9">
        <v>46023</v>
      </c>
      <c r="D2661">
        <v>42</v>
      </c>
      <c r="E2661" s="16" t="s">
        <v>133</v>
      </c>
      <c r="F2661" s="16" t="s">
        <v>85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60</v>
      </c>
      <c r="C2662" s="9">
        <v>46054</v>
      </c>
      <c r="D2662">
        <v>42</v>
      </c>
      <c r="E2662" s="16" t="s">
        <v>133</v>
      </c>
      <c r="F2662" s="16" t="s">
        <v>85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60</v>
      </c>
      <c r="C2663" s="9">
        <v>46082</v>
      </c>
      <c r="D2663">
        <v>42</v>
      </c>
      <c r="E2663" s="16" t="s">
        <v>133</v>
      </c>
      <c r="F2663" s="16" t="s">
        <v>85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60</v>
      </c>
      <c r="C2664" s="9">
        <v>46113</v>
      </c>
      <c r="D2664">
        <v>42</v>
      </c>
      <c r="E2664" s="16" t="s">
        <v>133</v>
      </c>
      <c r="F2664" s="16" t="s">
        <v>85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60</v>
      </c>
      <c r="C2665" s="9">
        <v>46143</v>
      </c>
      <c r="D2665">
        <v>42</v>
      </c>
      <c r="E2665" s="16" t="s">
        <v>133</v>
      </c>
      <c r="F2665" s="16" t="s">
        <v>85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60</v>
      </c>
      <c r="C2666" s="9">
        <v>46174</v>
      </c>
      <c r="D2666">
        <v>42</v>
      </c>
      <c r="E2666" s="16" t="s">
        <v>133</v>
      </c>
      <c r="F2666" s="16" t="s">
        <v>85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60</v>
      </c>
      <c r="C2667" s="9">
        <v>46204</v>
      </c>
      <c r="D2667">
        <v>42</v>
      </c>
      <c r="E2667" s="16" t="s">
        <v>133</v>
      </c>
      <c r="F2667" s="16" t="s">
        <v>85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60</v>
      </c>
      <c r="C2668" s="9">
        <v>46235</v>
      </c>
      <c r="D2668">
        <v>42</v>
      </c>
      <c r="E2668" s="16" t="s">
        <v>133</v>
      </c>
      <c r="F2668" s="16" t="s">
        <v>85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60</v>
      </c>
      <c r="C2669" s="9">
        <v>46266</v>
      </c>
      <c r="D2669">
        <v>42</v>
      </c>
      <c r="E2669" s="16" t="s">
        <v>133</v>
      </c>
      <c r="F2669" s="16" t="s">
        <v>85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60</v>
      </c>
      <c r="C2670" s="9">
        <v>45717</v>
      </c>
      <c r="D2670">
        <v>43</v>
      </c>
      <c r="E2670" s="16" t="s">
        <v>134</v>
      </c>
      <c r="F2670" s="16" t="s">
        <v>92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60</v>
      </c>
      <c r="C2671" s="9">
        <v>45748</v>
      </c>
      <c r="D2671">
        <v>43</v>
      </c>
      <c r="E2671" s="16" t="s">
        <v>134</v>
      </c>
      <c r="F2671" s="16" t="s">
        <v>92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60</v>
      </c>
      <c r="C2672" s="9">
        <v>45778</v>
      </c>
      <c r="D2672">
        <v>43</v>
      </c>
      <c r="E2672" s="16" t="s">
        <v>134</v>
      </c>
      <c r="F2672" s="16" t="s">
        <v>92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60</v>
      </c>
      <c r="C2673" s="9">
        <v>45809</v>
      </c>
      <c r="D2673">
        <v>43</v>
      </c>
      <c r="E2673" s="16" t="s">
        <v>134</v>
      </c>
      <c r="F2673" s="16" t="s">
        <v>92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60</v>
      </c>
      <c r="C2674" s="9">
        <v>45839</v>
      </c>
      <c r="D2674">
        <v>43</v>
      </c>
      <c r="E2674" s="16" t="s">
        <v>134</v>
      </c>
      <c r="F2674" s="16" t="s">
        <v>92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60</v>
      </c>
      <c r="C2675" s="9">
        <v>45901</v>
      </c>
      <c r="D2675">
        <v>43</v>
      </c>
      <c r="E2675" s="16" t="s">
        <v>134</v>
      </c>
      <c r="F2675" s="16" t="s">
        <v>92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60</v>
      </c>
      <c r="C2676" s="9">
        <v>45931</v>
      </c>
      <c r="D2676">
        <v>43</v>
      </c>
      <c r="E2676" s="16" t="s">
        <v>134</v>
      </c>
      <c r="F2676" s="16" t="s">
        <v>92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60</v>
      </c>
      <c r="C2677" s="9">
        <v>45962</v>
      </c>
      <c r="D2677">
        <v>43</v>
      </c>
      <c r="E2677" s="16" t="s">
        <v>134</v>
      </c>
      <c r="F2677" s="16" t="s">
        <v>92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60</v>
      </c>
      <c r="C2678" s="9">
        <v>45992</v>
      </c>
      <c r="D2678">
        <v>43</v>
      </c>
      <c r="E2678" s="16" t="s">
        <v>134</v>
      </c>
      <c r="F2678" s="16" t="s">
        <v>92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60</v>
      </c>
      <c r="C2679" s="9">
        <v>46023</v>
      </c>
      <c r="D2679">
        <v>43</v>
      </c>
      <c r="E2679" s="16" t="s">
        <v>134</v>
      </c>
      <c r="F2679" s="16" t="s">
        <v>92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60</v>
      </c>
      <c r="C2680" s="9">
        <v>46082</v>
      </c>
      <c r="D2680">
        <v>43</v>
      </c>
      <c r="E2680" s="16" t="s">
        <v>134</v>
      </c>
      <c r="F2680" s="16" t="s">
        <v>92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60</v>
      </c>
      <c r="C2681" s="9">
        <v>46113</v>
      </c>
      <c r="D2681">
        <v>43</v>
      </c>
      <c r="E2681" s="16" t="s">
        <v>134</v>
      </c>
      <c r="F2681" s="16" t="s">
        <v>92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60</v>
      </c>
      <c r="C2682" s="9">
        <v>46174</v>
      </c>
      <c r="D2682">
        <v>43</v>
      </c>
      <c r="E2682" s="16" t="s">
        <v>134</v>
      </c>
      <c r="F2682" s="16" t="s">
        <v>92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60</v>
      </c>
      <c r="C2683" s="9">
        <v>46204</v>
      </c>
      <c r="D2683">
        <v>43</v>
      </c>
      <c r="E2683" s="16" t="s">
        <v>134</v>
      </c>
      <c r="F2683" s="16" t="s">
        <v>92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60</v>
      </c>
      <c r="C2684" s="9">
        <v>46235</v>
      </c>
      <c r="D2684">
        <v>43</v>
      </c>
      <c r="E2684" s="16" t="s">
        <v>134</v>
      </c>
      <c r="F2684" s="16" t="s">
        <v>92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60</v>
      </c>
      <c r="C2685" s="9">
        <v>45689</v>
      </c>
      <c r="D2685">
        <v>44</v>
      </c>
      <c r="E2685" s="16" t="s">
        <v>135</v>
      </c>
      <c r="F2685" s="16" t="s">
        <v>92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60</v>
      </c>
      <c r="C2686" s="9">
        <v>45717</v>
      </c>
      <c r="D2686">
        <v>44</v>
      </c>
      <c r="E2686" s="16" t="s">
        <v>135</v>
      </c>
      <c r="F2686" s="16" t="s">
        <v>92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60</v>
      </c>
      <c r="C2687" s="9">
        <v>45748</v>
      </c>
      <c r="D2687">
        <v>44</v>
      </c>
      <c r="E2687" s="16" t="s">
        <v>135</v>
      </c>
      <c r="F2687" s="16" t="s">
        <v>92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60</v>
      </c>
      <c r="C2688" s="9">
        <v>45778</v>
      </c>
      <c r="D2688">
        <v>44</v>
      </c>
      <c r="E2688" s="16" t="s">
        <v>135</v>
      </c>
      <c r="F2688" s="16" t="s">
        <v>92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60</v>
      </c>
      <c r="C2689" s="9">
        <v>45809</v>
      </c>
      <c r="D2689">
        <v>44</v>
      </c>
      <c r="E2689" s="16" t="s">
        <v>135</v>
      </c>
      <c r="F2689" s="16" t="s">
        <v>92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60</v>
      </c>
      <c r="C2690" s="9">
        <v>45839</v>
      </c>
      <c r="D2690">
        <v>44</v>
      </c>
      <c r="E2690" s="16" t="s">
        <v>135</v>
      </c>
      <c r="F2690" s="16" t="s">
        <v>92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60</v>
      </c>
      <c r="C2691" s="9">
        <v>45870</v>
      </c>
      <c r="D2691">
        <v>44</v>
      </c>
      <c r="E2691" s="16" t="s">
        <v>135</v>
      </c>
      <c r="F2691" s="16" t="s">
        <v>92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60</v>
      </c>
      <c r="C2692" s="9">
        <v>45901</v>
      </c>
      <c r="D2692">
        <v>44</v>
      </c>
      <c r="E2692" s="16" t="s">
        <v>135</v>
      </c>
      <c r="F2692" s="16" t="s">
        <v>92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60</v>
      </c>
      <c r="C2693" s="9">
        <v>45931</v>
      </c>
      <c r="D2693">
        <v>44</v>
      </c>
      <c r="E2693" s="16" t="s">
        <v>135</v>
      </c>
      <c r="F2693" s="16" t="s">
        <v>92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60</v>
      </c>
      <c r="C2694" s="9">
        <v>45962</v>
      </c>
      <c r="D2694">
        <v>44</v>
      </c>
      <c r="E2694" s="16" t="s">
        <v>135</v>
      </c>
      <c r="F2694" s="16" t="s">
        <v>92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60</v>
      </c>
      <c r="C2695" s="9">
        <v>45992</v>
      </c>
      <c r="D2695">
        <v>44</v>
      </c>
      <c r="E2695" s="16" t="s">
        <v>135</v>
      </c>
      <c r="F2695" s="16" t="s">
        <v>92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60</v>
      </c>
      <c r="C2696" s="9">
        <v>46023</v>
      </c>
      <c r="D2696">
        <v>44</v>
      </c>
      <c r="E2696" s="16" t="s">
        <v>135</v>
      </c>
      <c r="F2696" s="16" t="s">
        <v>92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60</v>
      </c>
      <c r="C2697" s="9">
        <v>46054</v>
      </c>
      <c r="D2697">
        <v>44</v>
      </c>
      <c r="E2697" s="16" t="s">
        <v>135</v>
      </c>
      <c r="F2697" s="16" t="s">
        <v>92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60</v>
      </c>
      <c r="C2698" s="9">
        <v>46082</v>
      </c>
      <c r="D2698">
        <v>44</v>
      </c>
      <c r="E2698" s="16" t="s">
        <v>135</v>
      </c>
      <c r="F2698" s="16" t="s">
        <v>92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60</v>
      </c>
      <c r="C2699" s="9">
        <v>46113</v>
      </c>
      <c r="D2699">
        <v>44</v>
      </c>
      <c r="E2699" s="16" t="s">
        <v>135</v>
      </c>
      <c r="F2699" s="16" t="s">
        <v>92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60</v>
      </c>
      <c r="C2700" s="9">
        <v>46143</v>
      </c>
      <c r="D2700">
        <v>44</v>
      </c>
      <c r="E2700" s="16" t="s">
        <v>135</v>
      </c>
      <c r="F2700" s="16" t="s">
        <v>92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60</v>
      </c>
      <c r="C2701" s="9">
        <v>46174</v>
      </c>
      <c r="D2701">
        <v>44</v>
      </c>
      <c r="E2701" s="16" t="s">
        <v>135</v>
      </c>
      <c r="F2701" s="16" t="s">
        <v>92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60</v>
      </c>
      <c r="C2702" s="9">
        <v>46204</v>
      </c>
      <c r="D2702">
        <v>44</v>
      </c>
      <c r="E2702" s="16" t="s">
        <v>135</v>
      </c>
      <c r="F2702" s="16" t="s">
        <v>92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60</v>
      </c>
      <c r="C2703" s="9">
        <v>46235</v>
      </c>
      <c r="D2703">
        <v>44</v>
      </c>
      <c r="E2703" s="16" t="s">
        <v>135</v>
      </c>
      <c r="F2703" s="16" t="s">
        <v>92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60</v>
      </c>
      <c r="C2704" s="9">
        <v>46266</v>
      </c>
      <c r="D2704">
        <v>44</v>
      </c>
      <c r="E2704" s="16" t="s">
        <v>135</v>
      </c>
      <c r="F2704" s="16" t="s">
        <v>92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60</v>
      </c>
      <c r="C2705" s="9">
        <v>45689</v>
      </c>
      <c r="D2705">
        <v>45</v>
      </c>
      <c r="E2705" s="16" t="s">
        <v>136</v>
      </c>
      <c r="F2705" s="16" t="s">
        <v>85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60</v>
      </c>
      <c r="C2706" s="9">
        <v>45717</v>
      </c>
      <c r="D2706">
        <v>45</v>
      </c>
      <c r="E2706" s="16" t="s">
        <v>136</v>
      </c>
      <c r="F2706" s="16" t="s">
        <v>85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60</v>
      </c>
      <c r="C2707" s="9">
        <v>45748</v>
      </c>
      <c r="D2707">
        <v>45</v>
      </c>
      <c r="E2707" s="16" t="s">
        <v>136</v>
      </c>
      <c r="F2707" s="16" t="s">
        <v>85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60</v>
      </c>
      <c r="C2708" s="9">
        <v>45778</v>
      </c>
      <c r="D2708">
        <v>45</v>
      </c>
      <c r="E2708" s="16" t="s">
        <v>136</v>
      </c>
      <c r="F2708" s="16" t="s">
        <v>85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60</v>
      </c>
      <c r="C2709" s="9">
        <v>45809</v>
      </c>
      <c r="D2709">
        <v>45</v>
      </c>
      <c r="E2709" s="16" t="s">
        <v>136</v>
      </c>
      <c r="F2709" s="16" t="s">
        <v>85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60</v>
      </c>
      <c r="C2710" s="9">
        <v>45839</v>
      </c>
      <c r="D2710">
        <v>45</v>
      </c>
      <c r="E2710" s="16" t="s">
        <v>136</v>
      </c>
      <c r="F2710" s="16" t="s">
        <v>85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60</v>
      </c>
      <c r="C2711" s="9">
        <v>45870</v>
      </c>
      <c r="D2711">
        <v>45</v>
      </c>
      <c r="E2711" s="16" t="s">
        <v>136</v>
      </c>
      <c r="F2711" s="16" t="s">
        <v>85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60</v>
      </c>
      <c r="C2712" s="9">
        <v>45901</v>
      </c>
      <c r="D2712">
        <v>45</v>
      </c>
      <c r="E2712" s="16" t="s">
        <v>136</v>
      </c>
      <c r="F2712" s="16" t="s">
        <v>85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60</v>
      </c>
      <c r="C2713" s="9">
        <v>45931</v>
      </c>
      <c r="D2713">
        <v>45</v>
      </c>
      <c r="E2713" s="16" t="s">
        <v>136</v>
      </c>
      <c r="F2713" s="16" t="s">
        <v>85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60</v>
      </c>
      <c r="C2714" s="9">
        <v>45962</v>
      </c>
      <c r="D2714">
        <v>45</v>
      </c>
      <c r="E2714" s="16" t="s">
        <v>136</v>
      </c>
      <c r="F2714" s="16" t="s">
        <v>85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60</v>
      </c>
      <c r="C2715" s="9">
        <v>45992</v>
      </c>
      <c r="D2715">
        <v>45</v>
      </c>
      <c r="E2715" s="16" t="s">
        <v>136</v>
      </c>
      <c r="F2715" s="16" t="s">
        <v>85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60</v>
      </c>
      <c r="C2716" s="9">
        <v>46023</v>
      </c>
      <c r="D2716">
        <v>45</v>
      </c>
      <c r="E2716" s="16" t="s">
        <v>136</v>
      </c>
      <c r="F2716" s="16" t="s">
        <v>85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60</v>
      </c>
      <c r="C2717" s="9">
        <v>46054</v>
      </c>
      <c r="D2717">
        <v>45</v>
      </c>
      <c r="E2717" s="16" t="s">
        <v>136</v>
      </c>
      <c r="F2717" s="16" t="s">
        <v>85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60</v>
      </c>
      <c r="C2718" s="9">
        <v>46082</v>
      </c>
      <c r="D2718">
        <v>45</v>
      </c>
      <c r="E2718" s="16" t="s">
        <v>136</v>
      </c>
      <c r="F2718" s="16" t="s">
        <v>85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60</v>
      </c>
      <c r="C2719" s="9">
        <v>46113</v>
      </c>
      <c r="D2719">
        <v>45</v>
      </c>
      <c r="E2719" s="16" t="s">
        <v>136</v>
      </c>
      <c r="F2719" s="16" t="s">
        <v>85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60</v>
      </c>
      <c r="C2720" s="9">
        <v>46143</v>
      </c>
      <c r="D2720">
        <v>45</v>
      </c>
      <c r="E2720" s="16" t="s">
        <v>136</v>
      </c>
      <c r="F2720" s="16" t="s">
        <v>85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60</v>
      </c>
      <c r="C2721" s="9">
        <v>46174</v>
      </c>
      <c r="D2721">
        <v>45</v>
      </c>
      <c r="E2721" s="16" t="s">
        <v>136</v>
      </c>
      <c r="F2721" s="16" t="s">
        <v>85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60</v>
      </c>
      <c r="C2722" s="9">
        <v>46204</v>
      </c>
      <c r="D2722">
        <v>45</v>
      </c>
      <c r="E2722" s="16" t="s">
        <v>136</v>
      </c>
      <c r="F2722" s="16" t="s">
        <v>85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60</v>
      </c>
      <c r="C2723" s="9">
        <v>46235</v>
      </c>
      <c r="D2723">
        <v>45</v>
      </c>
      <c r="E2723" s="16" t="s">
        <v>136</v>
      </c>
      <c r="F2723" s="16" t="s">
        <v>85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60</v>
      </c>
      <c r="C2724" s="9">
        <v>46266</v>
      </c>
      <c r="D2724">
        <v>45</v>
      </c>
      <c r="E2724" s="16" t="s">
        <v>136</v>
      </c>
      <c r="F2724" s="16" t="s">
        <v>85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60</v>
      </c>
      <c r="C2725" s="9">
        <v>45689</v>
      </c>
      <c r="D2725">
        <v>46</v>
      </c>
      <c r="E2725" s="16" t="s">
        <v>137</v>
      </c>
      <c r="F2725" s="16" t="s">
        <v>110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60</v>
      </c>
      <c r="C2726" s="9">
        <v>45717</v>
      </c>
      <c r="D2726">
        <v>46</v>
      </c>
      <c r="E2726" s="16" t="s">
        <v>137</v>
      </c>
      <c r="F2726" s="16" t="s">
        <v>110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60</v>
      </c>
      <c r="C2727" s="9">
        <v>45748</v>
      </c>
      <c r="D2727">
        <v>46</v>
      </c>
      <c r="E2727" s="16" t="s">
        <v>137</v>
      </c>
      <c r="F2727" s="16" t="s">
        <v>110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60</v>
      </c>
      <c r="C2728" s="9">
        <v>45778</v>
      </c>
      <c r="D2728">
        <v>46</v>
      </c>
      <c r="E2728" s="16" t="s">
        <v>137</v>
      </c>
      <c r="F2728" s="16" t="s">
        <v>110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60</v>
      </c>
      <c r="C2729" s="9">
        <v>45809</v>
      </c>
      <c r="D2729">
        <v>46</v>
      </c>
      <c r="E2729" s="16" t="s">
        <v>137</v>
      </c>
      <c r="F2729" s="16" t="s">
        <v>110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60</v>
      </c>
      <c r="C2730" s="9">
        <v>45839</v>
      </c>
      <c r="D2730">
        <v>46</v>
      </c>
      <c r="E2730" s="16" t="s">
        <v>137</v>
      </c>
      <c r="F2730" s="16" t="s">
        <v>110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60</v>
      </c>
      <c r="C2731" s="9">
        <v>45870</v>
      </c>
      <c r="D2731">
        <v>46</v>
      </c>
      <c r="E2731" s="16" t="s">
        <v>137</v>
      </c>
      <c r="F2731" s="16" t="s">
        <v>110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60</v>
      </c>
      <c r="C2732" s="9">
        <v>45901</v>
      </c>
      <c r="D2732">
        <v>46</v>
      </c>
      <c r="E2732" s="16" t="s">
        <v>137</v>
      </c>
      <c r="F2732" s="16" t="s">
        <v>110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60</v>
      </c>
      <c r="C2733" s="9">
        <v>45931</v>
      </c>
      <c r="D2733">
        <v>46</v>
      </c>
      <c r="E2733" s="16" t="s">
        <v>137</v>
      </c>
      <c r="F2733" s="16" t="s">
        <v>110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60</v>
      </c>
      <c r="C2734" s="9">
        <v>45962</v>
      </c>
      <c r="D2734">
        <v>46</v>
      </c>
      <c r="E2734" s="16" t="s">
        <v>137</v>
      </c>
      <c r="F2734" s="16" t="s">
        <v>110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60</v>
      </c>
      <c r="C2735" s="9">
        <v>45992</v>
      </c>
      <c r="D2735">
        <v>46</v>
      </c>
      <c r="E2735" s="16" t="s">
        <v>137</v>
      </c>
      <c r="F2735" s="16" t="s">
        <v>110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60</v>
      </c>
      <c r="C2736" s="9">
        <v>46023</v>
      </c>
      <c r="D2736">
        <v>46</v>
      </c>
      <c r="E2736" s="16" t="s">
        <v>137</v>
      </c>
      <c r="F2736" s="16" t="s">
        <v>110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60</v>
      </c>
      <c r="C2737" s="9">
        <v>46054</v>
      </c>
      <c r="D2737">
        <v>46</v>
      </c>
      <c r="E2737" s="16" t="s">
        <v>137</v>
      </c>
      <c r="F2737" s="16" t="s">
        <v>110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60</v>
      </c>
      <c r="C2738" s="9">
        <v>46082</v>
      </c>
      <c r="D2738">
        <v>46</v>
      </c>
      <c r="E2738" s="16" t="s">
        <v>137</v>
      </c>
      <c r="F2738" s="16" t="s">
        <v>110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60</v>
      </c>
      <c r="C2739" s="9">
        <v>46113</v>
      </c>
      <c r="D2739">
        <v>46</v>
      </c>
      <c r="E2739" s="16" t="s">
        <v>137</v>
      </c>
      <c r="F2739" s="16" t="s">
        <v>110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60</v>
      </c>
      <c r="C2740" s="9">
        <v>46143</v>
      </c>
      <c r="D2740">
        <v>46</v>
      </c>
      <c r="E2740" s="16" t="s">
        <v>137</v>
      </c>
      <c r="F2740" s="16" t="s">
        <v>110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60</v>
      </c>
      <c r="C2741" s="9">
        <v>46174</v>
      </c>
      <c r="D2741">
        <v>46</v>
      </c>
      <c r="E2741" s="16" t="s">
        <v>137</v>
      </c>
      <c r="F2741" s="16" t="s">
        <v>110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60</v>
      </c>
      <c r="C2742" s="9">
        <v>46204</v>
      </c>
      <c r="D2742">
        <v>46</v>
      </c>
      <c r="E2742" s="16" t="s">
        <v>137</v>
      </c>
      <c r="F2742" s="16" t="s">
        <v>110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60</v>
      </c>
      <c r="C2743" s="9">
        <v>46235</v>
      </c>
      <c r="D2743">
        <v>46</v>
      </c>
      <c r="E2743" s="16" t="s">
        <v>137</v>
      </c>
      <c r="F2743" s="16" t="s">
        <v>110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60</v>
      </c>
      <c r="C2744" s="9">
        <v>46266</v>
      </c>
      <c r="D2744">
        <v>46</v>
      </c>
      <c r="E2744" s="16" t="s">
        <v>137</v>
      </c>
      <c r="F2744" s="16" t="s">
        <v>110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60</v>
      </c>
      <c r="C2745" s="9">
        <v>45689</v>
      </c>
      <c r="D2745">
        <v>47</v>
      </c>
      <c r="E2745" s="16" t="s">
        <v>138</v>
      </c>
      <c r="F2745" s="16" t="s">
        <v>94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60</v>
      </c>
      <c r="C2746" s="9">
        <v>45717</v>
      </c>
      <c r="D2746">
        <v>47</v>
      </c>
      <c r="E2746" s="16" t="s">
        <v>138</v>
      </c>
      <c r="F2746" s="16" t="s">
        <v>94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60</v>
      </c>
      <c r="C2747" s="9">
        <v>45748</v>
      </c>
      <c r="D2747">
        <v>47</v>
      </c>
      <c r="E2747" s="16" t="s">
        <v>138</v>
      </c>
      <c r="F2747" s="16" t="s">
        <v>94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60</v>
      </c>
      <c r="C2748" s="9">
        <v>45778</v>
      </c>
      <c r="D2748">
        <v>47</v>
      </c>
      <c r="E2748" s="16" t="s">
        <v>138</v>
      </c>
      <c r="F2748" s="16" t="s">
        <v>94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60</v>
      </c>
      <c r="C2749" s="9">
        <v>45809</v>
      </c>
      <c r="D2749">
        <v>47</v>
      </c>
      <c r="E2749" s="16" t="s">
        <v>138</v>
      </c>
      <c r="F2749" s="16" t="s">
        <v>94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60</v>
      </c>
      <c r="C2750" s="9">
        <v>45839</v>
      </c>
      <c r="D2750">
        <v>47</v>
      </c>
      <c r="E2750" s="16" t="s">
        <v>138</v>
      </c>
      <c r="F2750" s="16" t="s">
        <v>94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60</v>
      </c>
      <c r="C2751" s="9">
        <v>45870</v>
      </c>
      <c r="D2751">
        <v>47</v>
      </c>
      <c r="E2751" s="16" t="s">
        <v>138</v>
      </c>
      <c r="F2751" s="16" t="s">
        <v>94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60</v>
      </c>
      <c r="C2752" s="9">
        <v>45901</v>
      </c>
      <c r="D2752">
        <v>47</v>
      </c>
      <c r="E2752" s="16" t="s">
        <v>138</v>
      </c>
      <c r="F2752" s="16" t="s">
        <v>94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60</v>
      </c>
      <c r="C2753" s="9">
        <v>45931</v>
      </c>
      <c r="D2753">
        <v>47</v>
      </c>
      <c r="E2753" s="16" t="s">
        <v>138</v>
      </c>
      <c r="F2753" s="16" t="s">
        <v>94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60</v>
      </c>
      <c r="C2754" s="9">
        <v>45962</v>
      </c>
      <c r="D2754">
        <v>47</v>
      </c>
      <c r="E2754" s="16" t="s">
        <v>138</v>
      </c>
      <c r="F2754" s="16" t="s">
        <v>94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60</v>
      </c>
      <c r="C2755" s="9">
        <v>45992</v>
      </c>
      <c r="D2755">
        <v>47</v>
      </c>
      <c r="E2755" s="16" t="s">
        <v>138</v>
      </c>
      <c r="F2755" s="16" t="s">
        <v>94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60</v>
      </c>
      <c r="C2756" s="9">
        <v>46023</v>
      </c>
      <c r="D2756">
        <v>47</v>
      </c>
      <c r="E2756" s="16" t="s">
        <v>138</v>
      </c>
      <c r="F2756" s="16" t="s">
        <v>94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60</v>
      </c>
      <c r="C2757" s="9">
        <v>46054</v>
      </c>
      <c r="D2757">
        <v>47</v>
      </c>
      <c r="E2757" s="16" t="s">
        <v>138</v>
      </c>
      <c r="F2757" s="16" t="s">
        <v>94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60</v>
      </c>
      <c r="C2758" s="9">
        <v>46082</v>
      </c>
      <c r="D2758">
        <v>47</v>
      </c>
      <c r="E2758" s="16" t="s">
        <v>138</v>
      </c>
      <c r="F2758" s="16" t="s">
        <v>94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60</v>
      </c>
      <c r="C2759" s="9">
        <v>46113</v>
      </c>
      <c r="D2759">
        <v>47</v>
      </c>
      <c r="E2759" s="16" t="s">
        <v>138</v>
      </c>
      <c r="F2759" s="16" t="s">
        <v>94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60</v>
      </c>
      <c r="C2760" s="9">
        <v>46143</v>
      </c>
      <c r="D2760">
        <v>47</v>
      </c>
      <c r="E2760" s="16" t="s">
        <v>138</v>
      </c>
      <c r="F2760" s="16" t="s">
        <v>94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60</v>
      </c>
      <c r="C2761" s="9">
        <v>46174</v>
      </c>
      <c r="D2761">
        <v>47</v>
      </c>
      <c r="E2761" s="16" t="s">
        <v>138</v>
      </c>
      <c r="F2761" s="16" t="s">
        <v>94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60</v>
      </c>
      <c r="C2762" s="9">
        <v>46204</v>
      </c>
      <c r="D2762">
        <v>47</v>
      </c>
      <c r="E2762" s="16" t="s">
        <v>138</v>
      </c>
      <c r="F2762" s="16" t="s">
        <v>94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60</v>
      </c>
      <c r="C2763" s="9">
        <v>46235</v>
      </c>
      <c r="D2763">
        <v>47</v>
      </c>
      <c r="E2763" s="16" t="s">
        <v>138</v>
      </c>
      <c r="F2763" s="16" t="s">
        <v>94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60</v>
      </c>
      <c r="C2764" s="9">
        <v>46266</v>
      </c>
      <c r="D2764">
        <v>47</v>
      </c>
      <c r="E2764" s="16" t="s">
        <v>138</v>
      </c>
      <c r="F2764" s="16" t="s">
        <v>94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60</v>
      </c>
      <c r="C2765" s="9">
        <v>45689</v>
      </c>
      <c r="D2765">
        <v>48</v>
      </c>
      <c r="E2765" s="16" t="s">
        <v>139</v>
      </c>
      <c r="F2765" s="16" t="s">
        <v>140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60</v>
      </c>
      <c r="C2766" s="9">
        <v>45717</v>
      </c>
      <c r="D2766">
        <v>48</v>
      </c>
      <c r="E2766" s="16" t="s">
        <v>139</v>
      </c>
      <c r="F2766" s="16" t="s">
        <v>140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60</v>
      </c>
      <c r="C2767" s="9">
        <v>45748</v>
      </c>
      <c r="D2767">
        <v>48</v>
      </c>
      <c r="E2767" s="16" t="s">
        <v>139</v>
      </c>
      <c r="F2767" s="16" t="s">
        <v>140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60</v>
      </c>
      <c r="C2768" s="9">
        <v>45778</v>
      </c>
      <c r="D2768">
        <v>48</v>
      </c>
      <c r="E2768" s="16" t="s">
        <v>139</v>
      </c>
      <c r="F2768" s="16" t="s">
        <v>140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60</v>
      </c>
      <c r="C2769" s="9">
        <v>45809</v>
      </c>
      <c r="D2769">
        <v>48</v>
      </c>
      <c r="E2769" s="16" t="s">
        <v>139</v>
      </c>
      <c r="F2769" s="16" t="s">
        <v>140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60</v>
      </c>
      <c r="C2770" s="9">
        <v>45839</v>
      </c>
      <c r="D2770">
        <v>48</v>
      </c>
      <c r="E2770" s="16" t="s">
        <v>139</v>
      </c>
      <c r="F2770" s="16" t="s">
        <v>140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60</v>
      </c>
      <c r="C2771" s="9">
        <v>45870</v>
      </c>
      <c r="D2771">
        <v>48</v>
      </c>
      <c r="E2771" s="16" t="s">
        <v>139</v>
      </c>
      <c r="F2771" s="16" t="s">
        <v>140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60</v>
      </c>
      <c r="C2772" s="9">
        <v>45901</v>
      </c>
      <c r="D2772">
        <v>48</v>
      </c>
      <c r="E2772" s="16" t="s">
        <v>139</v>
      </c>
      <c r="F2772" s="16" t="s">
        <v>140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60</v>
      </c>
      <c r="C2773" s="9">
        <v>45931</v>
      </c>
      <c r="D2773">
        <v>48</v>
      </c>
      <c r="E2773" s="16" t="s">
        <v>139</v>
      </c>
      <c r="F2773" s="16" t="s">
        <v>140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60</v>
      </c>
      <c r="C2774" s="9">
        <v>45962</v>
      </c>
      <c r="D2774">
        <v>48</v>
      </c>
      <c r="E2774" s="16" t="s">
        <v>139</v>
      </c>
      <c r="F2774" s="16" t="s">
        <v>140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60</v>
      </c>
      <c r="C2775" s="9">
        <v>45992</v>
      </c>
      <c r="D2775">
        <v>48</v>
      </c>
      <c r="E2775" s="16" t="s">
        <v>139</v>
      </c>
      <c r="F2775" s="16" t="s">
        <v>140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60</v>
      </c>
      <c r="C2776" s="9">
        <v>46023</v>
      </c>
      <c r="D2776">
        <v>48</v>
      </c>
      <c r="E2776" s="16" t="s">
        <v>139</v>
      </c>
      <c r="F2776" s="16" t="s">
        <v>140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60</v>
      </c>
      <c r="C2777" s="9">
        <v>46054</v>
      </c>
      <c r="D2777">
        <v>48</v>
      </c>
      <c r="E2777" s="16" t="s">
        <v>139</v>
      </c>
      <c r="F2777" s="16" t="s">
        <v>140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60</v>
      </c>
      <c r="C2778" s="9">
        <v>46082</v>
      </c>
      <c r="D2778">
        <v>48</v>
      </c>
      <c r="E2778" s="16" t="s">
        <v>139</v>
      </c>
      <c r="F2778" s="16" t="s">
        <v>140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60</v>
      </c>
      <c r="C2779" s="9">
        <v>46113</v>
      </c>
      <c r="D2779">
        <v>48</v>
      </c>
      <c r="E2779" s="16" t="s">
        <v>139</v>
      </c>
      <c r="F2779" s="16" t="s">
        <v>140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60</v>
      </c>
      <c r="C2780" s="9">
        <v>46143</v>
      </c>
      <c r="D2780">
        <v>48</v>
      </c>
      <c r="E2780" s="16" t="s">
        <v>139</v>
      </c>
      <c r="F2780" s="16" t="s">
        <v>140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60</v>
      </c>
      <c r="C2781" s="9">
        <v>46174</v>
      </c>
      <c r="D2781">
        <v>48</v>
      </c>
      <c r="E2781" s="16" t="s">
        <v>139</v>
      </c>
      <c r="F2781" s="16" t="s">
        <v>140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60</v>
      </c>
      <c r="C2782" s="9">
        <v>46204</v>
      </c>
      <c r="D2782">
        <v>48</v>
      </c>
      <c r="E2782" s="16" t="s">
        <v>139</v>
      </c>
      <c r="F2782" s="16" t="s">
        <v>140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60</v>
      </c>
      <c r="C2783" s="9">
        <v>46235</v>
      </c>
      <c r="D2783">
        <v>48</v>
      </c>
      <c r="E2783" s="16" t="s">
        <v>139</v>
      </c>
      <c r="F2783" s="16" t="s">
        <v>140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60</v>
      </c>
      <c r="C2784" s="9">
        <v>46266</v>
      </c>
      <c r="D2784">
        <v>48</v>
      </c>
      <c r="E2784" s="16" t="s">
        <v>139</v>
      </c>
      <c r="F2784" s="16" t="s">
        <v>140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60</v>
      </c>
      <c r="C2785" s="9">
        <v>45689</v>
      </c>
      <c r="D2785">
        <v>49</v>
      </c>
      <c r="E2785" s="16" t="s">
        <v>141</v>
      </c>
      <c r="F2785" s="16" t="s">
        <v>140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60</v>
      </c>
      <c r="C2786" s="9">
        <v>45717</v>
      </c>
      <c r="D2786">
        <v>49</v>
      </c>
      <c r="E2786" s="16" t="s">
        <v>141</v>
      </c>
      <c r="F2786" s="16" t="s">
        <v>140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60</v>
      </c>
      <c r="C2787" s="9">
        <v>45748</v>
      </c>
      <c r="D2787">
        <v>49</v>
      </c>
      <c r="E2787" s="16" t="s">
        <v>141</v>
      </c>
      <c r="F2787" s="16" t="s">
        <v>140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60</v>
      </c>
      <c r="C2788" s="9">
        <v>45778</v>
      </c>
      <c r="D2788">
        <v>49</v>
      </c>
      <c r="E2788" s="16" t="s">
        <v>141</v>
      </c>
      <c r="F2788" s="16" t="s">
        <v>140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60</v>
      </c>
      <c r="C2789" s="9">
        <v>45809</v>
      </c>
      <c r="D2789">
        <v>49</v>
      </c>
      <c r="E2789" s="16" t="s">
        <v>141</v>
      </c>
      <c r="F2789" s="16" t="s">
        <v>140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60</v>
      </c>
      <c r="C2790" s="9">
        <v>45839</v>
      </c>
      <c r="D2790">
        <v>49</v>
      </c>
      <c r="E2790" s="16" t="s">
        <v>141</v>
      </c>
      <c r="F2790" s="16" t="s">
        <v>140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60</v>
      </c>
      <c r="C2791" s="9">
        <v>45870</v>
      </c>
      <c r="D2791">
        <v>49</v>
      </c>
      <c r="E2791" s="16" t="s">
        <v>141</v>
      </c>
      <c r="F2791" s="16" t="s">
        <v>140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60</v>
      </c>
      <c r="C2792" s="9">
        <v>45901</v>
      </c>
      <c r="D2792">
        <v>49</v>
      </c>
      <c r="E2792" s="16" t="s">
        <v>141</v>
      </c>
      <c r="F2792" s="16" t="s">
        <v>140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60</v>
      </c>
      <c r="C2793" s="9">
        <v>45931</v>
      </c>
      <c r="D2793">
        <v>49</v>
      </c>
      <c r="E2793" s="16" t="s">
        <v>141</v>
      </c>
      <c r="F2793" s="16" t="s">
        <v>140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60</v>
      </c>
      <c r="C2794" s="9">
        <v>45962</v>
      </c>
      <c r="D2794">
        <v>49</v>
      </c>
      <c r="E2794" s="16" t="s">
        <v>141</v>
      </c>
      <c r="F2794" s="16" t="s">
        <v>140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60</v>
      </c>
      <c r="C2795" s="9">
        <v>45992</v>
      </c>
      <c r="D2795">
        <v>49</v>
      </c>
      <c r="E2795" s="16" t="s">
        <v>141</v>
      </c>
      <c r="F2795" s="16" t="s">
        <v>140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60</v>
      </c>
      <c r="C2796" s="9">
        <v>46023</v>
      </c>
      <c r="D2796">
        <v>49</v>
      </c>
      <c r="E2796" s="16" t="s">
        <v>141</v>
      </c>
      <c r="F2796" s="16" t="s">
        <v>140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60</v>
      </c>
      <c r="C2797" s="9">
        <v>46054</v>
      </c>
      <c r="D2797">
        <v>49</v>
      </c>
      <c r="E2797" s="16" t="s">
        <v>141</v>
      </c>
      <c r="F2797" s="16" t="s">
        <v>140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60</v>
      </c>
      <c r="C2798" s="9">
        <v>46082</v>
      </c>
      <c r="D2798">
        <v>49</v>
      </c>
      <c r="E2798" s="16" t="s">
        <v>141</v>
      </c>
      <c r="F2798" s="16" t="s">
        <v>140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60</v>
      </c>
      <c r="C2799" s="9">
        <v>46113</v>
      </c>
      <c r="D2799">
        <v>49</v>
      </c>
      <c r="E2799" s="16" t="s">
        <v>141</v>
      </c>
      <c r="F2799" s="16" t="s">
        <v>140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60</v>
      </c>
      <c r="C2800" s="9">
        <v>46143</v>
      </c>
      <c r="D2800">
        <v>49</v>
      </c>
      <c r="E2800" s="16" t="s">
        <v>141</v>
      </c>
      <c r="F2800" s="16" t="s">
        <v>140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60</v>
      </c>
      <c r="C2801" s="9">
        <v>46174</v>
      </c>
      <c r="D2801">
        <v>49</v>
      </c>
      <c r="E2801" s="16" t="s">
        <v>141</v>
      </c>
      <c r="F2801" s="16" t="s">
        <v>140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60</v>
      </c>
      <c r="C2802" s="9">
        <v>46204</v>
      </c>
      <c r="D2802">
        <v>49</v>
      </c>
      <c r="E2802" s="16" t="s">
        <v>141</v>
      </c>
      <c r="F2802" s="16" t="s">
        <v>140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60</v>
      </c>
      <c r="C2803" s="9">
        <v>46235</v>
      </c>
      <c r="D2803">
        <v>49</v>
      </c>
      <c r="E2803" s="16" t="s">
        <v>141</v>
      </c>
      <c r="F2803" s="16" t="s">
        <v>140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60</v>
      </c>
      <c r="C2804" s="9">
        <v>46266</v>
      </c>
      <c r="D2804">
        <v>49</v>
      </c>
      <c r="E2804" s="16" t="s">
        <v>141</v>
      </c>
      <c r="F2804" s="16" t="s">
        <v>140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60</v>
      </c>
      <c r="C2805" s="9">
        <v>45689</v>
      </c>
      <c r="D2805">
        <v>50</v>
      </c>
      <c r="E2805" s="16" t="s">
        <v>142</v>
      </c>
      <c r="F2805" s="16" t="s">
        <v>140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60</v>
      </c>
      <c r="C2806" s="9">
        <v>45717</v>
      </c>
      <c r="D2806">
        <v>50</v>
      </c>
      <c r="E2806" s="16" t="s">
        <v>142</v>
      </c>
      <c r="F2806" s="16" t="s">
        <v>140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60</v>
      </c>
      <c r="C2807" s="9">
        <v>45748</v>
      </c>
      <c r="D2807">
        <v>50</v>
      </c>
      <c r="E2807" s="16" t="s">
        <v>142</v>
      </c>
      <c r="F2807" s="16" t="s">
        <v>140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60</v>
      </c>
      <c r="C2808" s="9">
        <v>45778</v>
      </c>
      <c r="D2808">
        <v>50</v>
      </c>
      <c r="E2808" s="16" t="s">
        <v>142</v>
      </c>
      <c r="F2808" s="16" t="s">
        <v>140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60</v>
      </c>
      <c r="C2809" s="9">
        <v>45809</v>
      </c>
      <c r="D2809">
        <v>50</v>
      </c>
      <c r="E2809" s="16" t="s">
        <v>142</v>
      </c>
      <c r="F2809" s="16" t="s">
        <v>140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60</v>
      </c>
      <c r="C2810" s="9">
        <v>45839</v>
      </c>
      <c r="D2810">
        <v>50</v>
      </c>
      <c r="E2810" s="16" t="s">
        <v>142</v>
      </c>
      <c r="F2810" s="16" t="s">
        <v>140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60</v>
      </c>
      <c r="C2811" s="9">
        <v>45870</v>
      </c>
      <c r="D2811">
        <v>50</v>
      </c>
      <c r="E2811" s="16" t="s">
        <v>142</v>
      </c>
      <c r="F2811" s="16" t="s">
        <v>140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60</v>
      </c>
      <c r="C2812" s="9">
        <v>45901</v>
      </c>
      <c r="D2812">
        <v>50</v>
      </c>
      <c r="E2812" s="16" t="s">
        <v>142</v>
      </c>
      <c r="F2812" s="16" t="s">
        <v>140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60</v>
      </c>
      <c r="C2813" s="9">
        <v>45931</v>
      </c>
      <c r="D2813">
        <v>50</v>
      </c>
      <c r="E2813" s="16" t="s">
        <v>142</v>
      </c>
      <c r="F2813" s="16" t="s">
        <v>140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60</v>
      </c>
      <c r="C2814" s="9">
        <v>45962</v>
      </c>
      <c r="D2814">
        <v>50</v>
      </c>
      <c r="E2814" s="16" t="s">
        <v>142</v>
      </c>
      <c r="F2814" s="16" t="s">
        <v>140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60</v>
      </c>
      <c r="C2815" s="9">
        <v>45992</v>
      </c>
      <c r="D2815">
        <v>50</v>
      </c>
      <c r="E2815" s="16" t="s">
        <v>142</v>
      </c>
      <c r="F2815" s="16" t="s">
        <v>140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60</v>
      </c>
      <c r="C2816" s="9">
        <v>46023</v>
      </c>
      <c r="D2816">
        <v>50</v>
      </c>
      <c r="E2816" s="16" t="s">
        <v>142</v>
      </c>
      <c r="F2816" s="16" t="s">
        <v>140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60</v>
      </c>
      <c r="C2817" s="9">
        <v>46054</v>
      </c>
      <c r="D2817">
        <v>50</v>
      </c>
      <c r="E2817" s="16" t="s">
        <v>142</v>
      </c>
      <c r="F2817" s="16" t="s">
        <v>140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60</v>
      </c>
      <c r="C2818" s="9">
        <v>46082</v>
      </c>
      <c r="D2818">
        <v>50</v>
      </c>
      <c r="E2818" s="16" t="s">
        <v>142</v>
      </c>
      <c r="F2818" s="16" t="s">
        <v>140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60</v>
      </c>
      <c r="C2819" s="9">
        <v>46113</v>
      </c>
      <c r="D2819">
        <v>50</v>
      </c>
      <c r="E2819" s="16" t="s">
        <v>142</v>
      </c>
      <c r="F2819" s="16" t="s">
        <v>140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60</v>
      </c>
      <c r="C2820" s="9">
        <v>46143</v>
      </c>
      <c r="D2820">
        <v>50</v>
      </c>
      <c r="E2820" s="16" t="s">
        <v>142</v>
      </c>
      <c r="F2820" s="16" t="s">
        <v>140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60</v>
      </c>
      <c r="C2821" s="9">
        <v>46174</v>
      </c>
      <c r="D2821">
        <v>50</v>
      </c>
      <c r="E2821" s="16" t="s">
        <v>142</v>
      </c>
      <c r="F2821" s="16" t="s">
        <v>140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60</v>
      </c>
      <c r="C2822" s="9">
        <v>46204</v>
      </c>
      <c r="D2822">
        <v>50</v>
      </c>
      <c r="E2822" s="16" t="s">
        <v>142</v>
      </c>
      <c r="F2822" s="16" t="s">
        <v>140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60</v>
      </c>
      <c r="C2823" s="9">
        <v>46235</v>
      </c>
      <c r="D2823">
        <v>50</v>
      </c>
      <c r="E2823" s="16" t="s">
        <v>142</v>
      </c>
      <c r="F2823" s="16" t="s">
        <v>140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60</v>
      </c>
      <c r="C2824" s="9">
        <v>46266</v>
      </c>
      <c r="D2824">
        <v>50</v>
      </c>
      <c r="E2824" s="16" t="s">
        <v>142</v>
      </c>
      <c r="F2824" s="16" t="s">
        <v>140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60</v>
      </c>
      <c r="C2825" s="9">
        <v>45689</v>
      </c>
      <c r="D2825">
        <v>51</v>
      </c>
      <c r="E2825" s="16" t="s">
        <v>143</v>
      </c>
      <c r="F2825" s="16" t="s">
        <v>83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60</v>
      </c>
      <c r="C2826" s="9">
        <v>45717</v>
      </c>
      <c r="D2826">
        <v>51</v>
      </c>
      <c r="E2826" s="16" t="s">
        <v>143</v>
      </c>
      <c r="F2826" s="16" t="s">
        <v>83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60</v>
      </c>
      <c r="C2827" s="9">
        <v>45748</v>
      </c>
      <c r="D2827">
        <v>51</v>
      </c>
      <c r="E2827" s="16" t="s">
        <v>143</v>
      </c>
      <c r="F2827" s="16" t="s">
        <v>83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60</v>
      </c>
      <c r="C2828" s="9">
        <v>45778</v>
      </c>
      <c r="D2828">
        <v>51</v>
      </c>
      <c r="E2828" s="16" t="s">
        <v>143</v>
      </c>
      <c r="F2828" s="16" t="s">
        <v>83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60</v>
      </c>
      <c r="C2829" s="9">
        <v>45809</v>
      </c>
      <c r="D2829">
        <v>51</v>
      </c>
      <c r="E2829" s="16" t="s">
        <v>143</v>
      </c>
      <c r="F2829" s="16" t="s">
        <v>83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60</v>
      </c>
      <c r="C2830" s="9">
        <v>45839</v>
      </c>
      <c r="D2830">
        <v>51</v>
      </c>
      <c r="E2830" s="16" t="s">
        <v>143</v>
      </c>
      <c r="F2830" s="16" t="s">
        <v>83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60</v>
      </c>
      <c r="C2831" s="9">
        <v>45870</v>
      </c>
      <c r="D2831">
        <v>51</v>
      </c>
      <c r="E2831" s="16" t="s">
        <v>143</v>
      </c>
      <c r="F2831" s="16" t="s">
        <v>83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60</v>
      </c>
      <c r="C2832" s="9">
        <v>45901</v>
      </c>
      <c r="D2832">
        <v>51</v>
      </c>
      <c r="E2832" s="16" t="s">
        <v>143</v>
      </c>
      <c r="F2832" s="16" t="s">
        <v>83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60</v>
      </c>
      <c r="C2833" s="9">
        <v>45931</v>
      </c>
      <c r="D2833">
        <v>51</v>
      </c>
      <c r="E2833" s="16" t="s">
        <v>143</v>
      </c>
      <c r="F2833" s="16" t="s">
        <v>83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60</v>
      </c>
      <c r="C2834" s="9">
        <v>45962</v>
      </c>
      <c r="D2834">
        <v>51</v>
      </c>
      <c r="E2834" s="16" t="s">
        <v>143</v>
      </c>
      <c r="F2834" s="16" t="s">
        <v>83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60</v>
      </c>
      <c r="C2835" s="9">
        <v>45992</v>
      </c>
      <c r="D2835">
        <v>51</v>
      </c>
      <c r="E2835" s="16" t="s">
        <v>143</v>
      </c>
      <c r="F2835" s="16" t="s">
        <v>83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60</v>
      </c>
      <c r="C2836" s="9">
        <v>46023</v>
      </c>
      <c r="D2836">
        <v>51</v>
      </c>
      <c r="E2836" s="16" t="s">
        <v>143</v>
      </c>
      <c r="F2836" s="16" t="s">
        <v>83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60</v>
      </c>
      <c r="C2837" s="9">
        <v>46054</v>
      </c>
      <c r="D2837">
        <v>51</v>
      </c>
      <c r="E2837" s="16" t="s">
        <v>143</v>
      </c>
      <c r="F2837" s="16" t="s">
        <v>83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60</v>
      </c>
      <c r="C2838" s="9">
        <v>46082</v>
      </c>
      <c r="D2838">
        <v>51</v>
      </c>
      <c r="E2838" s="16" t="s">
        <v>143</v>
      </c>
      <c r="F2838" s="16" t="s">
        <v>83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60</v>
      </c>
      <c r="C2839" s="9">
        <v>46113</v>
      </c>
      <c r="D2839">
        <v>51</v>
      </c>
      <c r="E2839" s="16" t="s">
        <v>143</v>
      </c>
      <c r="F2839" s="16" t="s">
        <v>83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60</v>
      </c>
      <c r="C2840" s="9">
        <v>46143</v>
      </c>
      <c r="D2840">
        <v>51</v>
      </c>
      <c r="E2840" s="16" t="s">
        <v>143</v>
      </c>
      <c r="F2840" s="16" t="s">
        <v>83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60</v>
      </c>
      <c r="C2841" s="9">
        <v>46174</v>
      </c>
      <c r="D2841">
        <v>51</v>
      </c>
      <c r="E2841" s="16" t="s">
        <v>143</v>
      </c>
      <c r="F2841" s="16" t="s">
        <v>83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60</v>
      </c>
      <c r="C2842" s="9">
        <v>46204</v>
      </c>
      <c r="D2842">
        <v>51</v>
      </c>
      <c r="E2842" s="16" t="s">
        <v>143</v>
      </c>
      <c r="F2842" s="16" t="s">
        <v>83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60</v>
      </c>
      <c r="C2843" s="9">
        <v>46235</v>
      </c>
      <c r="D2843">
        <v>51</v>
      </c>
      <c r="E2843" s="16" t="s">
        <v>143</v>
      </c>
      <c r="F2843" s="16" t="s">
        <v>83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60</v>
      </c>
      <c r="C2844" s="9">
        <v>46266</v>
      </c>
      <c r="D2844">
        <v>51</v>
      </c>
      <c r="E2844" s="16" t="s">
        <v>143</v>
      </c>
      <c r="F2844" s="16" t="s">
        <v>83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60</v>
      </c>
      <c r="C2845" s="9">
        <v>45717</v>
      </c>
      <c r="D2845">
        <v>52</v>
      </c>
      <c r="E2845" s="16" t="s">
        <v>144</v>
      </c>
      <c r="F2845" s="16" t="s">
        <v>110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60</v>
      </c>
      <c r="C2846" s="9">
        <v>45748</v>
      </c>
      <c r="D2846">
        <v>52</v>
      </c>
      <c r="E2846" s="16" t="s">
        <v>144</v>
      </c>
      <c r="F2846" s="16" t="s">
        <v>110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60</v>
      </c>
      <c r="C2847" s="9">
        <v>45778</v>
      </c>
      <c r="D2847">
        <v>52</v>
      </c>
      <c r="E2847" s="16" t="s">
        <v>144</v>
      </c>
      <c r="F2847" s="16" t="s">
        <v>110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60</v>
      </c>
      <c r="C2848" s="9">
        <v>45809</v>
      </c>
      <c r="D2848">
        <v>52</v>
      </c>
      <c r="E2848" s="16" t="s">
        <v>144</v>
      </c>
      <c r="F2848" s="16" t="s">
        <v>110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60</v>
      </c>
      <c r="C2849" s="9">
        <v>45839</v>
      </c>
      <c r="D2849">
        <v>52</v>
      </c>
      <c r="E2849" s="16" t="s">
        <v>144</v>
      </c>
      <c r="F2849" s="16" t="s">
        <v>110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60</v>
      </c>
      <c r="C2850" s="9">
        <v>45870</v>
      </c>
      <c r="D2850">
        <v>52</v>
      </c>
      <c r="E2850" s="16" t="s">
        <v>144</v>
      </c>
      <c r="F2850" s="16" t="s">
        <v>110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60</v>
      </c>
      <c r="C2851" s="9">
        <v>45901</v>
      </c>
      <c r="D2851">
        <v>52</v>
      </c>
      <c r="E2851" s="16" t="s">
        <v>144</v>
      </c>
      <c r="F2851" s="16" t="s">
        <v>110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60</v>
      </c>
      <c r="C2852" s="9">
        <v>45962</v>
      </c>
      <c r="D2852">
        <v>52</v>
      </c>
      <c r="E2852" s="16" t="s">
        <v>144</v>
      </c>
      <c r="F2852" s="16" t="s">
        <v>110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60</v>
      </c>
      <c r="C2853" s="9">
        <v>45992</v>
      </c>
      <c r="D2853">
        <v>52</v>
      </c>
      <c r="E2853" s="16" t="s">
        <v>144</v>
      </c>
      <c r="F2853" s="16" t="s">
        <v>110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60</v>
      </c>
      <c r="C2854" s="9">
        <v>46023</v>
      </c>
      <c r="D2854">
        <v>52</v>
      </c>
      <c r="E2854" s="16" t="s">
        <v>144</v>
      </c>
      <c r="F2854" s="16" t="s">
        <v>110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60</v>
      </c>
      <c r="C2855" s="9">
        <v>46082</v>
      </c>
      <c r="D2855">
        <v>52</v>
      </c>
      <c r="E2855" s="16" t="s">
        <v>144</v>
      </c>
      <c r="F2855" s="16" t="s">
        <v>110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60</v>
      </c>
      <c r="C2856" s="9">
        <v>46113</v>
      </c>
      <c r="D2856">
        <v>52</v>
      </c>
      <c r="E2856" s="16" t="s">
        <v>144</v>
      </c>
      <c r="F2856" s="16" t="s">
        <v>110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60</v>
      </c>
      <c r="C2857" s="9">
        <v>46143</v>
      </c>
      <c r="D2857">
        <v>52</v>
      </c>
      <c r="E2857" s="16" t="s">
        <v>144</v>
      </c>
      <c r="F2857" s="16" t="s">
        <v>110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60</v>
      </c>
      <c r="C2858" s="9">
        <v>46174</v>
      </c>
      <c r="D2858">
        <v>52</v>
      </c>
      <c r="E2858" s="16" t="s">
        <v>144</v>
      </c>
      <c r="F2858" s="16" t="s">
        <v>110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60</v>
      </c>
      <c r="C2859" s="9">
        <v>46204</v>
      </c>
      <c r="D2859">
        <v>52</v>
      </c>
      <c r="E2859" s="16" t="s">
        <v>144</v>
      </c>
      <c r="F2859" s="16" t="s">
        <v>110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60</v>
      </c>
      <c r="C2860" s="9">
        <v>46235</v>
      </c>
      <c r="D2860">
        <v>52</v>
      </c>
      <c r="E2860" s="16" t="s">
        <v>144</v>
      </c>
      <c r="F2860" s="16" t="s">
        <v>110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60</v>
      </c>
      <c r="C2861" s="9">
        <v>45689</v>
      </c>
      <c r="D2861">
        <v>53</v>
      </c>
      <c r="E2861" s="16" t="s">
        <v>145</v>
      </c>
      <c r="F2861" s="16" t="s">
        <v>105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60</v>
      </c>
      <c r="C2862" s="9">
        <v>45717</v>
      </c>
      <c r="D2862">
        <v>53</v>
      </c>
      <c r="E2862" s="16" t="s">
        <v>145</v>
      </c>
      <c r="F2862" s="16" t="s">
        <v>105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60</v>
      </c>
      <c r="C2863" s="9">
        <v>45748</v>
      </c>
      <c r="D2863">
        <v>53</v>
      </c>
      <c r="E2863" s="16" t="s">
        <v>145</v>
      </c>
      <c r="F2863" s="16" t="s">
        <v>105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60</v>
      </c>
      <c r="C2864" s="9">
        <v>45778</v>
      </c>
      <c r="D2864">
        <v>53</v>
      </c>
      <c r="E2864" s="16" t="s">
        <v>145</v>
      </c>
      <c r="F2864" s="16" t="s">
        <v>105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60</v>
      </c>
      <c r="C2865" s="9">
        <v>45809</v>
      </c>
      <c r="D2865">
        <v>53</v>
      </c>
      <c r="E2865" s="16" t="s">
        <v>145</v>
      </c>
      <c r="F2865" s="16" t="s">
        <v>105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60</v>
      </c>
      <c r="C2866" s="9">
        <v>45839</v>
      </c>
      <c r="D2866">
        <v>53</v>
      </c>
      <c r="E2866" s="16" t="s">
        <v>145</v>
      </c>
      <c r="F2866" s="16" t="s">
        <v>105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60</v>
      </c>
      <c r="C2867" s="9">
        <v>45870</v>
      </c>
      <c r="D2867">
        <v>53</v>
      </c>
      <c r="E2867" s="16" t="s">
        <v>145</v>
      </c>
      <c r="F2867" s="16" t="s">
        <v>105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60</v>
      </c>
      <c r="C2868" s="9">
        <v>45901</v>
      </c>
      <c r="D2868">
        <v>53</v>
      </c>
      <c r="E2868" s="16" t="s">
        <v>145</v>
      </c>
      <c r="F2868" s="16" t="s">
        <v>105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60</v>
      </c>
      <c r="C2869" s="9">
        <v>45931</v>
      </c>
      <c r="D2869">
        <v>53</v>
      </c>
      <c r="E2869" s="16" t="s">
        <v>145</v>
      </c>
      <c r="F2869" s="16" t="s">
        <v>105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60</v>
      </c>
      <c r="C2870" s="9">
        <v>45962</v>
      </c>
      <c r="D2870">
        <v>53</v>
      </c>
      <c r="E2870" s="16" t="s">
        <v>145</v>
      </c>
      <c r="F2870" s="16" t="s">
        <v>105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60</v>
      </c>
      <c r="C2871" s="9">
        <v>45992</v>
      </c>
      <c r="D2871">
        <v>53</v>
      </c>
      <c r="E2871" s="16" t="s">
        <v>145</v>
      </c>
      <c r="F2871" s="16" t="s">
        <v>105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60</v>
      </c>
      <c r="C2872" s="9">
        <v>46023</v>
      </c>
      <c r="D2872">
        <v>53</v>
      </c>
      <c r="E2872" s="16" t="s">
        <v>145</v>
      </c>
      <c r="F2872" s="16" t="s">
        <v>105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60</v>
      </c>
      <c r="C2873" s="9">
        <v>46054</v>
      </c>
      <c r="D2873">
        <v>53</v>
      </c>
      <c r="E2873" s="16" t="s">
        <v>145</v>
      </c>
      <c r="F2873" s="16" t="s">
        <v>105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60</v>
      </c>
      <c r="C2874" s="9">
        <v>46082</v>
      </c>
      <c r="D2874">
        <v>53</v>
      </c>
      <c r="E2874" s="16" t="s">
        <v>145</v>
      </c>
      <c r="F2874" s="16" t="s">
        <v>105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60</v>
      </c>
      <c r="C2875" s="9">
        <v>46113</v>
      </c>
      <c r="D2875">
        <v>53</v>
      </c>
      <c r="E2875" s="16" t="s">
        <v>145</v>
      </c>
      <c r="F2875" s="16" t="s">
        <v>105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60</v>
      </c>
      <c r="C2876" s="9">
        <v>46143</v>
      </c>
      <c r="D2876">
        <v>53</v>
      </c>
      <c r="E2876" s="16" t="s">
        <v>145</v>
      </c>
      <c r="F2876" s="16" t="s">
        <v>105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60</v>
      </c>
      <c r="C2877" s="9">
        <v>46174</v>
      </c>
      <c r="D2877">
        <v>53</v>
      </c>
      <c r="E2877" s="16" t="s">
        <v>145</v>
      </c>
      <c r="F2877" s="16" t="s">
        <v>105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60</v>
      </c>
      <c r="C2878" s="9">
        <v>46204</v>
      </c>
      <c r="D2878">
        <v>53</v>
      </c>
      <c r="E2878" s="16" t="s">
        <v>145</v>
      </c>
      <c r="F2878" s="16" t="s">
        <v>105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60</v>
      </c>
      <c r="C2879" s="9">
        <v>46235</v>
      </c>
      <c r="D2879">
        <v>53</v>
      </c>
      <c r="E2879" s="16" t="s">
        <v>145</v>
      </c>
      <c r="F2879" s="16" t="s">
        <v>105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60</v>
      </c>
      <c r="C2880" s="9">
        <v>46266</v>
      </c>
      <c r="D2880">
        <v>53</v>
      </c>
      <c r="E2880" s="16" t="s">
        <v>145</v>
      </c>
      <c r="F2880" s="16" t="s">
        <v>105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60</v>
      </c>
      <c r="C2881" s="9">
        <v>45689</v>
      </c>
      <c r="D2881">
        <v>54</v>
      </c>
      <c r="E2881" s="16" t="s">
        <v>146</v>
      </c>
      <c r="F2881" s="16" t="s">
        <v>105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60</v>
      </c>
      <c r="C2882" s="9">
        <v>45717</v>
      </c>
      <c r="D2882">
        <v>54</v>
      </c>
      <c r="E2882" s="16" t="s">
        <v>146</v>
      </c>
      <c r="F2882" s="16" t="s">
        <v>105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60</v>
      </c>
      <c r="C2883" s="9">
        <v>45748</v>
      </c>
      <c r="D2883">
        <v>54</v>
      </c>
      <c r="E2883" s="16" t="s">
        <v>146</v>
      </c>
      <c r="F2883" s="16" t="s">
        <v>105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60</v>
      </c>
      <c r="C2884" s="9">
        <v>45778</v>
      </c>
      <c r="D2884">
        <v>54</v>
      </c>
      <c r="E2884" s="16" t="s">
        <v>146</v>
      </c>
      <c r="F2884" s="16" t="s">
        <v>105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60</v>
      </c>
      <c r="C2885" s="9">
        <v>45809</v>
      </c>
      <c r="D2885">
        <v>54</v>
      </c>
      <c r="E2885" s="16" t="s">
        <v>146</v>
      </c>
      <c r="F2885" s="16" t="s">
        <v>105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60</v>
      </c>
      <c r="C2886" s="9">
        <v>45839</v>
      </c>
      <c r="D2886">
        <v>54</v>
      </c>
      <c r="E2886" s="16" t="s">
        <v>146</v>
      </c>
      <c r="F2886" s="16" t="s">
        <v>105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60</v>
      </c>
      <c r="C2887" s="9">
        <v>45870</v>
      </c>
      <c r="D2887">
        <v>54</v>
      </c>
      <c r="E2887" s="16" t="s">
        <v>146</v>
      </c>
      <c r="F2887" s="16" t="s">
        <v>105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60</v>
      </c>
      <c r="C2888" s="9">
        <v>45901</v>
      </c>
      <c r="D2888">
        <v>54</v>
      </c>
      <c r="E2888" s="16" t="s">
        <v>146</v>
      </c>
      <c r="F2888" s="16" t="s">
        <v>105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60</v>
      </c>
      <c r="C2889" s="9">
        <v>45931</v>
      </c>
      <c r="D2889">
        <v>54</v>
      </c>
      <c r="E2889" s="16" t="s">
        <v>146</v>
      </c>
      <c r="F2889" s="16" t="s">
        <v>105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60</v>
      </c>
      <c r="C2890" s="9">
        <v>45962</v>
      </c>
      <c r="D2890">
        <v>54</v>
      </c>
      <c r="E2890" s="16" t="s">
        <v>146</v>
      </c>
      <c r="F2890" s="16" t="s">
        <v>105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60</v>
      </c>
      <c r="C2891" s="9">
        <v>45992</v>
      </c>
      <c r="D2891">
        <v>54</v>
      </c>
      <c r="E2891" s="16" t="s">
        <v>146</v>
      </c>
      <c r="F2891" s="16" t="s">
        <v>105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60</v>
      </c>
      <c r="C2892" s="9">
        <v>46023</v>
      </c>
      <c r="D2892">
        <v>54</v>
      </c>
      <c r="E2892" s="16" t="s">
        <v>146</v>
      </c>
      <c r="F2892" s="16" t="s">
        <v>105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60</v>
      </c>
      <c r="C2893" s="9">
        <v>46054</v>
      </c>
      <c r="D2893">
        <v>54</v>
      </c>
      <c r="E2893" s="16" t="s">
        <v>146</v>
      </c>
      <c r="F2893" s="16" t="s">
        <v>105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60</v>
      </c>
      <c r="C2894" s="9">
        <v>46082</v>
      </c>
      <c r="D2894">
        <v>54</v>
      </c>
      <c r="E2894" s="16" t="s">
        <v>146</v>
      </c>
      <c r="F2894" s="16" t="s">
        <v>105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60</v>
      </c>
      <c r="C2895" s="9">
        <v>46113</v>
      </c>
      <c r="D2895">
        <v>54</v>
      </c>
      <c r="E2895" s="16" t="s">
        <v>146</v>
      </c>
      <c r="F2895" s="16" t="s">
        <v>105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60</v>
      </c>
      <c r="C2896" s="9">
        <v>46143</v>
      </c>
      <c r="D2896">
        <v>54</v>
      </c>
      <c r="E2896" s="16" t="s">
        <v>146</v>
      </c>
      <c r="F2896" s="16" t="s">
        <v>105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60</v>
      </c>
      <c r="C2897" s="9">
        <v>46174</v>
      </c>
      <c r="D2897">
        <v>54</v>
      </c>
      <c r="E2897" s="16" t="s">
        <v>146</v>
      </c>
      <c r="F2897" s="16" t="s">
        <v>105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60</v>
      </c>
      <c r="C2898" s="9">
        <v>46204</v>
      </c>
      <c r="D2898">
        <v>54</v>
      </c>
      <c r="E2898" s="16" t="s">
        <v>146</v>
      </c>
      <c r="F2898" s="16" t="s">
        <v>105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60</v>
      </c>
      <c r="C2899" s="9">
        <v>46266</v>
      </c>
      <c r="D2899">
        <v>54</v>
      </c>
      <c r="E2899" s="16" t="s">
        <v>146</v>
      </c>
      <c r="F2899" s="16" t="s">
        <v>105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60</v>
      </c>
      <c r="C2900" s="9">
        <v>45689</v>
      </c>
      <c r="D2900">
        <v>55</v>
      </c>
      <c r="E2900" s="16" t="s">
        <v>147</v>
      </c>
      <c r="F2900" s="16" t="s">
        <v>85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60</v>
      </c>
      <c r="C2901" s="9">
        <v>45717</v>
      </c>
      <c r="D2901">
        <v>55</v>
      </c>
      <c r="E2901" s="16" t="s">
        <v>147</v>
      </c>
      <c r="F2901" s="16" t="s">
        <v>85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60</v>
      </c>
      <c r="C2902" s="9">
        <v>45748</v>
      </c>
      <c r="D2902">
        <v>55</v>
      </c>
      <c r="E2902" s="16" t="s">
        <v>147</v>
      </c>
      <c r="F2902" s="16" t="s">
        <v>85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60</v>
      </c>
      <c r="C2903" s="9">
        <v>45778</v>
      </c>
      <c r="D2903">
        <v>55</v>
      </c>
      <c r="E2903" s="16" t="s">
        <v>147</v>
      </c>
      <c r="F2903" s="16" t="s">
        <v>85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60</v>
      </c>
      <c r="C2904" s="9">
        <v>45809</v>
      </c>
      <c r="D2904">
        <v>55</v>
      </c>
      <c r="E2904" s="16" t="s">
        <v>147</v>
      </c>
      <c r="F2904" s="16" t="s">
        <v>85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60</v>
      </c>
      <c r="C2905" s="9">
        <v>45839</v>
      </c>
      <c r="D2905">
        <v>55</v>
      </c>
      <c r="E2905" s="16" t="s">
        <v>147</v>
      </c>
      <c r="F2905" s="16" t="s">
        <v>85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60</v>
      </c>
      <c r="C2906" s="9">
        <v>45870</v>
      </c>
      <c r="D2906">
        <v>55</v>
      </c>
      <c r="E2906" s="16" t="s">
        <v>147</v>
      </c>
      <c r="F2906" s="16" t="s">
        <v>85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60</v>
      </c>
      <c r="C2907" s="9">
        <v>45901</v>
      </c>
      <c r="D2907">
        <v>55</v>
      </c>
      <c r="E2907" s="16" t="s">
        <v>147</v>
      </c>
      <c r="F2907" s="16" t="s">
        <v>85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60</v>
      </c>
      <c r="C2908" s="9">
        <v>45931</v>
      </c>
      <c r="D2908">
        <v>55</v>
      </c>
      <c r="E2908" s="16" t="s">
        <v>147</v>
      </c>
      <c r="F2908" s="16" t="s">
        <v>85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60</v>
      </c>
      <c r="C2909" s="9">
        <v>45962</v>
      </c>
      <c r="D2909">
        <v>55</v>
      </c>
      <c r="E2909" s="16" t="s">
        <v>147</v>
      </c>
      <c r="F2909" s="16" t="s">
        <v>85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60</v>
      </c>
      <c r="C2910" s="9">
        <v>45992</v>
      </c>
      <c r="D2910">
        <v>55</v>
      </c>
      <c r="E2910" s="16" t="s">
        <v>147</v>
      </c>
      <c r="F2910" s="16" t="s">
        <v>85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60</v>
      </c>
      <c r="C2911" s="9">
        <v>46023</v>
      </c>
      <c r="D2911">
        <v>55</v>
      </c>
      <c r="E2911" s="16" t="s">
        <v>147</v>
      </c>
      <c r="F2911" s="16" t="s">
        <v>85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60</v>
      </c>
      <c r="C2912" s="9">
        <v>46054</v>
      </c>
      <c r="D2912">
        <v>55</v>
      </c>
      <c r="E2912" s="16" t="s">
        <v>147</v>
      </c>
      <c r="F2912" s="16" t="s">
        <v>85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60</v>
      </c>
      <c r="C2913" s="9">
        <v>46082</v>
      </c>
      <c r="D2913">
        <v>55</v>
      </c>
      <c r="E2913" s="16" t="s">
        <v>147</v>
      </c>
      <c r="F2913" s="16" t="s">
        <v>85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60</v>
      </c>
      <c r="C2914" s="9">
        <v>46113</v>
      </c>
      <c r="D2914">
        <v>55</v>
      </c>
      <c r="E2914" s="16" t="s">
        <v>147</v>
      </c>
      <c r="F2914" s="16" t="s">
        <v>85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60</v>
      </c>
      <c r="C2915" s="9">
        <v>46143</v>
      </c>
      <c r="D2915">
        <v>55</v>
      </c>
      <c r="E2915" s="16" t="s">
        <v>147</v>
      </c>
      <c r="F2915" s="16" t="s">
        <v>85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60</v>
      </c>
      <c r="C2916" s="9">
        <v>46174</v>
      </c>
      <c r="D2916">
        <v>55</v>
      </c>
      <c r="E2916" s="16" t="s">
        <v>147</v>
      </c>
      <c r="F2916" s="16" t="s">
        <v>85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60</v>
      </c>
      <c r="C2917" s="9">
        <v>46204</v>
      </c>
      <c r="D2917">
        <v>55</v>
      </c>
      <c r="E2917" s="16" t="s">
        <v>147</v>
      </c>
      <c r="F2917" s="16" t="s">
        <v>85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60</v>
      </c>
      <c r="C2918" s="9">
        <v>46235</v>
      </c>
      <c r="D2918">
        <v>55</v>
      </c>
      <c r="E2918" s="16" t="s">
        <v>147</v>
      </c>
      <c r="F2918" s="16" t="s">
        <v>85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60</v>
      </c>
      <c r="C2919" s="9">
        <v>46266</v>
      </c>
      <c r="D2919">
        <v>55</v>
      </c>
      <c r="E2919" s="16" t="s">
        <v>147</v>
      </c>
      <c r="F2919" s="16" t="s">
        <v>85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60</v>
      </c>
      <c r="C2920" s="9">
        <v>45689</v>
      </c>
      <c r="D2920">
        <v>56</v>
      </c>
      <c r="E2920" s="16" t="s">
        <v>148</v>
      </c>
      <c r="F2920" s="16" t="s">
        <v>140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60</v>
      </c>
      <c r="C2921" s="9">
        <v>45717</v>
      </c>
      <c r="D2921">
        <v>56</v>
      </c>
      <c r="E2921" s="16" t="s">
        <v>148</v>
      </c>
      <c r="F2921" s="16" t="s">
        <v>140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60</v>
      </c>
      <c r="C2922" s="9">
        <v>45748</v>
      </c>
      <c r="D2922">
        <v>56</v>
      </c>
      <c r="E2922" s="16" t="s">
        <v>148</v>
      </c>
      <c r="F2922" s="16" t="s">
        <v>140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60</v>
      </c>
      <c r="C2923" s="9">
        <v>45778</v>
      </c>
      <c r="D2923">
        <v>56</v>
      </c>
      <c r="E2923" s="16" t="s">
        <v>148</v>
      </c>
      <c r="F2923" s="16" t="s">
        <v>140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60</v>
      </c>
      <c r="C2924" s="9">
        <v>45809</v>
      </c>
      <c r="D2924">
        <v>56</v>
      </c>
      <c r="E2924" s="16" t="s">
        <v>148</v>
      </c>
      <c r="F2924" s="16" t="s">
        <v>140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60</v>
      </c>
      <c r="C2925" s="9">
        <v>45839</v>
      </c>
      <c r="D2925">
        <v>56</v>
      </c>
      <c r="E2925" s="16" t="s">
        <v>148</v>
      </c>
      <c r="F2925" s="16" t="s">
        <v>140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60</v>
      </c>
      <c r="C2926" s="9">
        <v>45870</v>
      </c>
      <c r="D2926">
        <v>56</v>
      </c>
      <c r="E2926" s="16" t="s">
        <v>148</v>
      </c>
      <c r="F2926" s="16" t="s">
        <v>140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60</v>
      </c>
      <c r="C2927" s="9">
        <v>45901</v>
      </c>
      <c r="D2927">
        <v>56</v>
      </c>
      <c r="E2927" s="16" t="s">
        <v>148</v>
      </c>
      <c r="F2927" s="16" t="s">
        <v>140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60</v>
      </c>
      <c r="C2928" s="9">
        <v>45931</v>
      </c>
      <c r="D2928">
        <v>56</v>
      </c>
      <c r="E2928" s="16" t="s">
        <v>148</v>
      </c>
      <c r="F2928" s="16" t="s">
        <v>140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60</v>
      </c>
      <c r="C2929" s="9">
        <v>45962</v>
      </c>
      <c r="D2929">
        <v>56</v>
      </c>
      <c r="E2929" s="16" t="s">
        <v>148</v>
      </c>
      <c r="F2929" s="16" t="s">
        <v>140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60</v>
      </c>
      <c r="C2930" s="9">
        <v>45992</v>
      </c>
      <c r="D2930">
        <v>56</v>
      </c>
      <c r="E2930" s="16" t="s">
        <v>148</v>
      </c>
      <c r="F2930" s="16" t="s">
        <v>140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60</v>
      </c>
      <c r="C2931" s="9">
        <v>46023</v>
      </c>
      <c r="D2931">
        <v>56</v>
      </c>
      <c r="E2931" s="16" t="s">
        <v>148</v>
      </c>
      <c r="F2931" s="16" t="s">
        <v>140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60</v>
      </c>
      <c r="C2932" s="9">
        <v>46054</v>
      </c>
      <c r="D2932">
        <v>56</v>
      </c>
      <c r="E2932" s="16" t="s">
        <v>148</v>
      </c>
      <c r="F2932" s="16" t="s">
        <v>140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60</v>
      </c>
      <c r="C2933" s="9">
        <v>46082</v>
      </c>
      <c r="D2933">
        <v>56</v>
      </c>
      <c r="E2933" s="16" t="s">
        <v>148</v>
      </c>
      <c r="F2933" s="16" t="s">
        <v>140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60</v>
      </c>
      <c r="C2934" s="9">
        <v>46113</v>
      </c>
      <c r="D2934">
        <v>56</v>
      </c>
      <c r="E2934" s="16" t="s">
        <v>148</v>
      </c>
      <c r="F2934" s="16" t="s">
        <v>140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60</v>
      </c>
      <c r="C2935" s="9">
        <v>46143</v>
      </c>
      <c r="D2935">
        <v>56</v>
      </c>
      <c r="E2935" s="16" t="s">
        <v>148</v>
      </c>
      <c r="F2935" s="16" t="s">
        <v>140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60</v>
      </c>
      <c r="C2936" s="9">
        <v>46174</v>
      </c>
      <c r="D2936">
        <v>56</v>
      </c>
      <c r="E2936" s="16" t="s">
        <v>148</v>
      </c>
      <c r="F2936" s="16" t="s">
        <v>140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60</v>
      </c>
      <c r="C2937" s="9">
        <v>46204</v>
      </c>
      <c r="D2937">
        <v>56</v>
      </c>
      <c r="E2937" s="16" t="s">
        <v>148</v>
      </c>
      <c r="F2937" s="16" t="s">
        <v>140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60</v>
      </c>
      <c r="C2938" s="9">
        <v>46235</v>
      </c>
      <c r="D2938">
        <v>56</v>
      </c>
      <c r="E2938" s="16" t="s">
        <v>148</v>
      </c>
      <c r="F2938" s="16" t="s">
        <v>140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60</v>
      </c>
      <c r="C2939" s="9">
        <v>46266</v>
      </c>
      <c r="D2939">
        <v>56</v>
      </c>
      <c r="E2939" s="16" t="s">
        <v>148</v>
      </c>
      <c r="F2939" s="16" t="s">
        <v>140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61</v>
      </c>
      <c r="C2940" s="9">
        <v>45689</v>
      </c>
      <c r="D2940">
        <v>1</v>
      </c>
      <c r="E2940" s="16" t="s">
        <v>82</v>
      </c>
      <c r="F2940" s="16" t="s">
        <v>83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61</v>
      </c>
      <c r="C2941" s="9">
        <v>45717</v>
      </c>
      <c r="D2941">
        <v>1</v>
      </c>
      <c r="E2941" s="16" t="s">
        <v>82</v>
      </c>
      <c r="F2941" s="16" t="s">
        <v>83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61</v>
      </c>
      <c r="C2942" s="9">
        <v>45748</v>
      </c>
      <c r="D2942">
        <v>1</v>
      </c>
      <c r="E2942" s="16" t="s">
        <v>82</v>
      </c>
      <c r="F2942" s="16" t="s">
        <v>83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61</v>
      </c>
      <c r="C2943" s="9">
        <v>45778</v>
      </c>
      <c r="D2943">
        <v>1</v>
      </c>
      <c r="E2943" s="16" t="s">
        <v>82</v>
      </c>
      <c r="F2943" s="16" t="s">
        <v>83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61</v>
      </c>
      <c r="C2944" s="9">
        <v>45809</v>
      </c>
      <c r="D2944">
        <v>1</v>
      </c>
      <c r="E2944" s="16" t="s">
        <v>82</v>
      </c>
      <c r="F2944" s="16" t="s">
        <v>83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61</v>
      </c>
      <c r="C2945" s="9">
        <v>45839</v>
      </c>
      <c r="D2945">
        <v>1</v>
      </c>
      <c r="E2945" s="16" t="s">
        <v>82</v>
      </c>
      <c r="F2945" s="16" t="s">
        <v>83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61</v>
      </c>
      <c r="C2946" s="9">
        <v>45870</v>
      </c>
      <c r="D2946">
        <v>1</v>
      </c>
      <c r="E2946" s="16" t="s">
        <v>82</v>
      </c>
      <c r="F2946" s="16" t="s">
        <v>83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61</v>
      </c>
      <c r="C2947" s="9">
        <v>45901</v>
      </c>
      <c r="D2947">
        <v>1</v>
      </c>
      <c r="E2947" s="16" t="s">
        <v>82</v>
      </c>
      <c r="F2947" s="16" t="s">
        <v>83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61</v>
      </c>
      <c r="C2948" s="9">
        <v>45931</v>
      </c>
      <c r="D2948">
        <v>1</v>
      </c>
      <c r="E2948" s="16" t="s">
        <v>82</v>
      </c>
      <c r="F2948" s="16" t="s">
        <v>83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61</v>
      </c>
      <c r="C2949" s="9">
        <v>45962</v>
      </c>
      <c r="D2949">
        <v>1</v>
      </c>
      <c r="E2949" s="16" t="s">
        <v>82</v>
      </c>
      <c r="F2949" s="16" t="s">
        <v>83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61</v>
      </c>
      <c r="C2950" s="9">
        <v>45992</v>
      </c>
      <c r="D2950">
        <v>1</v>
      </c>
      <c r="E2950" s="16" t="s">
        <v>82</v>
      </c>
      <c r="F2950" s="16" t="s">
        <v>83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61</v>
      </c>
      <c r="C2951" s="9">
        <v>46023</v>
      </c>
      <c r="D2951">
        <v>1</v>
      </c>
      <c r="E2951" s="16" t="s">
        <v>82</v>
      </c>
      <c r="F2951" s="16" t="s">
        <v>83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61</v>
      </c>
      <c r="C2952" s="9">
        <v>46054</v>
      </c>
      <c r="D2952">
        <v>1</v>
      </c>
      <c r="E2952" s="16" t="s">
        <v>82</v>
      </c>
      <c r="F2952" s="16" t="s">
        <v>83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61</v>
      </c>
      <c r="C2953" s="9">
        <v>46082</v>
      </c>
      <c r="D2953">
        <v>1</v>
      </c>
      <c r="E2953" s="16" t="s">
        <v>82</v>
      </c>
      <c r="F2953" s="16" t="s">
        <v>83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61</v>
      </c>
      <c r="C2954" s="9">
        <v>46113</v>
      </c>
      <c r="D2954">
        <v>1</v>
      </c>
      <c r="E2954" s="16" t="s">
        <v>82</v>
      </c>
      <c r="F2954" s="16" t="s">
        <v>83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61</v>
      </c>
      <c r="C2955" s="9">
        <v>46143</v>
      </c>
      <c r="D2955">
        <v>1</v>
      </c>
      <c r="E2955" s="16" t="s">
        <v>82</v>
      </c>
      <c r="F2955" s="16" t="s">
        <v>83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61</v>
      </c>
      <c r="C2956" s="9">
        <v>46174</v>
      </c>
      <c r="D2956">
        <v>1</v>
      </c>
      <c r="E2956" s="16" t="s">
        <v>82</v>
      </c>
      <c r="F2956" s="16" t="s">
        <v>83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61</v>
      </c>
      <c r="C2957" s="9">
        <v>46204</v>
      </c>
      <c r="D2957">
        <v>1</v>
      </c>
      <c r="E2957" s="16" t="s">
        <v>82</v>
      </c>
      <c r="F2957" s="16" t="s">
        <v>83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61</v>
      </c>
      <c r="C2958" s="9">
        <v>46235</v>
      </c>
      <c r="D2958">
        <v>1</v>
      </c>
      <c r="E2958" s="16" t="s">
        <v>82</v>
      </c>
      <c r="F2958" s="16" t="s">
        <v>83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61</v>
      </c>
      <c r="C2959" s="9">
        <v>46266</v>
      </c>
      <c r="D2959">
        <v>1</v>
      </c>
      <c r="E2959" s="16" t="s">
        <v>82</v>
      </c>
      <c r="F2959" s="16" t="s">
        <v>83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61</v>
      </c>
      <c r="C2960" s="9">
        <v>45689</v>
      </c>
      <c r="D2960">
        <v>2</v>
      </c>
      <c r="E2960" s="16" t="s">
        <v>84</v>
      </c>
      <c r="F2960" s="16" t="s">
        <v>85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61</v>
      </c>
      <c r="C2961" s="9">
        <v>45717</v>
      </c>
      <c r="D2961">
        <v>2</v>
      </c>
      <c r="E2961" s="16" t="s">
        <v>84</v>
      </c>
      <c r="F2961" s="16" t="s">
        <v>85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61</v>
      </c>
      <c r="C2962" s="9">
        <v>45748</v>
      </c>
      <c r="D2962">
        <v>2</v>
      </c>
      <c r="E2962" s="16" t="s">
        <v>84</v>
      </c>
      <c r="F2962" s="16" t="s">
        <v>85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61</v>
      </c>
      <c r="C2963" s="9">
        <v>45778</v>
      </c>
      <c r="D2963">
        <v>2</v>
      </c>
      <c r="E2963" s="16" t="s">
        <v>84</v>
      </c>
      <c r="F2963" s="16" t="s">
        <v>85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61</v>
      </c>
      <c r="C2964" s="9">
        <v>45809</v>
      </c>
      <c r="D2964">
        <v>2</v>
      </c>
      <c r="E2964" s="16" t="s">
        <v>84</v>
      </c>
      <c r="F2964" s="16" t="s">
        <v>85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61</v>
      </c>
      <c r="C2965" s="9">
        <v>45839</v>
      </c>
      <c r="D2965">
        <v>2</v>
      </c>
      <c r="E2965" s="16" t="s">
        <v>84</v>
      </c>
      <c r="F2965" s="16" t="s">
        <v>85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61</v>
      </c>
      <c r="C2966" s="9">
        <v>45870</v>
      </c>
      <c r="D2966">
        <v>2</v>
      </c>
      <c r="E2966" s="16" t="s">
        <v>84</v>
      </c>
      <c r="F2966" s="16" t="s">
        <v>85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61</v>
      </c>
      <c r="C2967" s="9">
        <v>45901</v>
      </c>
      <c r="D2967">
        <v>2</v>
      </c>
      <c r="E2967" s="16" t="s">
        <v>84</v>
      </c>
      <c r="F2967" s="16" t="s">
        <v>85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61</v>
      </c>
      <c r="C2968" s="9">
        <v>45931</v>
      </c>
      <c r="D2968">
        <v>2</v>
      </c>
      <c r="E2968" s="16" t="s">
        <v>84</v>
      </c>
      <c r="F2968" s="16" t="s">
        <v>85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61</v>
      </c>
      <c r="C2969" s="9">
        <v>45962</v>
      </c>
      <c r="D2969">
        <v>2</v>
      </c>
      <c r="E2969" s="16" t="s">
        <v>84</v>
      </c>
      <c r="F2969" s="16" t="s">
        <v>85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61</v>
      </c>
      <c r="C2970" s="9">
        <v>45992</v>
      </c>
      <c r="D2970">
        <v>2</v>
      </c>
      <c r="E2970" s="16" t="s">
        <v>84</v>
      </c>
      <c r="F2970" s="16" t="s">
        <v>85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61</v>
      </c>
      <c r="C2971" s="9">
        <v>46023</v>
      </c>
      <c r="D2971">
        <v>2</v>
      </c>
      <c r="E2971" s="16" t="s">
        <v>84</v>
      </c>
      <c r="F2971" s="16" t="s">
        <v>85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61</v>
      </c>
      <c r="C2972" s="9">
        <v>46054</v>
      </c>
      <c r="D2972">
        <v>2</v>
      </c>
      <c r="E2972" s="16" t="s">
        <v>84</v>
      </c>
      <c r="F2972" s="16" t="s">
        <v>85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61</v>
      </c>
      <c r="C2973" s="9">
        <v>46082</v>
      </c>
      <c r="D2973">
        <v>2</v>
      </c>
      <c r="E2973" s="16" t="s">
        <v>84</v>
      </c>
      <c r="F2973" s="16" t="s">
        <v>85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61</v>
      </c>
      <c r="C2974" s="9">
        <v>46113</v>
      </c>
      <c r="D2974">
        <v>2</v>
      </c>
      <c r="E2974" s="16" t="s">
        <v>84</v>
      </c>
      <c r="F2974" s="16" t="s">
        <v>85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61</v>
      </c>
      <c r="C2975" s="9">
        <v>46143</v>
      </c>
      <c r="D2975">
        <v>2</v>
      </c>
      <c r="E2975" s="16" t="s">
        <v>84</v>
      </c>
      <c r="F2975" s="16" t="s">
        <v>85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61</v>
      </c>
      <c r="C2976" s="9">
        <v>46174</v>
      </c>
      <c r="D2976">
        <v>2</v>
      </c>
      <c r="E2976" s="16" t="s">
        <v>84</v>
      </c>
      <c r="F2976" s="16" t="s">
        <v>85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61</v>
      </c>
      <c r="C2977" s="9">
        <v>46204</v>
      </c>
      <c r="D2977">
        <v>2</v>
      </c>
      <c r="E2977" s="16" t="s">
        <v>84</v>
      </c>
      <c r="F2977" s="16" t="s">
        <v>85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61</v>
      </c>
      <c r="C2978" s="9">
        <v>46235</v>
      </c>
      <c r="D2978">
        <v>2</v>
      </c>
      <c r="E2978" s="16" t="s">
        <v>84</v>
      </c>
      <c r="F2978" s="16" t="s">
        <v>85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61</v>
      </c>
      <c r="C2979" s="9">
        <v>46266</v>
      </c>
      <c r="D2979">
        <v>2</v>
      </c>
      <c r="E2979" s="16" t="s">
        <v>84</v>
      </c>
      <c r="F2979" s="16" t="s">
        <v>85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61</v>
      </c>
      <c r="C2980" s="9">
        <v>45689</v>
      </c>
      <c r="D2980">
        <v>3</v>
      </c>
      <c r="E2980" s="16" t="s">
        <v>86</v>
      </c>
      <c r="F2980" s="16" t="s">
        <v>87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61</v>
      </c>
      <c r="C2981" s="9">
        <v>45717</v>
      </c>
      <c r="D2981">
        <v>3</v>
      </c>
      <c r="E2981" s="16" t="s">
        <v>86</v>
      </c>
      <c r="F2981" s="16" t="s">
        <v>87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61</v>
      </c>
      <c r="C2982" s="9">
        <v>45748</v>
      </c>
      <c r="D2982">
        <v>3</v>
      </c>
      <c r="E2982" s="16" t="s">
        <v>86</v>
      </c>
      <c r="F2982" s="16" t="s">
        <v>87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61</v>
      </c>
      <c r="C2983" s="9">
        <v>45778</v>
      </c>
      <c r="D2983">
        <v>3</v>
      </c>
      <c r="E2983" s="16" t="s">
        <v>86</v>
      </c>
      <c r="F2983" s="16" t="s">
        <v>87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61</v>
      </c>
      <c r="C2984" s="9">
        <v>45809</v>
      </c>
      <c r="D2984">
        <v>3</v>
      </c>
      <c r="E2984" s="16" t="s">
        <v>86</v>
      </c>
      <c r="F2984" s="16" t="s">
        <v>87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61</v>
      </c>
      <c r="C2985" s="9">
        <v>45839</v>
      </c>
      <c r="D2985">
        <v>3</v>
      </c>
      <c r="E2985" s="16" t="s">
        <v>86</v>
      </c>
      <c r="F2985" s="16" t="s">
        <v>87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61</v>
      </c>
      <c r="C2986" s="9">
        <v>45870</v>
      </c>
      <c r="D2986">
        <v>3</v>
      </c>
      <c r="E2986" s="16" t="s">
        <v>86</v>
      </c>
      <c r="F2986" s="16" t="s">
        <v>87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61</v>
      </c>
      <c r="C2987" s="9">
        <v>45901</v>
      </c>
      <c r="D2987">
        <v>3</v>
      </c>
      <c r="E2987" s="16" t="s">
        <v>86</v>
      </c>
      <c r="F2987" s="16" t="s">
        <v>87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61</v>
      </c>
      <c r="C2988" s="9">
        <v>45931</v>
      </c>
      <c r="D2988">
        <v>3</v>
      </c>
      <c r="E2988" s="16" t="s">
        <v>86</v>
      </c>
      <c r="F2988" s="16" t="s">
        <v>87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61</v>
      </c>
      <c r="C2989" s="9">
        <v>45962</v>
      </c>
      <c r="D2989">
        <v>3</v>
      </c>
      <c r="E2989" s="16" t="s">
        <v>86</v>
      </c>
      <c r="F2989" s="16" t="s">
        <v>87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61</v>
      </c>
      <c r="C2990" s="9">
        <v>45992</v>
      </c>
      <c r="D2990">
        <v>3</v>
      </c>
      <c r="E2990" s="16" t="s">
        <v>86</v>
      </c>
      <c r="F2990" s="16" t="s">
        <v>87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61</v>
      </c>
      <c r="C2991" s="9">
        <v>46023</v>
      </c>
      <c r="D2991">
        <v>3</v>
      </c>
      <c r="E2991" s="16" t="s">
        <v>86</v>
      </c>
      <c r="F2991" s="16" t="s">
        <v>87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61</v>
      </c>
      <c r="C2992" s="9">
        <v>46054</v>
      </c>
      <c r="D2992">
        <v>3</v>
      </c>
      <c r="E2992" s="16" t="s">
        <v>86</v>
      </c>
      <c r="F2992" s="16" t="s">
        <v>87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61</v>
      </c>
      <c r="C2993" s="9">
        <v>46082</v>
      </c>
      <c r="D2993">
        <v>3</v>
      </c>
      <c r="E2993" s="16" t="s">
        <v>86</v>
      </c>
      <c r="F2993" s="16" t="s">
        <v>87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61</v>
      </c>
      <c r="C2994" s="9">
        <v>46113</v>
      </c>
      <c r="D2994">
        <v>3</v>
      </c>
      <c r="E2994" s="16" t="s">
        <v>86</v>
      </c>
      <c r="F2994" s="16" t="s">
        <v>87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61</v>
      </c>
      <c r="C2995" s="9">
        <v>46143</v>
      </c>
      <c r="D2995">
        <v>3</v>
      </c>
      <c r="E2995" s="16" t="s">
        <v>86</v>
      </c>
      <c r="F2995" s="16" t="s">
        <v>87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61</v>
      </c>
      <c r="C2996" s="9">
        <v>46174</v>
      </c>
      <c r="D2996">
        <v>3</v>
      </c>
      <c r="E2996" s="16" t="s">
        <v>86</v>
      </c>
      <c r="F2996" s="16" t="s">
        <v>87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61</v>
      </c>
      <c r="C2997" s="9">
        <v>46204</v>
      </c>
      <c r="D2997">
        <v>3</v>
      </c>
      <c r="E2997" s="16" t="s">
        <v>86</v>
      </c>
      <c r="F2997" s="16" t="s">
        <v>87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61</v>
      </c>
      <c r="C2998" s="9">
        <v>46235</v>
      </c>
      <c r="D2998">
        <v>3</v>
      </c>
      <c r="E2998" s="16" t="s">
        <v>86</v>
      </c>
      <c r="F2998" s="16" t="s">
        <v>87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61</v>
      </c>
      <c r="C2999" s="9">
        <v>46266</v>
      </c>
      <c r="D2999">
        <v>3</v>
      </c>
      <c r="E2999" s="16" t="s">
        <v>86</v>
      </c>
      <c r="F2999" s="16" t="s">
        <v>87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61</v>
      </c>
      <c r="C3000" s="9">
        <v>45689</v>
      </c>
      <c r="D3000">
        <v>4</v>
      </c>
      <c r="E3000" s="16" t="s">
        <v>88</v>
      </c>
      <c r="F3000" s="16" t="s">
        <v>89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61</v>
      </c>
      <c r="C3001" s="9">
        <v>45717</v>
      </c>
      <c r="D3001">
        <v>4</v>
      </c>
      <c r="E3001" s="16" t="s">
        <v>88</v>
      </c>
      <c r="F3001" s="16" t="s">
        <v>89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61</v>
      </c>
      <c r="C3002" s="9">
        <v>45748</v>
      </c>
      <c r="D3002">
        <v>4</v>
      </c>
      <c r="E3002" s="16" t="s">
        <v>88</v>
      </c>
      <c r="F3002" s="16" t="s">
        <v>89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61</v>
      </c>
      <c r="C3003" s="9">
        <v>45778</v>
      </c>
      <c r="D3003">
        <v>4</v>
      </c>
      <c r="E3003" s="16" t="s">
        <v>88</v>
      </c>
      <c r="F3003" s="16" t="s">
        <v>89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61</v>
      </c>
      <c r="C3004" s="9">
        <v>45809</v>
      </c>
      <c r="D3004">
        <v>4</v>
      </c>
      <c r="E3004" s="16" t="s">
        <v>88</v>
      </c>
      <c r="F3004" s="16" t="s">
        <v>89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61</v>
      </c>
      <c r="C3005" s="9">
        <v>45839</v>
      </c>
      <c r="D3005">
        <v>4</v>
      </c>
      <c r="E3005" s="16" t="s">
        <v>88</v>
      </c>
      <c r="F3005" s="16" t="s">
        <v>89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61</v>
      </c>
      <c r="C3006" s="9">
        <v>45870</v>
      </c>
      <c r="D3006">
        <v>4</v>
      </c>
      <c r="E3006" s="16" t="s">
        <v>88</v>
      </c>
      <c r="F3006" s="16" t="s">
        <v>89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61</v>
      </c>
      <c r="C3007" s="9">
        <v>45901</v>
      </c>
      <c r="D3007">
        <v>4</v>
      </c>
      <c r="E3007" s="16" t="s">
        <v>88</v>
      </c>
      <c r="F3007" s="16" t="s">
        <v>89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61</v>
      </c>
      <c r="C3008" s="9">
        <v>45931</v>
      </c>
      <c r="D3008">
        <v>4</v>
      </c>
      <c r="E3008" s="16" t="s">
        <v>88</v>
      </c>
      <c r="F3008" s="16" t="s">
        <v>89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61</v>
      </c>
      <c r="C3009" s="9">
        <v>45962</v>
      </c>
      <c r="D3009">
        <v>4</v>
      </c>
      <c r="E3009" s="16" t="s">
        <v>88</v>
      </c>
      <c r="F3009" s="16" t="s">
        <v>89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61</v>
      </c>
      <c r="C3010" s="9">
        <v>45992</v>
      </c>
      <c r="D3010">
        <v>4</v>
      </c>
      <c r="E3010" s="16" t="s">
        <v>88</v>
      </c>
      <c r="F3010" s="16" t="s">
        <v>89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61</v>
      </c>
      <c r="C3011" s="9">
        <v>46023</v>
      </c>
      <c r="D3011">
        <v>4</v>
      </c>
      <c r="E3011" s="16" t="s">
        <v>88</v>
      </c>
      <c r="F3011" s="16" t="s">
        <v>89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61</v>
      </c>
      <c r="C3012" s="9">
        <v>46054</v>
      </c>
      <c r="D3012">
        <v>4</v>
      </c>
      <c r="E3012" s="16" t="s">
        <v>88</v>
      </c>
      <c r="F3012" s="16" t="s">
        <v>89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61</v>
      </c>
      <c r="C3013" s="9">
        <v>46082</v>
      </c>
      <c r="D3013">
        <v>4</v>
      </c>
      <c r="E3013" s="16" t="s">
        <v>88</v>
      </c>
      <c r="F3013" s="16" t="s">
        <v>89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61</v>
      </c>
      <c r="C3014" s="9">
        <v>46113</v>
      </c>
      <c r="D3014">
        <v>4</v>
      </c>
      <c r="E3014" s="16" t="s">
        <v>88</v>
      </c>
      <c r="F3014" s="16" t="s">
        <v>89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61</v>
      </c>
      <c r="C3015" s="9">
        <v>46143</v>
      </c>
      <c r="D3015">
        <v>4</v>
      </c>
      <c r="E3015" s="16" t="s">
        <v>88</v>
      </c>
      <c r="F3015" s="16" t="s">
        <v>89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61</v>
      </c>
      <c r="C3016" s="9">
        <v>46174</v>
      </c>
      <c r="D3016">
        <v>4</v>
      </c>
      <c r="E3016" s="16" t="s">
        <v>88</v>
      </c>
      <c r="F3016" s="16" t="s">
        <v>89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61</v>
      </c>
      <c r="C3017" s="9">
        <v>46204</v>
      </c>
      <c r="D3017">
        <v>4</v>
      </c>
      <c r="E3017" s="16" t="s">
        <v>88</v>
      </c>
      <c r="F3017" s="16" t="s">
        <v>89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61</v>
      </c>
      <c r="C3018" s="9">
        <v>46235</v>
      </c>
      <c r="D3018">
        <v>4</v>
      </c>
      <c r="E3018" s="16" t="s">
        <v>88</v>
      </c>
      <c r="F3018" s="16" t="s">
        <v>89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61</v>
      </c>
      <c r="C3019" s="9">
        <v>46266</v>
      </c>
      <c r="D3019">
        <v>4</v>
      </c>
      <c r="E3019" s="16" t="s">
        <v>88</v>
      </c>
      <c r="F3019" s="16" t="s">
        <v>89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61</v>
      </c>
      <c r="C3020" s="9">
        <v>45689</v>
      </c>
      <c r="D3020">
        <v>5</v>
      </c>
      <c r="E3020" s="16" t="s">
        <v>90</v>
      </c>
      <c r="F3020" s="16" t="s">
        <v>85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61</v>
      </c>
      <c r="C3021" s="9">
        <v>45717</v>
      </c>
      <c r="D3021">
        <v>5</v>
      </c>
      <c r="E3021" s="16" t="s">
        <v>90</v>
      </c>
      <c r="F3021" s="16" t="s">
        <v>85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61</v>
      </c>
      <c r="C3022" s="9">
        <v>45748</v>
      </c>
      <c r="D3022">
        <v>5</v>
      </c>
      <c r="E3022" s="16" t="s">
        <v>90</v>
      </c>
      <c r="F3022" s="16" t="s">
        <v>85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61</v>
      </c>
      <c r="C3023" s="9">
        <v>45778</v>
      </c>
      <c r="D3023">
        <v>5</v>
      </c>
      <c r="E3023" s="16" t="s">
        <v>90</v>
      </c>
      <c r="F3023" s="16" t="s">
        <v>85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61</v>
      </c>
      <c r="C3024" s="9">
        <v>45809</v>
      </c>
      <c r="D3024">
        <v>5</v>
      </c>
      <c r="E3024" s="16" t="s">
        <v>90</v>
      </c>
      <c r="F3024" s="16" t="s">
        <v>85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61</v>
      </c>
      <c r="C3025" s="9">
        <v>45839</v>
      </c>
      <c r="D3025">
        <v>5</v>
      </c>
      <c r="E3025" s="16" t="s">
        <v>90</v>
      </c>
      <c r="F3025" s="16" t="s">
        <v>85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61</v>
      </c>
      <c r="C3026" s="9">
        <v>45870</v>
      </c>
      <c r="D3026">
        <v>5</v>
      </c>
      <c r="E3026" s="16" t="s">
        <v>90</v>
      </c>
      <c r="F3026" s="16" t="s">
        <v>85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61</v>
      </c>
      <c r="C3027" s="9">
        <v>45901</v>
      </c>
      <c r="D3027">
        <v>5</v>
      </c>
      <c r="E3027" s="16" t="s">
        <v>90</v>
      </c>
      <c r="F3027" s="16" t="s">
        <v>85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61</v>
      </c>
      <c r="C3028" s="9">
        <v>45931</v>
      </c>
      <c r="D3028">
        <v>5</v>
      </c>
      <c r="E3028" s="16" t="s">
        <v>90</v>
      </c>
      <c r="F3028" s="16" t="s">
        <v>85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61</v>
      </c>
      <c r="C3029" s="9">
        <v>45962</v>
      </c>
      <c r="D3029">
        <v>5</v>
      </c>
      <c r="E3029" s="16" t="s">
        <v>90</v>
      </c>
      <c r="F3029" s="16" t="s">
        <v>85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61</v>
      </c>
      <c r="C3030" s="9">
        <v>45992</v>
      </c>
      <c r="D3030">
        <v>5</v>
      </c>
      <c r="E3030" s="16" t="s">
        <v>90</v>
      </c>
      <c r="F3030" s="16" t="s">
        <v>85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61</v>
      </c>
      <c r="C3031" s="9">
        <v>46023</v>
      </c>
      <c r="D3031">
        <v>5</v>
      </c>
      <c r="E3031" s="16" t="s">
        <v>90</v>
      </c>
      <c r="F3031" s="16" t="s">
        <v>85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61</v>
      </c>
      <c r="C3032" s="9">
        <v>46054</v>
      </c>
      <c r="D3032">
        <v>5</v>
      </c>
      <c r="E3032" s="16" t="s">
        <v>90</v>
      </c>
      <c r="F3032" s="16" t="s">
        <v>85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61</v>
      </c>
      <c r="C3033" s="9">
        <v>46082</v>
      </c>
      <c r="D3033">
        <v>5</v>
      </c>
      <c r="E3033" s="16" t="s">
        <v>90</v>
      </c>
      <c r="F3033" s="16" t="s">
        <v>85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61</v>
      </c>
      <c r="C3034" s="9">
        <v>46113</v>
      </c>
      <c r="D3034">
        <v>5</v>
      </c>
      <c r="E3034" s="16" t="s">
        <v>90</v>
      </c>
      <c r="F3034" s="16" t="s">
        <v>85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61</v>
      </c>
      <c r="C3035" s="9">
        <v>46143</v>
      </c>
      <c r="D3035">
        <v>5</v>
      </c>
      <c r="E3035" s="16" t="s">
        <v>90</v>
      </c>
      <c r="F3035" s="16" t="s">
        <v>85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61</v>
      </c>
      <c r="C3036" s="9">
        <v>46174</v>
      </c>
      <c r="D3036">
        <v>5</v>
      </c>
      <c r="E3036" s="16" t="s">
        <v>90</v>
      </c>
      <c r="F3036" s="16" t="s">
        <v>85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61</v>
      </c>
      <c r="C3037" s="9">
        <v>46204</v>
      </c>
      <c r="D3037">
        <v>5</v>
      </c>
      <c r="E3037" s="16" t="s">
        <v>90</v>
      </c>
      <c r="F3037" s="16" t="s">
        <v>85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61</v>
      </c>
      <c r="C3038" s="9">
        <v>46235</v>
      </c>
      <c r="D3038">
        <v>5</v>
      </c>
      <c r="E3038" s="16" t="s">
        <v>90</v>
      </c>
      <c r="F3038" s="16" t="s">
        <v>85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61</v>
      </c>
      <c r="C3039" s="9">
        <v>46266</v>
      </c>
      <c r="D3039">
        <v>5</v>
      </c>
      <c r="E3039" s="16" t="s">
        <v>90</v>
      </c>
      <c r="F3039" s="16" t="s">
        <v>85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61</v>
      </c>
      <c r="C3040" s="9">
        <v>45689</v>
      </c>
      <c r="D3040">
        <v>6</v>
      </c>
      <c r="E3040" s="16" t="s">
        <v>91</v>
      </c>
      <c r="F3040" s="16" t="s">
        <v>92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61</v>
      </c>
      <c r="C3041" s="9">
        <v>45717</v>
      </c>
      <c r="D3041">
        <v>6</v>
      </c>
      <c r="E3041" s="16" t="s">
        <v>91</v>
      </c>
      <c r="F3041" s="16" t="s">
        <v>92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61</v>
      </c>
      <c r="C3042" s="9">
        <v>45748</v>
      </c>
      <c r="D3042">
        <v>6</v>
      </c>
      <c r="E3042" s="16" t="s">
        <v>91</v>
      </c>
      <c r="F3042" s="16" t="s">
        <v>92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61</v>
      </c>
      <c r="C3043" s="9">
        <v>45778</v>
      </c>
      <c r="D3043">
        <v>6</v>
      </c>
      <c r="E3043" s="16" t="s">
        <v>91</v>
      </c>
      <c r="F3043" s="16" t="s">
        <v>92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61</v>
      </c>
      <c r="C3044" s="9">
        <v>45809</v>
      </c>
      <c r="D3044">
        <v>6</v>
      </c>
      <c r="E3044" s="16" t="s">
        <v>91</v>
      </c>
      <c r="F3044" s="16" t="s">
        <v>92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61</v>
      </c>
      <c r="C3045" s="9">
        <v>45839</v>
      </c>
      <c r="D3045">
        <v>6</v>
      </c>
      <c r="E3045" s="16" t="s">
        <v>91</v>
      </c>
      <c r="F3045" s="16" t="s">
        <v>92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61</v>
      </c>
      <c r="C3046" s="9">
        <v>45870</v>
      </c>
      <c r="D3046">
        <v>6</v>
      </c>
      <c r="E3046" s="16" t="s">
        <v>91</v>
      </c>
      <c r="F3046" s="16" t="s">
        <v>92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61</v>
      </c>
      <c r="C3047" s="9">
        <v>45901</v>
      </c>
      <c r="D3047">
        <v>6</v>
      </c>
      <c r="E3047" s="16" t="s">
        <v>91</v>
      </c>
      <c r="F3047" s="16" t="s">
        <v>92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61</v>
      </c>
      <c r="C3048" s="9">
        <v>45931</v>
      </c>
      <c r="D3048">
        <v>6</v>
      </c>
      <c r="E3048" s="16" t="s">
        <v>91</v>
      </c>
      <c r="F3048" s="16" t="s">
        <v>92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61</v>
      </c>
      <c r="C3049" s="9">
        <v>45962</v>
      </c>
      <c r="D3049">
        <v>6</v>
      </c>
      <c r="E3049" s="16" t="s">
        <v>91</v>
      </c>
      <c r="F3049" s="16" t="s">
        <v>92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61</v>
      </c>
      <c r="C3050" s="9">
        <v>45992</v>
      </c>
      <c r="D3050">
        <v>6</v>
      </c>
      <c r="E3050" s="16" t="s">
        <v>91</v>
      </c>
      <c r="F3050" s="16" t="s">
        <v>92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61</v>
      </c>
      <c r="C3051" s="9">
        <v>46023</v>
      </c>
      <c r="D3051">
        <v>6</v>
      </c>
      <c r="E3051" s="16" t="s">
        <v>91</v>
      </c>
      <c r="F3051" s="16" t="s">
        <v>92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61</v>
      </c>
      <c r="C3052" s="9">
        <v>46054</v>
      </c>
      <c r="D3052">
        <v>6</v>
      </c>
      <c r="E3052" s="16" t="s">
        <v>91</v>
      </c>
      <c r="F3052" s="16" t="s">
        <v>92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61</v>
      </c>
      <c r="C3053" s="9">
        <v>46082</v>
      </c>
      <c r="D3053">
        <v>6</v>
      </c>
      <c r="E3053" s="16" t="s">
        <v>91</v>
      </c>
      <c r="F3053" s="16" t="s">
        <v>92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61</v>
      </c>
      <c r="C3054" s="9">
        <v>46113</v>
      </c>
      <c r="D3054">
        <v>6</v>
      </c>
      <c r="E3054" s="16" t="s">
        <v>91</v>
      </c>
      <c r="F3054" s="16" t="s">
        <v>92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61</v>
      </c>
      <c r="C3055" s="9">
        <v>46143</v>
      </c>
      <c r="D3055">
        <v>6</v>
      </c>
      <c r="E3055" s="16" t="s">
        <v>91</v>
      </c>
      <c r="F3055" s="16" t="s">
        <v>92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61</v>
      </c>
      <c r="C3056" s="9">
        <v>46174</v>
      </c>
      <c r="D3056">
        <v>6</v>
      </c>
      <c r="E3056" s="16" t="s">
        <v>91</v>
      </c>
      <c r="F3056" s="16" t="s">
        <v>92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61</v>
      </c>
      <c r="C3057" s="9">
        <v>46204</v>
      </c>
      <c r="D3057">
        <v>6</v>
      </c>
      <c r="E3057" s="16" t="s">
        <v>91</v>
      </c>
      <c r="F3057" s="16" t="s">
        <v>92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61</v>
      </c>
      <c r="C3058" s="9">
        <v>46235</v>
      </c>
      <c r="D3058">
        <v>6</v>
      </c>
      <c r="E3058" s="16" t="s">
        <v>91</v>
      </c>
      <c r="F3058" s="16" t="s">
        <v>92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61</v>
      </c>
      <c r="C3059" s="9">
        <v>46266</v>
      </c>
      <c r="D3059">
        <v>6</v>
      </c>
      <c r="E3059" s="16" t="s">
        <v>91</v>
      </c>
      <c r="F3059" s="16" t="s">
        <v>92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61</v>
      </c>
      <c r="C3060" s="9">
        <v>45689</v>
      </c>
      <c r="D3060">
        <v>7</v>
      </c>
      <c r="E3060" s="16" t="s">
        <v>93</v>
      </c>
      <c r="F3060" s="16" t="s">
        <v>94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61</v>
      </c>
      <c r="C3061" s="9">
        <v>45717</v>
      </c>
      <c r="D3061">
        <v>7</v>
      </c>
      <c r="E3061" s="16" t="s">
        <v>93</v>
      </c>
      <c r="F3061" s="16" t="s">
        <v>94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61</v>
      </c>
      <c r="C3062" s="9">
        <v>45748</v>
      </c>
      <c r="D3062">
        <v>7</v>
      </c>
      <c r="E3062" s="16" t="s">
        <v>93</v>
      </c>
      <c r="F3062" s="16" t="s">
        <v>94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61</v>
      </c>
      <c r="C3063" s="9">
        <v>45778</v>
      </c>
      <c r="D3063">
        <v>7</v>
      </c>
      <c r="E3063" s="16" t="s">
        <v>93</v>
      </c>
      <c r="F3063" s="16" t="s">
        <v>94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61</v>
      </c>
      <c r="C3064" s="9">
        <v>45809</v>
      </c>
      <c r="D3064">
        <v>7</v>
      </c>
      <c r="E3064" s="16" t="s">
        <v>93</v>
      </c>
      <c r="F3064" s="16" t="s">
        <v>94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61</v>
      </c>
      <c r="C3065" s="9">
        <v>45839</v>
      </c>
      <c r="D3065">
        <v>7</v>
      </c>
      <c r="E3065" s="16" t="s">
        <v>93</v>
      </c>
      <c r="F3065" s="16" t="s">
        <v>94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61</v>
      </c>
      <c r="C3066" s="9">
        <v>45870</v>
      </c>
      <c r="D3066">
        <v>7</v>
      </c>
      <c r="E3066" s="16" t="s">
        <v>93</v>
      </c>
      <c r="F3066" s="16" t="s">
        <v>94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61</v>
      </c>
      <c r="C3067" s="9">
        <v>45901</v>
      </c>
      <c r="D3067">
        <v>7</v>
      </c>
      <c r="E3067" s="16" t="s">
        <v>93</v>
      </c>
      <c r="F3067" s="16" t="s">
        <v>94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61</v>
      </c>
      <c r="C3068" s="9">
        <v>45931</v>
      </c>
      <c r="D3068">
        <v>7</v>
      </c>
      <c r="E3068" s="16" t="s">
        <v>93</v>
      </c>
      <c r="F3068" s="16" t="s">
        <v>94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61</v>
      </c>
      <c r="C3069" s="9">
        <v>45962</v>
      </c>
      <c r="D3069">
        <v>7</v>
      </c>
      <c r="E3069" s="16" t="s">
        <v>93</v>
      </c>
      <c r="F3069" s="16" t="s">
        <v>94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61</v>
      </c>
      <c r="C3070" s="9">
        <v>45992</v>
      </c>
      <c r="D3070">
        <v>7</v>
      </c>
      <c r="E3070" s="16" t="s">
        <v>93</v>
      </c>
      <c r="F3070" s="16" t="s">
        <v>94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61</v>
      </c>
      <c r="C3071" s="9">
        <v>46023</v>
      </c>
      <c r="D3071">
        <v>7</v>
      </c>
      <c r="E3071" s="16" t="s">
        <v>93</v>
      </c>
      <c r="F3071" s="16" t="s">
        <v>94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61</v>
      </c>
      <c r="C3072" s="9">
        <v>46054</v>
      </c>
      <c r="D3072">
        <v>7</v>
      </c>
      <c r="E3072" s="16" t="s">
        <v>93</v>
      </c>
      <c r="F3072" s="16" t="s">
        <v>94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61</v>
      </c>
      <c r="C3073" s="9">
        <v>46082</v>
      </c>
      <c r="D3073">
        <v>7</v>
      </c>
      <c r="E3073" s="16" t="s">
        <v>93</v>
      </c>
      <c r="F3073" s="16" t="s">
        <v>94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61</v>
      </c>
      <c r="C3074" s="9">
        <v>46113</v>
      </c>
      <c r="D3074">
        <v>7</v>
      </c>
      <c r="E3074" s="16" t="s">
        <v>93</v>
      </c>
      <c r="F3074" s="16" t="s">
        <v>94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61</v>
      </c>
      <c r="C3075" s="9">
        <v>46143</v>
      </c>
      <c r="D3075">
        <v>7</v>
      </c>
      <c r="E3075" s="16" t="s">
        <v>93</v>
      </c>
      <c r="F3075" s="16" t="s">
        <v>94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61</v>
      </c>
      <c r="C3076" s="9">
        <v>46174</v>
      </c>
      <c r="D3076">
        <v>7</v>
      </c>
      <c r="E3076" s="16" t="s">
        <v>93</v>
      </c>
      <c r="F3076" s="16" t="s">
        <v>94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61</v>
      </c>
      <c r="C3077" s="9">
        <v>46204</v>
      </c>
      <c r="D3077">
        <v>7</v>
      </c>
      <c r="E3077" s="16" t="s">
        <v>93</v>
      </c>
      <c r="F3077" s="16" t="s">
        <v>94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61</v>
      </c>
      <c r="C3078" s="9">
        <v>46235</v>
      </c>
      <c r="D3078">
        <v>7</v>
      </c>
      <c r="E3078" s="16" t="s">
        <v>93</v>
      </c>
      <c r="F3078" s="16" t="s">
        <v>94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61</v>
      </c>
      <c r="C3079" s="9">
        <v>46266</v>
      </c>
      <c r="D3079">
        <v>7</v>
      </c>
      <c r="E3079" s="16" t="s">
        <v>93</v>
      </c>
      <c r="F3079" s="16" t="s">
        <v>94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61</v>
      </c>
      <c r="C3080" s="9">
        <v>45689</v>
      </c>
      <c r="D3080">
        <v>8</v>
      </c>
      <c r="E3080" s="16" t="s">
        <v>95</v>
      </c>
      <c r="F3080" s="16" t="s">
        <v>85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61</v>
      </c>
      <c r="C3081" s="9">
        <v>45717</v>
      </c>
      <c r="D3081">
        <v>8</v>
      </c>
      <c r="E3081" s="16" t="s">
        <v>95</v>
      </c>
      <c r="F3081" s="16" t="s">
        <v>85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61</v>
      </c>
      <c r="C3082" s="9">
        <v>45748</v>
      </c>
      <c r="D3082">
        <v>8</v>
      </c>
      <c r="E3082" s="16" t="s">
        <v>95</v>
      </c>
      <c r="F3082" s="16" t="s">
        <v>85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61</v>
      </c>
      <c r="C3083" s="9">
        <v>45778</v>
      </c>
      <c r="D3083">
        <v>8</v>
      </c>
      <c r="E3083" s="16" t="s">
        <v>95</v>
      </c>
      <c r="F3083" s="16" t="s">
        <v>85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61</v>
      </c>
      <c r="C3084" s="9">
        <v>45809</v>
      </c>
      <c r="D3084">
        <v>8</v>
      </c>
      <c r="E3084" s="16" t="s">
        <v>95</v>
      </c>
      <c r="F3084" s="16" t="s">
        <v>85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61</v>
      </c>
      <c r="C3085" s="9">
        <v>45839</v>
      </c>
      <c r="D3085">
        <v>8</v>
      </c>
      <c r="E3085" s="16" t="s">
        <v>95</v>
      </c>
      <c r="F3085" s="16" t="s">
        <v>85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61</v>
      </c>
      <c r="C3086" s="9">
        <v>45870</v>
      </c>
      <c r="D3086">
        <v>8</v>
      </c>
      <c r="E3086" s="16" t="s">
        <v>95</v>
      </c>
      <c r="F3086" s="16" t="s">
        <v>85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61</v>
      </c>
      <c r="C3087" s="9">
        <v>45901</v>
      </c>
      <c r="D3087">
        <v>8</v>
      </c>
      <c r="E3087" s="16" t="s">
        <v>95</v>
      </c>
      <c r="F3087" s="16" t="s">
        <v>85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61</v>
      </c>
      <c r="C3088" s="9">
        <v>45931</v>
      </c>
      <c r="D3088">
        <v>8</v>
      </c>
      <c r="E3088" s="16" t="s">
        <v>95</v>
      </c>
      <c r="F3088" s="16" t="s">
        <v>85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61</v>
      </c>
      <c r="C3089" s="9">
        <v>45962</v>
      </c>
      <c r="D3089">
        <v>8</v>
      </c>
      <c r="E3089" s="16" t="s">
        <v>95</v>
      </c>
      <c r="F3089" s="16" t="s">
        <v>85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61</v>
      </c>
      <c r="C3090" s="9">
        <v>45992</v>
      </c>
      <c r="D3090">
        <v>8</v>
      </c>
      <c r="E3090" s="16" t="s">
        <v>95</v>
      </c>
      <c r="F3090" s="16" t="s">
        <v>85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61</v>
      </c>
      <c r="C3091" s="9">
        <v>46023</v>
      </c>
      <c r="D3091">
        <v>8</v>
      </c>
      <c r="E3091" s="16" t="s">
        <v>95</v>
      </c>
      <c r="F3091" s="16" t="s">
        <v>85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61</v>
      </c>
      <c r="C3092" s="9">
        <v>46054</v>
      </c>
      <c r="D3092">
        <v>8</v>
      </c>
      <c r="E3092" s="16" t="s">
        <v>95</v>
      </c>
      <c r="F3092" s="16" t="s">
        <v>85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61</v>
      </c>
      <c r="C3093" s="9">
        <v>46082</v>
      </c>
      <c r="D3093">
        <v>8</v>
      </c>
      <c r="E3093" s="16" t="s">
        <v>95</v>
      </c>
      <c r="F3093" s="16" t="s">
        <v>85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61</v>
      </c>
      <c r="C3094" s="9">
        <v>46113</v>
      </c>
      <c r="D3094">
        <v>8</v>
      </c>
      <c r="E3094" s="16" t="s">
        <v>95</v>
      </c>
      <c r="F3094" s="16" t="s">
        <v>85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61</v>
      </c>
      <c r="C3095" s="9">
        <v>46143</v>
      </c>
      <c r="D3095">
        <v>8</v>
      </c>
      <c r="E3095" s="16" t="s">
        <v>95</v>
      </c>
      <c r="F3095" s="16" t="s">
        <v>85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61</v>
      </c>
      <c r="C3096" s="9">
        <v>46174</v>
      </c>
      <c r="D3096">
        <v>8</v>
      </c>
      <c r="E3096" s="16" t="s">
        <v>95</v>
      </c>
      <c r="F3096" s="16" t="s">
        <v>85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61</v>
      </c>
      <c r="C3097" s="9">
        <v>46204</v>
      </c>
      <c r="D3097">
        <v>8</v>
      </c>
      <c r="E3097" s="16" t="s">
        <v>95</v>
      </c>
      <c r="F3097" s="16" t="s">
        <v>85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61</v>
      </c>
      <c r="C3098" s="9">
        <v>46235</v>
      </c>
      <c r="D3098">
        <v>8</v>
      </c>
      <c r="E3098" s="16" t="s">
        <v>95</v>
      </c>
      <c r="F3098" s="16" t="s">
        <v>85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61</v>
      </c>
      <c r="C3099" s="9">
        <v>46266</v>
      </c>
      <c r="D3099">
        <v>8</v>
      </c>
      <c r="E3099" s="16" t="s">
        <v>95</v>
      </c>
      <c r="F3099" s="16" t="s">
        <v>85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61</v>
      </c>
      <c r="C3100" s="9">
        <v>45689</v>
      </c>
      <c r="D3100">
        <v>9</v>
      </c>
      <c r="E3100" s="16" t="s">
        <v>96</v>
      </c>
      <c r="F3100" s="16" t="s">
        <v>87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61</v>
      </c>
      <c r="C3101" s="9">
        <v>45717</v>
      </c>
      <c r="D3101">
        <v>9</v>
      </c>
      <c r="E3101" s="16" t="s">
        <v>96</v>
      </c>
      <c r="F3101" s="16" t="s">
        <v>87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61</v>
      </c>
      <c r="C3102" s="9">
        <v>45748</v>
      </c>
      <c r="D3102">
        <v>9</v>
      </c>
      <c r="E3102" s="16" t="s">
        <v>96</v>
      </c>
      <c r="F3102" s="16" t="s">
        <v>87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61</v>
      </c>
      <c r="C3103" s="9">
        <v>45778</v>
      </c>
      <c r="D3103">
        <v>9</v>
      </c>
      <c r="E3103" s="16" t="s">
        <v>96</v>
      </c>
      <c r="F3103" s="16" t="s">
        <v>87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61</v>
      </c>
      <c r="C3104" s="9">
        <v>45809</v>
      </c>
      <c r="D3104">
        <v>9</v>
      </c>
      <c r="E3104" s="16" t="s">
        <v>96</v>
      </c>
      <c r="F3104" s="16" t="s">
        <v>87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61</v>
      </c>
      <c r="C3105" s="9">
        <v>45839</v>
      </c>
      <c r="D3105">
        <v>9</v>
      </c>
      <c r="E3105" s="16" t="s">
        <v>96</v>
      </c>
      <c r="F3105" s="16" t="s">
        <v>87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61</v>
      </c>
      <c r="C3106" s="9">
        <v>45870</v>
      </c>
      <c r="D3106">
        <v>9</v>
      </c>
      <c r="E3106" s="16" t="s">
        <v>96</v>
      </c>
      <c r="F3106" s="16" t="s">
        <v>87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61</v>
      </c>
      <c r="C3107" s="9">
        <v>45901</v>
      </c>
      <c r="D3107">
        <v>9</v>
      </c>
      <c r="E3107" s="16" t="s">
        <v>96</v>
      </c>
      <c r="F3107" s="16" t="s">
        <v>87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61</v>
      </c>
      <c r="C3108" s="9">
        <v>45931</v>
      </c>
      <c r="D3108">
        <v>9</v>
      </c>
      <c r="E3108" s="16" t="s">
        <v>96</v>
      </c>
      <c r="F3108" s="16" t="s">
        <v>87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61</v>
      </c>
      <c r="C3109" s="9">
        <v>45962</v>
      </c>
      <c r="D3109">
        <v>9</v>
      </c>
      <c r="E3109" s="16" t="s">
        <v>96</v>
      </c>
      <c r="F3109" s="16" t="s">
        <v>87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61</v>
      </c>
      <c r="C3110" s="9">
        <v>45992</v>
      </c>
      <c r="D3110">
        <v>9</v>
      </c>
      <c r="E3110" s="16" t="s">
        <v>96</v>
      </c>
      <c r="F3110" s="16" t="s">
        <v>87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61</v>
      </c>
      <c r="C3111" s="9">
        <v>46023</v>
      </c>
      <c r="D3111">
        <v>9</v>
      </c>
      <c r="E3111" s="16" t="s">
        <v>96</v>
      </c>
      <c r="F3111" s="16" t="s">
        <v>87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61</v>
      </c>
      <c r="C3112" s="9">
        <v>46054</v>
      </c>
      <c r="D3112">
        <v>9</v>
      </c>
      <c r="E3112" s="16" t="s">
        <v>96</v>
      </c>
      <c r="F3112" s="16" t="s">
        <v>87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61</v>
      </c>
      <c r="C3113" s="9">
        <v>46082</v>
      </c>
      <c r="D3113">
        <v>9</v>
      </c>
      <c r="E3113" s="16" t="s">
        <v>96</v>
      </c>
      <c r="F3113" s="16" t="s">
        <v>87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61</v>
      </c>
      <c r="C3114" s="9">
        <v>46113</v>
      </c>
      <c r="D3114">
        <v>9</v>
      </c>
      <c r="E3114" s="16" t="s">
        <v>96</v>
      </c>
      <c r="F3114" s="16" t="s">
        <v>87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61</v>
      </c>
      <c r="C3115" s="9">
        <v>46143</v>
      </c>
      <c r="D3115">
        <v>9</v>
      </c>
      <c r="E3115" s="16" t="s">
        <v>96</v>
      </c>
      <c r="F3115" s="16" t="s">
        <v>87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61</v>
      </c>
      <c r="C3116" s="9">
        <v>46174</v>
      </c>
      <c r="D3116">
        <v>9</v>
      </c>
      <c r="E3116" s="16" t="s">
        <v>96</v>
      </c>
      <c r="F3116" s="16" t="s">
        <v>87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61</v>
      </c>
      <c r="C3117" s="9">
        <v>46204</v>
      </c>
      <c r="D3117">
        <v>9</v>
      </c>
      <c r="E3117" s="16" t="s">
        <v>96</v>
      </c>
      <c r="F3117" s="16" t="s">
        <v>87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61</v>
      </c>
      <c r="C3118" s="9">
        <v>46235</v>
      </c>
      <c r="D3118">
        <v>9</v>
      </c>
      <c r="E3118" s="16" t="s">
        <v>96</v>
      </c>
      <c r="F3118" s="16" t="s">
        <v>87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61</v>
      </c>
      <c r="C3119" s="9">
        <v>46266</v>
      </c>
      <c r="D3119">
        <v>9</v>
      </c>
      <c r="E3119" s="16" t="s">
        <v>96</v>
      </c>
      <c r="F3119" s="16" t="s">
        <v>87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61</v>
      </c>
      <c r="C3120" s="9">
        <v>45689</v>
      </c>
      <c r="D3120">
        <v>10</v>
      </c>
      <c r="E3120" s="16" t="s">
        <v>97</v>
      </c>
      <c r="F3120" s="16" t="s">
        <v>85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61</v>
      </c>
      <c r="C3121" s="9">
        <v>45717</v>
      </c>
      <c r="D3121">
        <v>10</v>
      </c>
      <c r="E3121" s="16" t="s">
        <v>97</v>
      </c>
      <c r="F3121" s="16" t="s">
        <v>85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61</v>
      </c>
      <c r="C3122" s="9">
        <v>45748</v>
      </c>
      <c r="D3122">
        <v>10</v>
      </c>
      <c r="E3122" s="16" t="s">
        <v>97</v>
      </c>
      <c r="F3122" s="16" t="s">
        <v>85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61</v>
      </c>
      <c r="C3123" s="9">
        <v>45778</v>
      </c>
      <c r="D3123">
        <v>10</v>
      </c>
      <c r="E3123" s="16" t="s">
        <v>97</v>
      </c>
      <c r="F3123" s="16" t="s">
        <v>85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61</v>
      </c>
      <c r="C3124" s="9">
        <v>45809</v>
      </c>
      <c r="D3124">
        <v>10</v>
      </c>
      <c r="E3124" s="16" t="s">
        <v>97</v>
      </c>
      <c r="F3124" s="16" t="s">
        <v>85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61</v>
      </c>
      <c r="C3125" s="9">
        <v>45839</v>
      </c>
      <c r="D3125">
        <v>10</v>
      </c>
      <c r="E3125" s="16" t="s">
        <v>97</v>
      </c>
      <c r="F3125" s="16" t="s">
        <v>85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61</v>
      </c>
      <c r="C3126" s="9">
        <v>45870</v>
      </c>
      <c r="D3126">
        <v>10</v>
      </c>
      <c r="E3126" s="16" t="s">
        <v>97</v>
      </c>
      <c r="F3126" s="16" t="s">
        <v>85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61</v>
      </c>
      <c r="C3127" s="9">
        <v>45901</v>
      </c>
      <c r="D3127">
        <v>10</v>
      </c>
      <c r="E3127" s="16" t="s">
        <v>97</v>
      </c>
      <c r="F3127" s="16" t="s">
        <v>85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61</v>
      </c>
      <c r="C3128" s="9">
        <v>45931</v>
      </c>
      <c r="D3128">
        <v>10</v>
      </c>
      <c r="E3128" s="16" t="s">
        <v>97</v>
      </c>
      <c r="F3128" s="16" t="s">
        <v>85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61</v>
      </c>
      <c r="C3129" s="9">
        <v>45962</v>
      </c>
      <c r="D3129">
        <v>10</v>
      </c>
      <c r="E3129" s="16" t="s">
        <v>97</v>
      </c>
      <c r="F3129" s="16" t="s">
        <v>85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61</v>
      </c>
      <c r="C3130" s="9">
        <v>45992</v>
      </c>
      <c r="D3130">
        <v>10</v>
      </c>
      <c r="E3130" s="16" t="s">
        <v>97</v>
      </c>
      <c r="F3130" s="16" t="s">
        <v>85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61</v>
      </c>
      <c r="C3131" s="9">
        <v>46023</v>
      </c>
      <c r="D3131">
        <v>10</v>
      </c>
      <c r="E3131" s="16" t="s">
        <v>97</v>
      </c>
      <c r="F3131" s="16" t="s">
        <v>85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61</v>
      </c>
      <c r="C3132" s="9">
        <v>46054</v>
      </c>
      <c r="D3132">
        <v>10</v>
      </c>
      <c r="E3132" s="16" t="s">
        <v>97</v>
      </c>
      <c r="F3132" s="16" t="s">
        <v>85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61</v>
      </c>
      <c r="C3133" s="9">
        <v>46082</v>
      </c>
      <c r="D3133">
        <v>10</v>
      </c>
      <c r="E3133" s="16" t="s">
        <v>97</v>
      </c>
      <c r="F3133" s="16" t="s">
        <v>85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61</v>
      </c>
      <c r="C3134" s="9">
        <v>46113</v>
      </c>
      <c r="D3134">
        <v>10</v>
      </c>
      <c r="E3134" s="16" t="s">
        <v>97</v>
      </c>
      <c r="F3134" s="16" t="s">
        <v>85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61</v>
      </c>
      <c r="C3135" s="9">
        <v>46143</v>
      </c>
      <c r="D3135">
        <v>10</v>
      </c>
      <c r="E3135" s="16" t="s">
        <v>97</v>
      </c>
      <c r="F3135" s="16" t="s">
        <v>85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61</v>
      </c>
      <c r="C3136" s="9">
        <v>46174</v>
      </c>
      <c r="D3136">
        <v>10</v>
      </c>
      <c r="E3136" s="16" t="s">
        <v>97</v>
      </c>
      <c r="F3136" s="16" t="s">
        <v>85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61</v>
      </c>
      <c r="C3137" s="9">
        <v>46204</v>
      </c>
      <c r="D3137">
        <v>10</v>
      </c>
      <c r="E3137" s="16" t="s">
        <v>97</v>
      </c>
      <c r="F3137" s="16" t="s">
        <v>85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61</v>
      </c>
      <c r="C3138" s="9">
        <v>46235</v>
      </c>
      <c r="D3138">
        <v>10</v>
      </c>
      <c r="E3138" s="16" t="s">
        <v>97</v>
      </c>
      <c r="F3138" s="16" t="s">
        <v>85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61</v>
      </c>
      <c r="C3139" s="9">
        <v>46266</v>
      </c>
      <c r="D3139">
        <v>10</v>
      </c>
      <c r="E3139" s="16" t="s">
        <v>97</v>
      </c>
      <c r="F3139" s="16" t="s">
        <v>85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61</v>
      </c>
      <c r="C3140" s="9">
        <v>45689</v>
      </c>
      <c r="D3140">
        <v>11</v>
      </c>
      <c r="E3140" s="16" t="s">
        <v>98</v>
      </c>
      <c r="F3140" s="16" t="s">
        <v>89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61</v>
      </c>
      <c r="C3141" s="9">
        <v>45717</v>
      </c>
      <c r="D3141">
        <v>11</v>
      </c>
      <c r="E3141" s="16" t="s">
        <v>98</v>
      </c>
      <c r="F3141" s="16" t="s">
        <v>89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61</v>
      </c>
      <c r="C3142" s="9">
        <v>45748</v>
      </c>
      <c r="D3142">
        <v>11</v>
      </c>
      <c r="E3142" s="16" t="s">
        <v>98</v>
      </c>
      <c r="F3142" s="16" t="s">
        <v>89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61</v>
      </c>
      <c r="C3143" s="9">
        <v>45778</v>
      </c>
      <c r="D3143">
        <v>11</v>
      </c>
      <c r="E3143" s="16" t="s">
        <v>98</v>
      </c>
      <c r="F3143" s="16" t="s">
        <v>89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61</v>
      </c>
      <c r="C3144" s="9">
        <v>45809</v>
      </c>
      <c r="D3144">
        <v>11</v>
      </c>
      <c r="E3144" s="16" t="s">
        <v>98</v>
      </c>
      <c r="F3144" s="16" t="s">
        <v>89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61</v>
      </c>
      <c r="C3145" s="9">
        <v>45839</v>
      </c>
      <c r="D3145">
        <v>11</v>
      </c>
      <c r="E3145" s="16" t="s">
        <v>98</v>
      </c>
      <c r="F3145" s="16" t="s">
        <v>89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61</v>
      </c>
      <c r="C3146" s="9">
        <v>45870</v>
      </c>
      <c r="D3146">
        <v>11</v>
      </c>
      <c r="E3146" s="16" t="s">
        <v>98</v>
      </c>
      <c r="F3146" s="16" t="s">
        <v>89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61</v>
      </c>
      <c r="C3147" s="9">
        <v>45901</v>
      </c>
      <c r="D3147">
        <v>11</v>
      </c>
      <c r="E3147" s="16" t="s">
        <v>98</v>
      </c>
      <c r="F3147" s="16" t="s">
        <v>89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61</v>
      </c>
      <c r="C3148" s="9">
        <v>45931</v>
      </c>
      <c r="D3148">
        <v>11</v>
      </c>
      <c r="E3148" s="16" t="s">
        <v>98</v>
      </c>
      <c r="F3148" s="16" t="s">
        <v>89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61</v>
      </c>
      <c r="C3149" s="9">
        <v>45962</v>
      </c>
      <c r="D3149">
        <v>11</v>
      </c>
      <c r="E3149" s="16" t="s">
        <v>98</v>
      </c>
      <c r="F3149" s="16" t="s">
        <v>89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61</v>
      </c>
      <c r="C3150" s="9">
        <v>45992</v>
      </c>
      <c r="D3150">
        <v>11</v>
      </c>
      <c r="E3150" s="16" t="s">
        <v>98</v>
      </c>
      <c r="F3150" s="16" t="s">
        <v>89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61</v>
      </c>
      <c r="C3151" s="9">
        <v>46023</v>
      </c>
      <c r="D3151">
        <v>11</v>
      </c>
      <c r="E3151" s="16" t="s">
        <v>98</v>
      </c>
      <c r="F3151" s="16" t="s">
        <v>89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61</v>
      </c>
      <c r="C3152" s="9">
        <v>46054</v>
      </c>
      <c r="D3152">
        <v>11</v>
      </c>
      <c r="E3152" s="16" t="s">
        <v>98</v>
      </c>
      <c r="F3152" s="16" t="s">
        <v>89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61</v>
      </c>
      <c r="C3153" s="9">
        <v>46082</v>
      </c>
      <c r="D3153">
        <v>11</v>
      </c>
      <c r="E3153" s="16" t="s">
        <v>98</v>
      </c>
      <c r="F3153" s="16" t="s">
        <v>89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61</v>
      </c>
      <c r="C3154" s="9">
        <v>46113</v>
      </c>
      <c r="D3154">
        <v>11</v>
      </c>
      <c r="E3154" s="16" t="s">
        <v>98</v>
      </c>
      <c r="F3154" s="16" t="s">
        <v>89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61</v>
      </c>
      <c r="C3155" s="9">
        <v>46143</v>
      </c>
      <c r="D3155">
        <v>11</v>
      </c>
      <c r="E3155" s="16" t="s">
        <v>98</v>
      </c>
      <c r="F3155" s="16" t="s">
        <v>89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61</v>
      </c>
      <c r="C3156" s="9">
        <v>46174</v>
      </c>
      <c r="D3156">
        <v>11</v>
      </c>
      <c r="E3156" s="16" t="s">
        <v>98</v>
      </c>
      <c r="F3156" s="16" t="s">
        <v>89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61</v>
      </c>
      <c r="C3157" s="9">
        <v>46204</v>
      </c>
      <c r="D3157">
        <v>11</v>
      </c>
      <c r="E3157" s="16" t="s">
        <v>98</v>
      </c>
      <c r="F3157" s="16" t="s">
        <v>89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61</v>
      </c>
      <c r="C3158" s="9">
        <v>46235</v>
      </c>
      <c r="D3158">
        <v>11</v>
      </c>
      <c r="E3158" s="16" t="s">
        <v>98</v>
      </c>
      <c r="F3158" s="16" t="s">
        <v>89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61</v>
      </c>
      <c r="C3159" s="9">
        <v>46266</v>
      </c>
      <c r="D3159">
        <v>11</v>
      </c>
      <c r="E3159" s="16" t="s">
        <v>98</v>
      </c>
      <c r="F3159" s="16" t="s">
        <v>89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61</v>
      </c>
      <c r="C3160" s="9">
        <v>45689</v>
      </c>
      <c r="D3160">
        <v>13</v>
      </c>
      <c r="E3160" s="16" t="s">
        <v>99</v>
      </c>
      <c r="F3160" s="16" t="s">
        <v>100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61</v>
      </c>
      <c r="C3161" s="9">
        <v>45717</v>
      </c>
      <c r="D3161">
        <v>13</v>
      </c>
      <c r="E3161" s="16" t="s">
        <v>99</v>
      </c>
      <c r="F3161" s="16" t="s">
        <v>100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61</v>
      </c>
      <c r="C3162" s="9">
        <v>45748</v>
      </c>
      <c r="D3162">
        <v>13</v>
      </c>
      <c r="E3162" s="16" t="s">
        <v>99</v>
      </c>
      <c r="F3162" s="16" t="s">
        <v>100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61</v>
      </c>
      <c r="C3163" s="9">
        <v>45778</v>
      </c>
      <c r="D3163">
        <v>13</v>
      </c>
      <c r="E3163" s="16" t="s">
        <v>99</v>
      </c>
      <c r="F3163" s="16" t="s">
        <v>100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61</v>
      </c>
      <c r="C3164" s="9">
        <v>45809</v>
      </c>
      <c r="D3164">
        <v>13</v>
      </c>
      <c r="E3164" s="16" t="s">
        <v>99</v>
      </c>
      <c r="F3164" s="16" t="s">
        <v>100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61</v>
      </c>
      <c r="C3165" s="9">
        <v>45839</v>
      </c>
      <c r="D3165">
        <v>13</v>
      </c>
      <c r="E3165" s="16" t="s">
        <v>99</v>
      </c>
      <c r="F3165" s="16" t="s">
        <v>100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61</v>
      </c>
      <c r="C3166" s="9">
        <v>45870</v>
      </c>
      <c r="D3166">
        <v>13</v>
      </c>
      <c r="E3166" s="16" t="s">
        <v>99</v>
      </c>
      <c r="F3166" s="16" t="s">
        <v>100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61</v>
      </c>
      <c r="C3167" s="9">
        <v>45901</v>
      </c>
      <c r="D3167">
        <v>13</v>
      </c>
      <c r="E3167" s="16" t="s">
        <v>99</v>
      </c>
      <c r="F3167" s="16" t="s">
        <v>100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61</v>
      </c>
      <c r="C3168" s="9">
        <v>45931</v>
      </c>
      <c r="D3168">
        <v>13</v>
      </c>
      <c r="E3168" s="16" t="s">
        <v>99</v>
      </c>
      <c r="F3168" s="16" t="s">
        <v>100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61</v>
      </c>
      <c r="C3169" s="9">
        <v>45962</v>
      </c>
      <c r="D3169">
        <v>13</v>
      </c>
      <c r="E3169" s="16" t="s">
        <v>99</v>
      </c>
      <c r="F3169" s="16" t="s">
        <v>100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61</v>
      </c>
      <c r="C3170" s="9">
        <v>45992</v>
      </c>
      <c r="D3170">
        <v>13</v>
      </c>
      <c r="E3170" s="16" t="s">
        <v>99</v>
      </c>
      <c r="F3170" s="16" t="s">
        <v>100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61</v>
      </c>
      <c r="C3171" s="9">
        <v>46023</v>
      </c>
      <c r="D3171">
        <v>13</v>
      </c>
      <c r="E3171" s="16" t="s">
        <v>99</v>
      </c>
      <c r="F3171" s="16" t="s">
        <v>100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61</v>
      </c>
      <c r="C3172" s="9">
        <v>46054</v>
      </c>
      <c r="D3172">
        <v>13</v>
      </c>
      <c r="E3172" s="16" t="s">
        <v>99</v>
      </c>
      <c r="F3172" s="16" t="s">
        <v>100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61</v>
      </c>
      <c r="C3173" s="9">
        <v>46082</v>
      </c>
      <c r="D3173">
        <v>13</v>
      </c>
      <c r="E3173" s="16" t="s">
        <v>99</v>
      </c>
      <c r="F3173" s="16" t="s">
        <v>100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61</v>
      </c>
      <c r="C3174" s="9">
        <v>46113</v>
      </c>
      <c r="D3174">
        <v>13</v>
      </c>
      <c r="E3174" s="16" t="s">
        <v>99</v>
      </c>
      <c r="F3174" s="16" t="s">
        <v>100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61</v>
      </c>
      <c r="C3175" s="9">
        <v>46143</v>
      </c>
      <c r="D3175">
        <v>13</v>
      </c>
      <c r="E3175" s="16" t="s">
        <v>99</v>
      </c>
      <c r="F3175" s="16" t="s">
        <v>100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61</v>
      </c>
      <c r="C3176" s="9">
        <v>46174</v>
      </c>
      <c r="D3176">
        <v>13</v>
      </c>
      <c r="E3176" s="16" t="s">
        <v>99</v>
      </c>
      <c r="F3176" s="16" t="s">
        <v>100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61</v>
      </c>
      <c r="C3177" s="9">
        <v>46204</v>
      </c>
      <c r="D3177">
        <v>13</v>
      </c>
      <c r="E3177" s="16" t="s">
        <v>99</v>
      </c>
      <c r="F3177" s="16" t="s">
        <v>100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61</v>
      </c>
      <c r="C3178" s="9">
        <v>46235</v>
      </c>
      <c r="D3178">
        <v>13</v>
      </c>
      <c r="E3178" s="16" t="s">
        <v>99</v>
      </c>
      <c r="F3178" s="16" t="s">
        <v>100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61</v>
      </c>
      <c r="C3179" s="9">
        <v>46266</v>
      </c>
      <c r="D3179">
        <v>13</v>
      </c>
      <c r="E3179" s="16" t="s">
        <v>99</v>
      </c>
      <c r="F3179" s="16" t="s">
        <v>100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61</v>
      </c>
      <c r="C3180" s="9">
        <v>45689</v>
      </c>
      <c r="D3180">
        <v>15</v>
      </c>
      <c r="E3180" s="16" t="s">
        <v>102</v>
      </c>
      <c r="F3180" s="16" t="s">
        <v>94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61</v>
      </c>
      <c r="C3181" s="9">
        <v>45717</v>
      </c>
      <c r="D3181">
        <v>15</v>
      </c>
      <c r="E3181" s="16" t="s">
        <v>102</v>
      </c>
      <c r="F3181" s="16" t="s">
        <v>94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61</v>
      </c>
      <c r="C3182" s="9">
        <v>45748</v>
      </c>
      <c r="D3182">
        <v>15</v>
      </c>
      <c r="E3182" s="16" t="s">
        <v>102</v>
      </c>
      <c r="F3182" s="16" t="s">
        <v>94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61</v>
      </c>
      <c r="C3183" s="9">
        <v>45778</v>
      </c>
      <c r="D3183">
        <v>15</v>
      </c>
      <c r="E3183" s="16" t="s">
        <v>102</v>
      </c>
      <c r="F3183" s="16" t="s">
        <v>94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61</v>
      </c>
      <c r="C3184" s="9">
        <v>45809</v>
      </c>
      <c r="D3184">
        <v>15</v>
      </c>
      <c r="E3184" s="16" t="s">
        <v>102</v>
      </c>
      <c r="F3184" s="16" t="s">
        <v>94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61</v>
      </c>
      <c r="C3185" s="9">
        <v>45839</v>
      </c>
      <c r="D3185">
        <v>15</v>
      </c>
      <c r="E3185" s="16" t="s">
        <v>102</v>
      </c>
      <c r="F3185" s="16" t="s">
        <v>94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61</v>
      </c>
      <c r="C3186" s="9">
        <v>45870</v>
      </c>
      <c r="D3186">
        <v>15</v>
      </c>
      <c r="E3186" s="16" t="s">
        <v>102</v>
      </c>
      <c r="F3186" s="16" t="s">
        <v>94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61</v>
      </c>
      <c r="C3187" s="9">
        <v>45901</v>
      </c>
      <c r="D3187">
        <v>15</v>
      </c>
      <c r="E3187" s="16" t="s">
        <v>102</v>
      </c>
      <c r="F3187" s="16" t="s">
        <v>94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61</v>
      </c>
      <c r="C3188" s="9">
        <v>45931</v>
      </c>
      <c r="D3188">
        <v>15</v>
      </c>
      <c r="E3188" s="16" t="s">
        <v>102</v>
      </c>
      <c r="F3188" s="16" t="s">
        <v>94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61</v>
      </c>
      <c r="C3189" s="9">
        <v>45962</v>
      </c>
      <c r="D3189">
        <v>15</v>
      </c>
      <c r="E3189" s="16" t="s">
        <v>102</v>
      </c>
      <c r="F3189" s="16" t="s">
        <v>94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61</v>
      </c>
      <c r="C3190" s="9">
        <v>45992</v>
      </c>
      <c r="D3190">
        <v>15</v>
      </c>
      <c r="E3190" s="16" t="s">
        <v>102</v>
      </c>
      <c r="F3190" s="16" t="s">
        <v>94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61</v>
      </c>
      <c r="C3191" s="9">
        <v>46023</v>
      </c>
      <c r="D3191">
        <v>15</v>
      </c>
      <c r="E3191" s="16" t="s">
        <v>102</v>
      </c>
      <c r="F3191" s="16" t="s">
        <v>94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61</v>
      </c>
      <c r="C3192" s="9">
        <v>46054</v>
      </c>
      <c r="D3192">
        <v>15</v>
      </c>
      <c r="E3192" s="16" t="s">
        <v>102</v>
      </c>
      <c r="F3192" s="16" t="s">
        <v>94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61</v>
      </c>
      <c r="C3193" s="9">
        <v>46082</v>
      </c>
      <c r="D3193">
        <v>15</v>
      </c>
      <c r="E3193" s="16" t="s">
        <v>102</v>
      </c>
      <c r="F3193" s="16" t="s">
        <v>94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61</v>
      </c>
      <c r="C3194" s="9">
        <v>46113</v>
      </c>
      <c r="D3194">
        <v>15</v>
      </c>
      <c r="E3194" s="16" t="s">
        <v>102</v>
      </c>
      <c r="F3194" s="16" t="s">
        <v>94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61</v>
      </c>
      <c r="C3195" s="9">
        <v>46143</v>
      </c>
      <c r="D3195">
        <v>15</v>
      </c>
      <c r="E3195" s="16" t="s">
        <v>102</v>
      </c>
      <c r="F3195" s="16" t="s">
        <v>94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61</v>
      </c>
      <c r="C3196" s="9">
        <v>46174</v>
      </c>
      <c r="D3196">
        <v>15</v>
      </c>
      <c r="E3196" s="16" t="s">
        <v>102</v>
      </c>
      <c r="F3196" s="16" t="s">
        <v>94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61</v>
      </c>
      <c r="C3197" s="9">
        <v>46204</v>
      </c>
      <c r="D3197">
        <v>15</v>
      </c>
      <c r="E3197" s="16" t="s">
        <v>102</v>
      </c>
      <c r="F3197" s="16" t="s">
        <v>94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61</v>
      </c>
      <c r="C3198" s="9">
        <v>46235</v>
      </c>
      <c r="D3198">
        <v>15</v>
      </c>
      <c r="E3198" s="16" t="s">
        <v>102</v>
      </c>
      <c r="F3198" s="16" t="s">
        <v>94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61</v>
      </c>
      <c r="C3199" s="9">
        <v>46266</v>
      </c>
      <c r="D3199">
        <v>15</v>
      </c>
      <c r="E3199" s="16" t="s">
        <v>102</v>
      </c>
      <c r="F3199" s="16" t="s">
        <v>94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61</v>
      </c>
      <c r="C3200" s="9">
        <v>45689</v>
      </c>
      <c r="D3200">
        <v>16</v>
      </c>
      <c r="E3200" s="16" t="s">
        <v>103</v>
      </c>
      <c r="F3200" s="16" t="s">
        <v>94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61</v>
      </c>
      <c r="C3201" s="9">
        <v>45717</v>
      </c>
      <c r="D3201">
        <v>16</v>
      </c>
      <c r="E3201" s="16" t="s">
        <v>103</v>
      </c>
      <c r="F3201" s="16" t="s">
        <v>94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61</v>
      </c>
      <c r="C3202" s="9">
        <v>45748</v>
      </c>
      <c r="D3202">
        <v>16</v>
      </c>
      <c r="E3202" s="16" t="s">
        <v>103</v>
      </c>
      <c r="F3202" s="16" t="s">
        <v>94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61</v>
      </c>
      <c r="C3203" s="9">
        <v>45778</v>
      </c>
      <c r="D3203">
        <v>16</v>
      </c>
      <c r="E3203" s="16" t="s">
        <v>103</v>
      </c>
      <c r="F3203" s="16" t="s">
        <v>94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61</v>
      </c>
      <c r="C3204" s="9">
        <v>45809</v>
      </c>
      <c r="D3204">
        <v>16</v>
      </c>
      <c r="E3204" s="16" t="s">
        <v>103</v>
      </c>
      <c r="F3204" s="16" t="s">
        <v>94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61</v>
      </c>
      <c r="C3205" s="9">
        <v>45839</v>
      </c>
      <c r="D3205">
        <v>16</v>
      </c>
      <c r="E3205" s="16" t="s">
        <v>103</v>
      </c>
      <c r="F3205" s="16" t="s">
        <v>94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61</v>
      </c>
      <c r="C3206" s="9">
        <v>45870</v>
      </c>
      <c r="D3206">
        <v>16</v>
      </c>
      <c r="E3206" s="16" t="s">
        <v>103</v>
      </c>
      <c r="F3206" s="16" t="s">
        <v>94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61</v>
      </c>
      <c r="C3207" s="9">
        <v>45901</v>
      </c>
      <c r="D3207">
        <v>16</v>
      </c>
      <c r="E3207" s="16" t="s">
        <v>103</v>
      </c>
      <c r="F3207" s="16" t="s">
        <v>94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61</v>
      </c>
      <c r="C3208" s="9">
        <v>45931</v>
      </c>
      <c r="D3208">
        <v>16</v>
      </c>
      <c r="E3208" s="16" t="s">
        <v>103</v>
      </c>
      <c r="F3208" s="16" t="s">
        <v>94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61</v>
      </c>
      <c r="C3209" s="9">
        <v>45962</v>
      </c>
      <c r="D3209">
        <v>16</v>
      </c>
      <c r="E3209" s="16" t="s">
        <v>103</v>
      </c>
      <c r="F3209" s="16" t="s">
        <v>94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61</v>
      </c>
      <c r="C3210" s="9">
        <v>45992</v>
      </c>
      <c r="D3210">
        <v>16</v>
      </c>
      <c r="E3210" s="16" t="s">
        <v>103</v>
      </c>
      <c r="F3210" s="16" t="s">
        <v>94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61</v>
      </c>
      <c r="C3211" s="9">
        <v>46023</v>
      </c>
      <c r="D3211">
        <v>16</v>
      </c>
      <c r="E3211" s="16" t="s">
        <v>103</v>
      </c>
      <c r="F3211" s="16" t="s">
        <v>94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61</v>
      </c>
      <c r="C3212" s="9">
        <v>46054</v>
      </c>
      <c r="D3212">
        <v>16</v>
      </c>
      <c r="E3212" s="16" t="s">
        <v>103</v>
      </c>
      <c r="F3212" s="16" t="s">
        <v>94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61</v>
      </c>
      <c r="C3213" s="9">
        <v>46082</v>
      </c>
      <c r="D3213">
        <v>16</v>
      </c>
      <c r="E3213" s="16" t="s">
        <v>103</v>
      </c>
      <c r="F3213" s="16" t="s">
        <v>94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61</v>
      </c>
      <c r="C3214" s="9">
        <v>46113</v>
      </c>
      <c r="D3214">
        <v>16</v>
      </c>
      <c r="E3214" s="16" t="s">
        <v>103</v>
      </c>
      <c r="F3214" s="16" t="s">
        <v>94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61</v>
      </c>
      <c r="C3215" s="9">
        <v>46143</v>
      </c>
      <c r="D3215">
        <v>16</v>
      </c>
      <c r="E3215" s="16" t="s">
        <v>103</v>
      </c>
      <c r="F3215" s="16" t="s">
        <v>94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61</v>
      </c>
      <c r="C3216" s="9">
        <v>46174</v>
      </c>
      <c r="D3216">
        <v>16</v>
      </c>
      <c r="E3216" s="16" t="s">
        <v>103</v>
      </c>
      <c r="F3216" s="16" t="s">
        <v>94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61</v>
      </c>
      <c r="C3217" s="9">
        <v>46204</v>
      </c>
      <c r="D3217">
        <v>16</v>
      </c>
      <c r="E3217" s="16" t="s">
        <v>103</v>
      </c>
      <c r="F3217" s="16" t="s">
        <v>94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61</v>
      </c>
      <c r="C3218" s="9">
        <v>46235</v>
      </c>
      <c r="D3218">
        <v>16</v>
      </c>
      <c r="E3218" s="16" t="s">
        <v>103</v>
      </c>
      <c r="F3218" s="16" t="s">
        <v>94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61</v>
      </c>
      <c r="C3219" s="9">
        <v>46266</v>
      </c>
      <c r="D3219">
        <v>16</v>
      </c>
      <c r="E3219" s="16" t="s">
        <v>103</v>
      </c>
      <c r="F3219" s="16" t="s">
        <v>94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61</v>
      </c>
      <c r="C3220" s="9">
        <v>45689</v>
      </c>
      <c r="D3220">
        <v>17</v>
      </c>
      <c r="E3220" s="16" t="s">
        <v>104</v>
      </c>
      <c r="F3220" s="16" t="s">
        <v>105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61</v>
      </c>
      <c r="C3221" s="9">
        <v>45717</v>
      </c>
      <c r="D3221">
        <v>17</v>
      </c>
      <c r="E3221" s="16" t="s">
        <v>104</v>
      </c>
      <c r="F3221" s="16" t="s">
        <v>105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61</v>
      </c>
      <c r="C3222" s="9">
        <v>45748</v>
      </c>
      <c r="D3222">
        <v>17</v>
      </c>
      <c r="E3222" s="16" t="s">
        <v>104</v>
      </c>
      <c r="F3222" s="16" t="s">
        <v>105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61</v>
      </c>
      <c r="C3223" s="9">
        <v>45778</v>
      </c>
      <c r="D3223">
        <v>17</v>
      </c>
      <c r="E3223" s="16" t="s">
        <v>104</v>
      </c>
      <c r="F3223" s="16" t="s">
        <v>105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61</v>
      </c>
      <c r="C3224" s="9">
        <v>45809</v>
      </c>
      <c r="D3224">
        <v>17</v>
      </c>
      <c r="E3224" s="16" t="s">
        <v>104</v>
      </c>
      <c r="F3224" s="16" t="s">
        <v>105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61</v>
      </c>
      <c r="C3225" s="9">
        <v>45839</v>
      </c>
      <c r="D3225">
        <v>17</v>
      </c>
      <c r="E3225" s="16" t="s">
        <v>104</v>
      </c>
      <c r="F3225" s="16" t="s">
        <v>105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61</v>
      </c>
      <c r="C3226" s="9">
        <v>45870</v>
      </c>
      <c r="D3226">
        <v>17</v>
      </c>
      <c r="E3226" s="16" t="s">
        <v>104</v>
      </c>
      <c r="F3226" s="16" t="s">
        <v>105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61</v>
      </c>
      <c r="C3227" s="9">
        <v>45901</v>
      </c>
      <c r="D3227">
        <v>17</v>
      </c>
      <c r="E3227" s="16" t="s">
        <v>104</v>
      </c>
      <c r="F3227" s="16" t="s">
        <v>105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61</v>
      </c>
      <c r="C3228" s="9">
        <v>45931</v>
      </c>
      <c r="D3228">
        <v>17</v>
      </c>
      <c r="E3228" s="16" t="s">
        <v>104</v>
      </c>
      <c r="F3228" s="16" t="s">
        <v>105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61</v>
      </c>
      <c r="C3229" s="9">
        <v>45962</v>
      </c>
      <c r="D3229">
        <v>17</v>
      </c>
      <c r="E3229" s="16" t="s">
        <v>104</v>
      </c>
      <c r="F3229" s="16" t="s">
        <v>105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61</v>
      </c>
      <c r="C3230" s="9">
        <v>45992</v>
      </c>
      <c r="D3230">
        <v>17</v>
      </c>
      <c r="E3230" s="16" t="s">
        <v>104</v>
      </c>
      <c r="F3230" s="16" t="s">
        <v>105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61</v>
      </c>
      <c r="C3231" s="9">
        <v>46023</v>
      </c>
      <c r="D3231">
        <v>17</v>
      </c>
      <c r="E3231" s="16" t="s">
        <v>104</v>
      </c>
      <c r="F3231" s="16" t="s">
        <v>105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61</v>
      </c>
      <c r="C3232" s="9">
        <v>46054</v>
      </c>
      <c r="D3232">
        <v>17</v>
      </c>
      <c r="E3232" s="16" t="s">
        <v>104</v>
      </c>
      <c r="F3232" s="16" t="s">
        <v>105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61</v>
      </c>
      <c r="C3233" s="9">
        <v>46082</v>
      </c>
      <c r="D3233">
        <v>17</v>
      </c>
      <c r="E3233" s="16" t="s">
        <v>104</v>
      </c>
      <c r="F3233" s="16" t="s">
        <v>105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61</v>
      </c>
      <c r="C3234" s="9">
        <v>46113</v>
      </c>
      <c r="D3234">
        <v>17</v>
      </c>
      <c r="E3234" s="16" t="s">
        <v>104</v>
      </c>
      <c r="F3234" s="16" t="s">
        <v>105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61</v>
      </c>
      <c r="C3235" s="9">
        <v>46143</v>
      </c>
      <c r="D3235">
        <v>17</v>
      </c>
      <c r="E3235" s="16" t="s">
        <v>104</v>
      </c>
      <c r="F3235" s="16" t="s">
        <v>105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61</v>
      </c>
      <c r="C3236" s="9">
        <v>46174</v>
      </c>
      <c r="D3236">
        <v>17</v>
      </c>
      <c r="E3236" s="16" t="s">
        <v>104</v>
      </c>
      <c r="F3236" s="16" t="s">
        <v>105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61</v>
      </c>
      <c r="C3237" s="9">
        <v>46204</v>
      </c>
      <c r="D3237">
        <v>17</v>
      </c>
      <c r="E3237" s="16" t="s">
        <v>104</v>
      </c>
      <c r="F3237" s="16" t="s">
        <v>105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61</v>
      </c>
      <c r="C3238" s="9">
        <v>46235</v>
      </c>
      <c r="D3238">
        <v>17</v>
      </c>
      <c r="E3238" s="16" t="s">
        <v>104</v>
      </c>
      <c r="F3238" s="16" t="s">
        <v>105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61</v>
      </c>
      <c r="C3239" s="9">
        <v>46266</v>
      </c>
      <c r="D3239">
        <v>17</v>
      </c>
      <c r="E3239" s="16" t="s">
        <v>104</v>
      </c>
      <c r="F3239" s="16" t="s">
        <v>105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61</v>
      </c>
      <c r="C3240" s="9">
        <v>45689</v>
      </c>
      <c r="D3240">
        <v>19</v>
      </c>
      <c r="E3240" s="16" t="s">
        <v>107</v>
      </c>
      <c r="F3240" s="16" t="s">
        <v>108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61</v>
      </c>
      <c r="C3241" s="9">
        <v>45717</v>
      </c>
      <c r="D3241">
        <v>19</v>
      </c>
      <c r="E3241" s="16" t="s">
        <v>107</v>
      </c>
      <c r="F3241" s="16" t="s">
        <v>108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61</v>
      </c>
      <c r="C3242" s="9">
        <v>45748</v>
      </c>
      <c r="D3242">
        <v>19</v>
      </c>
      <c r="E3242" s="16" t="s">
        <v>107</v>
      </c>
      <c r="F3242" s="16" t="s">
        <v>108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61</v>
      </c>
      <c r="C3243" s="9">
        <v>45778</v>
      </c>
      <c r="D3243">
        <v>19</v>
      </c>
      <c r="E3243" s="16" t="s">
        <v>107</v>
      </c>
      <c r="F3243" s="16" t="s">
        <v>108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61</v>
      </c>
      <c r="C3244" s="9">
        <v>45809</v>
      </c>
      <c r="D3244">
        <v>19</v>
      </c>
      <c r="E3244" s="16" t="s">
        <v>107</v>
      </c>
      <c r="F3244" s="16" t="s">
        <v>108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61</v>
      </c>
      <c r="C3245" s="9">
        <v>45839</v>
      </c>
      <c r="D3245">
        <v>19</v>
      </c>
      <c r="E3245" s="16" t="s">
        <v>107</v>
      </c>
      <c r="F3245" s="16" t="s">
        <v>108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61</v>
      </c>
      <c r="C3246" s="9">
        <v>45870</v>
      </c>
      <c r="D3246">
        <v>19</v>
      </c>
      <c r="E3246" s="16" t="s">
        <v>107</v>
      </c>
      <c r="F3246" s="16" t="s">
        <v>108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61</v>
      </c>
      <c r="C3247" s="9">
        <v>45901</v>
      </c>
      <c r="D3247">
        <v>19</v>
      </c>
      <c r="E3247" s="16" t="s">
        <v>107</v>
      </c>
      <c r="F3247" s="16" t="s">
        <v>108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61</v>
      </c>
      <c r="C3248" s="9">
        <v>45931</v>
      </c>
      <c r="D3248">
        <v>19</v>
      </c>
      <c r="E3248" s="16" t="s">
        <v>107</v>
      </c>
      <c r="F3248" s="16" t="s">
        <v>108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61</v>
      </c>
      <c r="C3249" s="9">
        <v>45962</v>
      </c>
      <c r="D3249">
        <v>19</v>
      </c>
      <c r="E3249" s="16" t="s">
        <v>107</v>
      </c>
      <c r="F3249" s="16" t="s">
        <v>108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61</v>
      </c>
      <c r="C3250" s="9">
        <v>45992</v>
      </c>
      <c r="D3250">
        <v>19</v>
      </c>
      <c r="E3250" s="16" t="s">
        <v>107</v>
      </c>
      <c r="F3250" s="16" t="s">
        <v>108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61</v>
      </c>
      <c r="C3251" s="9">
        <v>46023</v>
      </c>
      <c r="D3251">
        <v>19</v>
      </c>
      <c r="E3251" s="16" t="s">
        <v>107</v>
      </c>
      <c r="F3251" s="16" t="s">
        <v>108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61</v>
      </c>
      <c r="C3252" s="9">
        <v>46054</v>
      </c>
      <c r="D3252">
        <v>19</v>
      </c>
      <c r="E3252" s="16" t="s">
        <v>107</v>
      </c>
      <c r="F3252" s="16" t="s">
        <v>108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61</v>
      </c>
      <c r="C3253" s="9">
        <v>46082</v>
      </c>
      <c r="D3253">
        <v>19</v>
      </c>
      <c r="E3253" s="16" t="s">
        <v>107</v>
      </c>
      <c r="F3253" s="16" t="s">
        <v>108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61</v>
      </c>
      <c r="C3254" s="9">
        <v>46113</v>
      </c>
      <c r="D3254">
        <v>19</v>
      </c>
      <c r="E3254" s="16" t="s">
        <v>107</v>
      </c>
      <c r="F3254" s="16" t="s">
        <v>108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61</v>
      </c>
      <c r="C3255" s="9">
        <v>46143</v>
      </c>
      <c r="D3255">
        <v>19</v>
      </c>
      <c r="E3255" s="16" t="s">
        <v>107</v>
      </c>
      <c r="F3255" s="16" t="s">
        <v>108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61</v>
      </c>
      <c r="C3256" s="9">
        <v>46174</v>
      </c>
      <c r="D3256">
        <v>19</v>
      </c>
      <c r="E3256" s="16" t="s">
        <v>107</v>
      </c>
      <c r="F3256" s="16" t="s">
        <v>108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61</v>
      </c>
      <c r="C3257" s="9">
        <v>46204</v>
      </c>
      <c r="D3257">
        <v>19</v>
      </c>
      <c r="E3257" s="16" t="s">
        <v>107</v>
      </c>
      <c r="F3257" s="16" t="s">
        <v>108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61</v>
      </c>
      <c r="C3258" s="9">
        <v>46235</v>
      </c>
      <c r="D3258">
        <v>19</v>
      </c>
      <c r="E3258" s="16" t="s">
        <v>107</v>
      </c>
      <c r="F3258" s="16" t="s">
        <v>108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61</v>
      </c>
      <c r="C3259" s="9">
        <v>46266</v>
      </c>
      <c r="D3259">
        <v>19</v>
      </c>
      <c r="E3259" s="16" t="s">
        <v>107</v>
      </c>
      <c r="F3259" s="16" t="s">
        <v>108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61</v>
      </c>
      <c r="C3260" s="9">
        <v>45717</v>
      </c>
      <c r="D3260">
        <v>20</v>
      </c>
      <c r="E3260" s="16" t="s">
        <v>109</v>
      </c>
      <c r="F3260" s="16" t="s">
        <v>110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61</v>
      </c>
      <c r="C3261" s="9">
        <v>45839</v>
      </c>
      <c r="D3261">
        <v>20</v>
      </c>
      <c r="E3261" s="16" t="s">
        <v>109</v>
      </c>
      <c r="F3261" s="16" t="s">
        <v>110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61</v>
      </c>
      <c r="C3262" s="9">
        <v>45931</v>
      </c>
      <c r="D3262">
        <v>20</v>
      </c>
      <c r="E3262" s="16" t="s">
        <v>109</v>
      </c>
      <c r="F3262" s="16" t="s">
        <v>110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61</v>
      </c>
      <c r="C3263" s="9">
        <v>45992</v>
      </c>
      <c r="D3263">
        <v>20</v>
      </c>
      <c r="E3263" s="16" t="s">
        <v>109</v>
      </c>
      <c r="F3263" s="16" t="s">
        <v>110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61</v>
      </c>
      <c r="C3264" s="9">
        <v>46113</v>
      </c>
      <c r="D3264">
        <v>20</v>
      </c>
      <c r="E3264" s="16" t="s">
        <v>109</v>
      </c>
      <c r="F3264" s="16" t="s">
        <v>110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61</v>
      </c>
      <c r="C3265" s="9">
        <v>46204</v>
      </c>
      <c r="D3265">
        <v>20</v>
      </c>
      <c r="E3265" s="16" t="s">
        <v>109</v>
      </c>
      <c r="F3265" s="16" t="s">
        <v>110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61</v>
      </c>
      <c r="C3266" s="9">
        <v>45689</v>
      </c>
      <c r="D3266">
        <v>21</v>
      </c>
      <c r="E3266" s="16" t="s">
        <v>111</v>
      </c>
      <c r="F3266" s="16" t="s">
        <v>85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61</v>
      </c>
      <c r="C3267" s="9">
        <v>45717</v>
      </c>
      <c r="D3267">
        <v>21</v>
      </c>
      <c r="E3267" s="16" t="s">
        <v>111</v>
      </c>
      <c r="F3267" s="16" t="s">
        <v>85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61</v>
      </c>
      <c r="C3268" s="9">
        <v>45748</v>
      </c>
      <c r="D3268">
        <v>21</v>
      </c>
      <c r="E3268" s="16" t="s">
        <v>111</v>
      </c>
      <c r="F3268" s="16" t="s">
        <v>85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61</v>
      </c>
      <c r="C3269" s="9">
        <v>45778</v>
      </c>
      <c r="D3269">
        <v>21</v>
      </c>
      <c r="E3269" s="16" t="s">
        <v>111</v>
      </c>
      <c r="F3269" s="16" t="s">
        <v>85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61</v>
      </c>
      <c r="C3270" s="9">
        <v>45809</v>
      </c>
      <c r="D3270">
        <v>21</v>
      </c>
      <c r="E3270" s="16" t="s">
        <v>111</v>
      </c>
      <c r="F3270" s="16" t="s">
        <v>85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61</v>
      </c>
      <c r="C3271" s="9">
        <v>45839</v>
      </c>
      <c r="D3271">
        <v>21</v>
      </c>
      <c r="E3271" s="16" t="s">
        <v>111</v>
      </c>
      <c r="F3271" s="16" t="s">
        <v>85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61</v>
      </c>
      <c r="C3272" s="9">
        <v>45870</v>
      </c>
      <c r="D3272">
        <v>21</v>
      </c>
      <c r="E3272" s="16" t="s">
        <v>111</v>
      </c>
      <c r="F3272" s="16" t="s">
        <v>85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61</v>
      </c>
      <c r="C3273" s="9">
        <v>45901</v>
      </c>
      <c r="D3273">
        <v>21</v>
      </c>
      <c r="E3273" s="16" t="s">
        <v>111</v>
      </c>
      <c r="F3273" s="16" t="s">
        <v>85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61</v>
      </c>
      <c r="C3274" s="9">
        <v>45931</v>
      </c>
      <c r="D3274">
        <v>21</v>
      </c>
      <c r="E3274" s="16" t="s">
        <v>111</v>
      </c>
      <c r="F3274" s="16" t="s">
        <v>85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61</v>
      </c>
      <c r="C3275" s="9">
        <v>45962</v>
      </c>
      <c r="D3275">
        <v>21</v>
      </c>
      <c r="E3275" s="16" t="s">
        <v>111</v>
      </c>
      <c r="F3275" s="16" t="s">
        <v>85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61</v>
      </c>
      <c r="C3276" s="9">
        <v>45992</v>
      </c>
      <c r="D3276">
        <v>21</v>
      </c>
      <c r="E3276" s="16" t="s">
        <v>111</v>
      </c>
      <c r="F3276" s="16" t="s">
        <v>85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61</v>
      </c>
      <c r="C3277" s="9">
        <v>46023</v>
      </c>
      <c r="D3277">
        <v>21</v>
      </c>
      <c r="E3277" s="16" t="s">
        <v>111</v>
      </c>
      <c r="F3277" s="16" t="s">
        <v>85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61</v>
      </c>
      <c r="C3278" s="9">
        <v>46054</v>
      </c>
      <c r="D3278">
        <v>21</v>
      </c>
      <c r="E3278" s="16" t="s">
        <v>111</v>
      </c>
      <c r="F3278" s="16" t="s">
        <v>85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61</v>
      </c>
      <c r="C3279" s="9">
        <v>46082</v>
      </c>
      <c r="D3279">
        <v>21</v>
      </c>
      <c r="E3279" s="16" t="s">
        <v>111</v>
      </c>
      <c r="F3279" s="16" t="s">
        <v>85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61</v>
      </c>
      <c r="C3280" s="9">
        <v>46113</v>
      </c>
      <c r="D3280">
        <v>21</v>
      </c>
      <c r="E3280" s="16" t="s">
        <v>111</v>
      </c>
      <c r="F3280" s="16" t="s">
        <v>85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61</v>
      </c>
      <c r="C3281" s="9">
        <v>46143</v>
      </c>
      <c r="D3281">
        <v>21</v>
      </c>
      <c r="E3281" s="16" t="s">
        <v>111</v>
      </c>
      <c r="F3281" s="16" t="s">
        <v>85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61</v>
      </c>
      <c r="C3282" s="9">
        <v>46174</v>
      </c>
      <c r="D3282">
        <v>21</v>
      </c>
      <c r="E3282" s="16" t="s">
        <v>111</v>
      </c>
      <c r="F3282" s="16" t="s">
        <v>85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61</v>
      </c>
      <c r="C3283" s="9">
        <v>46204</v>
      </c>
      <c r="D3283">
        <v>21</v>
      </c>
      <c r="E3283" s="16" t="s">
        <v>111</v>
      </c>
      <c r="F3283" s="16" t="s">
        <v>85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61</v>
      </c>
      <c r="C3284" s="9">
        <v>46235</v>
      </c>
      <c r="D3284">
        <v>21</v>
      </c>
      <c r="E3284" s="16" t="s">
        <v>111</v>
      </c>
      <c r="F3284" s="16" t="s">
        <v>85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61</v>
      </c>
      <c r="C3285" s="9">
        <v>46266</v>
      </c>
      <c r="D3285">
        <v>21</v>
      </c>
      <c r="E3285" s="16" t="s">
        <v>111</v>
      </c>
      <c r="F3285" s="16" t="s">
        <v>85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61</v>
      </c>
      <c r="C3286" s="9">
        <v>45689</v>
      </c>
      <c r="D3286">
        <v>22</v>
      </c>
      <c r="E3286" s="16" t="s">
        <v>112</v>
      </c>
      <c r="F3286" s="16" t="s">
        <v>92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61</v>
      </c>
      <c r="C3287" s="9">
        <v>45717</v>
      </c>
      <c r="D3287">
        <v>22</v>
      </c>
      <c r="E3287" s="16" t="s">
        <v>112</v>
      </c>
      <c r="F3287" s="16" t="s">
        <v>92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61</v>
      </c>
      <c r="C3288" s="9">
        <v>45748</v>
      </c>
      <c r="D3288">
        <v>22</v>
      </c>
      <c r="E3288" s="16" t="s">
        <v>112</v>
      </c>
      <c r="F3288" s="16" t="s">
        <v>92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61</v>
      </c>
      <c r="C3289" s="9">
        <v>45778</v>
      </c>
      <c r="D3289">
        <v>22</v>
      </c>
      <c r="E3289" s="16" t="s">
        <v>112</v>
      </c>
      <c r="F3289" s="16" t="s">
        <v>92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61</v>
      </c>
      <c r="C3290" s="9">
        <v>45809</v>
      </c>
      <c r="D3290">
        <v>22</v>
      </c>
      <c r="E3290" s="16" t="s">
        <v>112</v>
      </c>
      <c r="F3290" s="16" t="s">
        <v>92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61</v>
      </c>
      <c r="C3291" s="9">
        <v>45839</v>
      </c>
      <c r="D3291">
        <v>22</v>
      </c>
      <c r="E3291" s="16" t="s">
        <v>112</v>
      </c>
      <c r="F3291" s="16" t="s">
        <v>92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61</v>
      </c>
      <c r="C3292" s="9">
        <v>45870</v>
      </c>
      <c r="D3292">
        <v>22</v>
      </c>
      <c r="E3292" s="16" t="s">
        <v>112</v>
      </c>
      <c r="F3292" s="16" t="s">
        <v>92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61</v>
      </c>
      <c r="C3293" s="9">
        <v>45901</v>
      </c>
      <c r="D3293">
        <v>22</v>
      </c>
      <c r="E3293" s="16" t="s">
        <v>112</v>
      </c>
      <c r="F3293" s="16" t="s">
        <v>92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61</v>
      </c>
      <c r="C3294" s="9">
        <v>45931</v>
      </c>
      <c r="D3294">
        <v>22</v>
      </c>
      <c r="E3294" s="16" t="s">
        <v>112</v>
      </c>
      <c r="F3294" s="16" t="s">
        <v>92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61</v>
      </c>
      <c r="C3295" s="9">
        <v>45962</v>
      </c>
      <c r="D3295">
        <v>22</v>
      </c>
      <c r="E3295" s="16" t="s">
        <v>112</v>
      </c>
      <c r="F3295" s="16" t="s">
        <v>92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61</v>
      </c>
      <c r="C3296" s="9">
        <v>45992</v>
      </c>
      <c r="D3296">
        <v>22</v>
      </c>
      <c r="E3296" s="16" t="s">
        <v>112</v>
      </c>
      <c r="F3296" s="16" t="s">
        <v>92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61</v>
      </c>
      <c r="C3297" s="9">
        <v>46023</v>
      </c>
      <c r="D3297">
        <v>22</v>
      </c>
      <c r="E3297" s="16" t="s">
        <v>112</v>
      </c>
      <c r="F3297" s="16" t="s">
        <v>92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61</v>
      </c>
      <c r="C3298" s="9">
        <v>46054</v>
      </c>
      <c r="D3298">
        <v>22</v>
      </c>
      <c r="E3298" s="16" t="s">
        <v>112</v>
      </c>
      <c r="F3298" s="16" t="s">
        <v>92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61</v>
      </c>
      <c r="C3299" s="9">
        <v>46082</v>
      </c>
      <c r="D3299">
        <v>22</v>
      </c>
      <c r="E3299" s="16" t="s">
        <v>112</v>
      </c>
      <c r="F3299" s="16" t="s">
        <v>92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61</v>
      </c>
      <c r="C3300" s="9">
        <v>46113</v>
      </c>
      <c r="D3300">
        <v>22</v>
      </c>
      <c r="E3300" s="16" t="s">
        <v>112</v>
      </c>
      <c r="F3300" s="16" t="s">
        <v>92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61</v>
      </c>
      <c r="C3301" s="9">
        <v>46143</v>
      </c>
      <c r="D3301">
        <v>22</v>
      </c>
      <c r="E3301" s="16" t="s">
        <v>112</v>
      </c>
      <c r="F3301" s="16" t="s">
        <v>92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61</v>
      </c>
      <c r="C3302" s="9">
        <v>46174</v>
      </c>
      <c r="D3302">
        <v>22</v>
      </c>
      <c r="E3302" s="16" t="s">
        <v>112</v>
      </c>
      <c r="F3302" s="16" t="s">
        <v>92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61</v>
      </c>
      <c r="C3303" s="9">
        <v>46204</v>
      </c>
      <c r="D3303">
        <v>22</v>
      </c>
      <c r="E3303" s="16" t="s">
        <v>112</v>
      </c>
      <c r="F3303" s="16" t="s">
        <v>92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61</v>
      </c>
      <c r="C3304" s="9">
        <v>46235</v>
      </c>
      <c r="D3304">
        <v>22</v>
      </c>
      <c r="E3304" s="16" t="s">
        <v>112</v>
      </c>
      <c r="F3304" s="16" t="s">
        <v>92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61</v>
      </c>
      <c r="C3305" s="9">
        <v>46266</v>
      </c>
      <c r="D3305">
        <v>22</v>
      </c>
      <c r="E3305" s="16" t="s">
        <v>112</v>
      </c>
      <c r="F3305" s="16" t="s">
        <v>92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61</v>
      </c>
      <c r="C3306" s="9">
        <v>45689</v>
      </c>
      <c r="D3306">
        <v>23</v>
      </c>
      <c r="E3306" s="16" t="s">
        <v>113</v>
      </c>
      <c r="F3306" s="16" t="s">
        <v>94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61</v>
      </c>
      <c r="C3307" s="9">
        <v>45717</v>
      </c>
      <c r="D3307">
        <v>23</v>
      </c>
      <c r="E3307" s="16" t="s">
        <v>113</v>
      </c>
      <c r="F3307" s="16" t="s">
        <v>94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61</v>
      </c>
      <c r="C3308" s="9">
        <v>45748</v>
      </c>
      <c r="D3308">
        <v>23</v>
      </c>
      <c r="E3308" s="16" t="s">
        <v>113</v>
      </c>
      <c r="F3308" s="16" t="s">
        <v>94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61</v>
      </c>
      <c r="C3309" s="9">
        <v>45778</v>
      </c>
      <c r="D3309">
        <v>23</v>
      </c>
      <c r="E3309" s="16" t="s">
        <v>113</v>
      </c>
      <c r="F3309" s="16" t="s">
        <v>94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61</v>
      </c>
      <c r="C3310" s="9">
        <v>45809</v>
      </c>
      <c r="D3310">
        <v>23</v>
      </c>
      <c r="E3310" s="16" t="s">
        <v>113</v>
      </c>
      <c r="F3310" s="16" t="s">
        <v>94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61</v>
      </c>
      <c r="C3311" s="9">
        <v>45839</v>
      </c>
      <c r="D3311">
        <v>23</v>
      </c>
      <c r="E3311" s="16" t="s">
        <v>113</v>
      </c>
      <c r="F3311" s="16" t="s">
        <v>94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61</v>
      </c>
      <c r="C3312" s="9">
        <v>45870</v>
      </c>
      <c r="D3312">
        <v>23</v>
      </c>
      <c r="E3312" s="16" t="s">
        <v>113</v>
      </c>
      <c r="F3312" s="16" t="s">
        <v>94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61</v>
      </c>
      <c r="C3313" s="9">
        <v>45901</v>
      </c>
      <c r="D3313">
        <v>23</v>
      </c>
      <c r="E3313" s="16" t="s">
        <v>113</v>
      </c>
      <c r="F3313" s="16" t="s">
        <v>94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61</v>
      </c>
      <c r="C3314" s="9">
        <v>45931</v>
      </c>
      <c r="D3314">
        <v>23</v>
      </c>
      <c r="E3314" s="16" t="s">
        <v>113</v>
      </c>
      <c r="F3314" s="16" t="s">
        <v>94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61</v>
      </c>
      <c r="C3315" s="9">
        <v>45962</v>
      </c>
      <c r="D3315">
        <v>23</v>
      </c>
      <c r="E3315" s="16" t="s">
        <v>113</v>
      </c>
      <c r="F3315" s="16" t="s">
        <v>94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61</v>
      </c>
      <c r="C3316" s="9">
        <v>45992</v>
      </c>
      <c r="D3316">
        <v>23</v>
      </c>
      <c r="E3316" s="16" t="s">
        <v>113</v>
      </c>
      <c r="F3316" s="16" t="s">
        <v>94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61</v>
      </c>
      <c r="C3317" s="9">
        <v>46023</v>
      </c>
      <c r="D3317">
        <v>23</v>
      </c>
      <c r="E3317" s="16" t="s">
        <v>113</v>
      </c>
      <c r="F3317" s="16" t="s">
        <v>94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61</v>
      </c>
      <c r="C3318" s="9">
        <v>46054</v>
      </c>
      <c r="D3318">
        <v>23</v>
      </c>
      <c r="E3318" s="16" t="s">
        <v>113</v>
      </c>
      <c r="F3318" s="16" t="s">
        <v>94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61</v>
      </c>
      <c r="C3319" s="9">
        <v>46082</v>
      </c>
      <c r="D3319">
        <v>23</v>
      </c>
      <c r="E3319" s="16" t="s">
        <v>113</v>
      </c>
      <c r="F3319" s="16" t="s">
        <v>94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61</v>
      </c>
      <c r="C3320" s="9">
        <v>46113</v>
      </c>
      <c r="D3320">
        <v>23</v>
      </c>
      <c r="E3320" s="16" t="s">
        <v>113</v>
      </c>
      <c r="F3320" s="16" t="s">
        <v>94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61</v>
      </c>
      <c r="C3321" s="9">
        <v>46143</v>
      </c>
      <c r="D3321">
        <v>23</v>
      </c>
      <c r="E3321" s="16" t="s">
        <v>113</v>
      </c>
      <c r="F3321" s="16" t="s">
        <v>94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61</v>
      </c>
      <c r="C3322" s="9">
        <v>46174</v>
      </c>
      <c r="D3322">
        <v>23</v>
      </c>
      <c r="E3322" s="16" t="s">
        <v>113</v>
      </c>
      <c r="F3322" s="16" t="s">
        <v>94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61</v>
      </c>
      <c r="C3323" s="9">
        <v>46204</v>
      </c>
      <c r="D3323">
        <v>23</v>
      </c>
      <c r="E3323" s="16" t="s">
        <v>113</v>
      </c>
      <c r="F3323" s="16" t="s">
        <v>94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61</v>
      </c>
      <c r="C3324" s="9">
        <v>46235</v>
      </c>
      <c r="D3324">
        <v>23</v>
      </c>
      <c r="E3324" s="16" t="s">
        <v>113</v>
      </c>
      <c r="F3324" s="16" t="s">
        <v>94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61</v>
      </c>
      <c r="C3325" s="9">
        <v>46266</v>
      </c>
      <c r="D3325">
        <v>23</v>
      </c>
      <c r="E3325" s="16" t="s">
        <v>113</v>
      </c>
      <c r="F3325" s="16" t="s">
        <v>94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61</v>
      </c>
      <c r="C3326" s="9">
        <v>45689</v>
      </c>
      <c r="D3326">
        <v>26</v>
      </c>
      <c r="E3326" s="16" t="s">
        <v>117</v>
      </c>
      <c r="F3326" s="16" t="s">
        <v>92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61</v>
      </c>
      <c r="C3327" s="9">
        <v>45748</v>
      </c>
      <c r="D3327">
        <v>26</v>
      </c>
      <c r="E3327" s="16" t="s">
        <v>117</v>
      </c>
      <c r="F3327" s="16" t="s">
        <v>92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61</v>
      </c>
      <c r="C3328" s="9">
        <v>45778</v>
      </c>
      <c r="D3328">
        <v>26</v>
      </c>
      <c r="E3328" s="16" t="s">
        <v>117</v>
      </c>
      <c r="F3328" s="16" t="s">
        <v>92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61</v>
      </c>
      <c r="C3329" s="9">
        <v>45809</v>
      </c>
      <c r="D3329">
        <v>26</v>
      </c>
      <c r="E3329" s="16" t="s">
        <v>117</v>
      </c>
      <c r="F3329" s="16" t="s">
        <v>92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61</v>
      </c>
      <c r="C3330" s="9">
        <v>45870</v>
      </c>
      <c r="D3330">
        <v>26</v>
      </c>
      <c r="E3330" s="16" t="s">
        <v>117</v>
      </c>
      <c r="F3330" s="16" t="s">
        <v>92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61</v>
      </c>
      <c r="C3331" s="9">
        <v>45901</v>
      </c>
      <c r="D3331">
        <v>26</v>
      </c>
      <c r="E3331" s="16" t="s">
        <v>117</v>
      </c>
      <c r="F3331" s="16" t="s">
        <v>92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61</v>
      </c>
      <c r="C3332" s="9">
        <v>45931</v>
      </c>
      <c r="D3332">
        <v>26</v>
      </c>
      <c r="E3332" s="16" t="s">
        <v>117</v>
      </c>
      <c r="F3332" s="16" t="s">
        <v>92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61</v>
      </c>
      <c r="C3333" s="9">
        <v>45962</v>
      </c>
      <c r="D3333">
        <v>26</v>
      </c>
      <c r="E3333" s="16" t="s">
        <v>117</v>
      </c>
      <c r="F3333" s="16" t="s">
        <v>92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61</v>
      </c>
      <c r="C3334" s="9">
        <v>45992</v>
      </c>
      <c r="D3334">
        <v>26</v>
      </c>
      <c r="E3334" s="16" t="s">
        <v>117</v>
      </c>
      <c r="F3334" s="16" t="s">
        <v>92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61</v>
      </c>
      <c r="C3335" s="9">
        <v>46054</v>
      </c>
      <c r="D3335">
        <v>26</v>
      </c>
      <c r="E3335" s="16" t="s">
        <v>117</v>
      </c>
      <c r="F3335" s="16" t="s">
        <v>92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61</v>
      </c>
      <c r="C3336" s="9">
        <v>46113</v>
      </c>
      <c r="D3336">
        <v>26</v>
      </c>
      <c r="E3336" s="16" t="s">
        <v>117</v>
      </c>
      <c r="F3336" s="16" t="s">
        <v>92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61</v>
      </c>
      <c r="C3337" s="9">
        <v>46143</v>
      </c>
      <c r="D3337">
        <v>26</v>
      </c>
      <c r="E3337" s="16" t="s">
        <v>117</v>
      </c>
      <c r="F3337" s="16" t="s">
        <v>92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61</v>
      </c>
      <c r="C3338" s="9">
        <v>46204</v>
      </c>
      <c r="D3338">
        <v>26</v>
      </c>
      <c r="E3338" s="16" t="s">
        <v>117</v>
      </c>
      <c r="F3338" s="16" t="s">
        <v>92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61</v>
      </c>
      <c r="C3339" s="9">
        <v>46235</v>
      </c>
      <c r="D3339">
        <v>26</v>
      </c>
      <c r="E3339" s="16" t="s">
        <v>117</v>
      </c>
      <c r="F3339" s="16" t="s">
        <v>92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61</v>
      </c>
      <c r="C3340" s="9">
        <v>45689</v>
      </c>
      <c r="D3340">
        <v>27</v>
      </c>
      <c r="E3340" s="16" t="s">
        <v>118</v>
      </c>
      <c r="F3340" s="16" t="s">
        <v>92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61</v>
      </c>
      <c r="C3341" s="9">
        <v>45717</v>
      </c>
      <c r="D3341">
        <v>27</v>
      </c>
      <c r="E3341" s="16" t="s">
        <v>118</v>
      </c>
      <c r="F3341" s="16" t="s">
        <v>92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61</v>
      </c>
      <c r="C3342" s="9">
        <v>45748</v>
      </c>
      <c r="D3342">
        <v>27</v>
      </c>
      <c r="E3342" s="16" t="s">
        <v>118</v>
      </c>
      <c r="F3342" s="16" t="s">
        <v>92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61</v>
      </c>
      <c r="C3343" s="9">
        <v>45778</v>
      </c>
      <c r="D3343">
        <v>27</v>
      </c>
      <c r="E3343" s="16" t="s">
        <v>118</v>
      </c>
      <c r="F3343" s="16" t="s">
        <v>92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61</v>
      </c>
      <c r="C3344" s="9">
        <v>45809</v>
      </c>
      <c r="D3344">
        <v>27</v>
      </c>
      <c r="E3344" s="16" t="s">
        <v>118</v>
      </c>
      <c r="F3344" s="16" t="s">
        <v>92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61</v>
      </c>
      <c r="C3345" s="9">
        <v>45839</v>
      </c>
      <c r="D3345">
        <v>27</v>
      </c>
      <c r="E3345" s="16" t="s">
        <v>118</v>
      </c>
      <c r="F3345" s="16" t="s">
        <v>92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61</v>
      </c>
      <c r="C3346" s="9">
        <v>45870</v>
      </c>
      <c r="D3346">
        <v>27</v>
      </c>
      <c r="E3346" s="16" t="s">
        <v>118</v>
      </c>
      <c r="F3346" s="16" t="s">
        <v>92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61</v>
      </c>
      <c r="C3347" s="9">
        <v>45901</v>
      </c>
      <c r="D3347">
        <v>27</v>
      </c>
      <c r="E3347" s="16" t="s">
        <v>118</v>
      </c>
      <c r="F3347" s="16" t="s">
        <v>92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61</v>
      </c>
      <c r="C3348" s="9">
        <v>45931</v>
      </c>
      <c r="D3348">
        <v>27</v>
      </c>
      <c r="E3348" s="16" t="s">
        <v>118</v>
      </c>
      <c r="F3348" s="16" t="s">
        <v>92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61</v>
      </c>
      <c r="C3349" s="9">
        <v>45962</v>
      </c>
      <c r="D3349">
        <v>27</v>
      </c>
      <c r="E3349" s="16" t="s">
        <v>118</v>
      </c>
      <c r="F3349" s="16" t="s">
        <v>92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61</v>
      </c>
      <c r="C3350" s="9">
        <v>45992</v>
      </c>
      <c r="D3350">
        <v>27</v>
      </c>
      <c r="E3350" s="16" t="s">
        <v>118</v>
      </c>
      <c r="F3350" s="16" t="s">
        <v>92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61</v>
      </c>
      <c r="C3351" s="9">
        <v>46023</v>
      </c>
      <c r="D3351">
        <v>27</v>
      </c>
      <c r="E3351" s="16" t="s">
        <v>118</v>
      </c>
      <c r="F3351" s="16" t="s">
        <v>92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61</v>
      </c>
      <c r="C3352" s="9">
        <v>46054</v>
      </c>
      <c r="D3352">
        <v>27</v>
      </c>
      <c r="E3352" s="16" t="s">
        <v>118</v>
      </c>
      <c r="F3352" s="16" t="s">
        <v>92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61</v>
      </c>
      <c r="C3353" s="9">
        <v>46082</v>
      </c>
      <c r="D3353">
        <v>27</v>
      </c>
      <c r="E3353" s="16" t="s">
        <v>118</v>
      </c>
      <c r="F3353" s="16" t="s">
        <v>92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61</v>
      </c>
      <c r="C3354" s="9">
        <v>46113</v>
      </c>
      <c r="D3354">
        <v>27</v>
      </c>
      <c r="E3354" s="16" t="s">
        <v>118</v>
      </c>
      <c r="F3354" s="16" t="s">
        <v>92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61</v>
      </c>
      <c r="C3355" s="9">
        <v>46143</v>
      </c>
      <c r="D3355">
        <v>27</v>
      </c>
      <c r="E3355" s="16" t="s">
        <v>118</v>
      </c>
      <c r="F3355" s="16" t="s">
        <v>92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61</v>
      </c>
      <c r="C3356" s="9">
        <v>46174</v>
      </c>
      <c r="D3356">
        <v>27</v>
      </c>
      <c r="E3356" s="16" t="s">
        <v>118</v>
      </c>
      <c r="F3356" s="16" t="s">
        <v>92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61</v>
      </c>
      <c r="C3357" s="9">
        <v>46204</v>
      </c>
      <c r="D3357">
        <v>27</v>
      </c>
      <c r="E3357" s="16" t="s">
        <v>118</v>
      </c>
      <c r="F3357" s="16" t="s">
        <v>92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61</v>
      </c>
      <c r="C3358" s="9">
        <v>46235</v>
      </c>
      <c r="D3358">
        <v>27</v>
      </c>
      <c r="E3358" s="16" t="s">
        <v>118</v>
      </c>
      <c r="F3358" s="16" t="s">
        <v>92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61</v>
      </c>
      <c r="C3359" s="9">
        <v>46266</v>
      </c>
      <c r="D3359">
        <v>27</v>
      </c>
      <c r="E3359" s="16" t="s">
        <v>118</v>
      </c>
      <c r="F3359" s="16" t="s">
        <v>92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61</v>
      </c>
      <c r="C3360" s="9">
        <v>45689</v>
      </c>
      <c r="D3360">
        <v>28</v>
      </c>
      <c r="E3360" s="16" t="s">
        <v>119</v>
      </c>
      <c r="F3360" s="16" t="s">
        <v>94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61</v>
      </c>
      <c r="C3361" s="9">
        <v>45717</v>
      </c>
      <c r="D3361">
        <v>28</v>
      </c>
      <c r="E3361" s="16" t="s">
        <v>119</v>
      </c>
      <c r="F3361" s="16" t="s">
        <v>94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61</v>
      </c>
      <c r="C3362" s="9">
        <v>45748</v>
      </c>
      <c r="D3362">
        <v>28</v>
      </c>
      <c r="E3362" s="16" t="s">
        <v>119</v>
      </c>
      <c r="F3362" s="16" t="s">
        <v>94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61</v>
      </c>
      <c r="C3363" s="9">
        <v>45778</v>
      </c>
      <c r="D3363">
        <v>28</v>
      </c>
      <c r="E3363" s="16" t="s">
        <v>119</v>
      </c>
      <c r="F3363" s="16" t="s">
        <v>94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61</v>
      </c>
      <c r="C3364" s="9">
        <v>45809</v>
      </c>
      <c r="D3364">
        <v>28</v>
      </c>
      <c r="E3364" s="16" t="s">
        <v>119</v>
      </c>
      <c r="F3364" s="16" t="s">
        <v>94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61</v>
      </c>
      <c r="C3365" s="9">
        <v>45839</v>
      </c>
      <c r="D3365">
        <v>28</v>
      </c>
      <c r="E3365" s="16" t="s">
        <v>119</v>
      </c>
      <c r="F3365" s="16" t="s">
        <v>94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61</v>
      </c>
      <c r="C3366" s="9">
        <v>45870</v>
      </c>
      <c r="D3366">
        <v>28</v>
      </c>
      <c r="E3366" s="16" t="s">
        <v>119</v>
      </c>
      <c r="F3366" s="16" t="s">
        <v>94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61</v>
      </c>
      <c r="C3367" s="9">
        <v>45901</v>
      </c>
      <c r="D3367">
        <v>28</v>
      </c>
      <c r="E3367" s="16" t="s">
        <v>119</v>
      </c>
      <c r="F3367" s="16" t="s">
        <v>94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61</v>
      </c>
      <c r="C3368" s="9">
        <v>45931</v>
      </c>
      <c r="D3368">
        <v>28</v>
      </c>
      <c r="E3368" s="16" t="s">
        <v>119</v>
      </c>
      <c r="F3368" s="16" t="s">
        <v>94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61</v>
      </c>
      <c r="C3369" s="9">
        <v>45962</v>
      </c>
      <c r="D3369">
        <v>28</v>
      </c>
      <c r="E3369" s="16" t="s">
        <v>119</v>
      </c>
      <c r="F3369" s="16" t="s">
        <v>94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61</v>
      </c>
      <c r="C3370" s="9">
        <v>45992</v>
      </c>
      <c r="D3370">
        <v>28</v>
      </c>
      <c r="E3370" s="16" t="s">
        <v>119</v>
      </c>
      <c r="F3370" s="16" t="s">
        <v>94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61</v>
      </c>
      <c r="C3371" s="9">
        <v>46023</v>
      </c>
      <c r="D3371">
        <v>28</v>
      </c>
      <c r="E3371" s="16" t="s">
        <v>119</v>
      </c>
      <c r="F3371" s="16" t="s">
        <v>94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61</v>
      </c>
      <c r="C3372" s="9">
        <v>46054</v>
      </c>
      <c r="D3372">
        <v>28</v>
      </c>
      <c r="E3372" s="16" t="s">
        <v>119</v>
      </c>
      <c r="F3372" s="16" t="s">
        <v>94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61</v>
      </c>
      <c r="C3373" s="9">
        <v>46082</v>
      </c>
      <c r="D3373">
        <v>28</v>
      </c>
      <c r="E3373" s="16" t="s">
        <v>119</v>
      </c>
      <c r="F3373" s="16" t="s">
        <v>94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61</v>
      </c>
      <c r="C3374" s="9">
        <v>46113</v>
      </c>
      <c r="D3374">
        <v>28</v>
      </c>
      <c r="E3374" s="16" t="s">
        <v>119</v>
      </c>
      <c r="F3374" s="16" t="s">
        <v>94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61</v>
      </c>
      <c r="C3375" s="9">
        <v>46143</v>
      </c>
      <c r="D3375">
        <v>28</v>
      </c>
      <c r="E3375" s="16" t="s">
        <v>119</v>
      </c>
      <c r="F3375" s="16" t="s">
        <v>94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61</v>
      </c>
      <c r="C3376" s="9">
        <v>46174</v>
      </c>
      <c r="D3376">
        <v>28</v>
      </c>
      <c r="E3376" s="16" t="s">
        <v>119</v>
      </c>
      <c r="F3376" s="16" t="s">
        <v>94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61</v>
      </c>
      <c r="C3377" s="9">
        <v>46204</v>
      </c>
      <c r="D3377">
        <v>28</v>
      </c>
      <c r="E3377" s="16" t="s">
        <v>119</v>
      </c>
      <c r="F3377" s="16" t="s">
        <v>94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61</v>
      </c>
      <c r="C3378" s="9">
        <v>46235</v>
      </c>
      <c r="D3378">
        <v>28</v>
      </c>
      <c r="E3378" s="16" t="s">
        <v>119</v>
      </c>
      <c r="F3378" s="16" t="s">
        <v>94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61</v>
      </c>
      <c r="C3379" s="9">
        <v>46266</v>
      </c>
      <c r="D3379">
        <v>28</v>
      </c>
      <c r="E3379" s="16" t="s">
        <v>119</v>
      </c>
      <c r="F3379" s="16" t="s">
        <v>94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61</v>
      </c>
      <c r="C3380" s="9">
        <v>45689</v>
      </c>
      <c r="D3380">
        <v>29</v>
      </c>
      <c r="E3380" s="16" t="s">
        <v>120</v>
      </c>
      <c r="F3380" s="16" t="s">
        <v>89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61</v>
      </c>
      <c r="C3381" s="9">
        <v>45717</v>
      </c>
      <c r="D3381">
        <v>29</v>
      </c>
      <c r="E3381" s="16" t="s">
        <v>120</v>
      </c>
      <c r="F3381" s="16" t="s">
        <v>89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61</v>
      </c>
      <c r="C3382" s="9">
        <v>45748</v>
      </c>
      <c r="D3382">
        <v>29</v>
      </c>
      <c r="E3382" s="16" t="s">
        <v>120</v>
      </c>
      <c r="F3382" s="16" t="s">
        <v>89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61</v>
      </c>
      <c r="C3383" s="9">
        <v>45778</v>
      </c>
      <c r="D3383">
        <v>29</v>
      </c>
      <c r="E3383" s="16" t="s">
        <v>120</v>
      </c>
      <c r="F3383" s="16" t="s">
        <v>89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61</v>
      </c>
      <c r="C3384" s="9">
        <v>45809</v>
      </c>
      <c r="D3384">
        <v>29</v>
      </c>
      <c r="E3384" s="16" t="s">
        <v>120</v>
      </c>
      <c r="F3384" s="16" t="s">
        <v>89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61</v>
      </c>
      <c r="C3385" s="9">
        <v>45839</v>
      </c>
      <c r="D3385">
        <v>29</v>
      </c>
      <c r="E3385" s="16" t="s">
        <v>120</v>
      </c>
      <c r="F3385" s="16" t="s">
        <v>89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61</v>
      </c>
      <c r="C3386" s="9">
        <v>45870</v>
      </c>
      <c r="D3386">
        <v>29</v>
      </c>
      <c r="E3386" s="16" t="s">
        <v>120</v>
      </c>
      <c r="F3386" s="16" t="s">
        <v>89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61</v>
      </c>
      <c r="C3387" s="9">
        <v>45901</v>
      </c>
      <c r="D3387">
        <v>29</v>
      </c>
      <c r="E3387" s="16" t="s">
        <v>120</v>
      </c>
      <c r="F3387" s="16" t="s">
        <v>89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61</v>
      </c>
      <c r="C3388" s="9">
        <v>45931</v>
      </c>
      <c r="D3388">
        <v>29</v>
      </c>
      <c r="E3388" s="16" t="s">
        <v>120</v>
      </c>
      <c r="F3388" s="16" t="s">
        <v>89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61</v>
      </c>
      <c r="C3389" s="9">
        <v>45962</v>
      </c>
      <c r="D3389">
        <v>29</v>
      </c>
      <c r="E3389" s="16" t="s">
        <v>120</v>
      </c>
      <c r="F3389" s="16" t="s">
        <v>89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61</v>
      </c>
      <c r="C3390" s="9">
        <v>45992</v>
      </c>
      <c r="D3390">
        <v>29</v>
      </c>
      <c r="E3390" s="16" t="s">
        <v>120</v>
      </c>
      <c r="F3390" s="16" t="s">
        <v>89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61</v>
      </c>
      <c r="C3391" s="9">
        <v>46023</v>
      </c>
      <c r="D3391">
        <v>29</v>
      </c>
      <c r="E3391" s="16" t="s">
        <v>120</v>
      </c>
      <c r="F3391" s="16" t="s">
        <v>89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61</v>
      </c>
      <c r="C3392" s="9">
        <v>46054</v>
      </c>
      <c r="D3392">
        <v>29</v>
      </c>
      <c r="E3392" s="16" t="s">
        <v>120</v>
      </c>
      <c r="F3392" s="16" t="s">
        <v>89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61</v>
      </c>
      <c r="C3393" s="9">
        <v>46082</v>
      </c>
      <c r="D3393">
        <v>29</v>
      </c>
      <c r="E3393" s="16" t="s">
        <v>120</v>
      </c>
      <c r="F3393" s="16" t="s">
        <v>89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61</v>
      </c>
      <c r="C3394" s="9">
        <v>46113</v>
      </c>
      <c r="D3394">
        <v>29</v>
      </c>
      <c r="E3394" s="16" t="s">
        <v>120</v>
      </c>
      <c r="F3394" s="16" t="s">
        <v>89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61</v>
      </c>
      <c r="C3395" s="9">
        <v>46143</v>
      </c>
      <c r="D3395">
        <v>29</v>
      </c>
      <c r="E3395" s="16" t="s">
        <v>120</v>
      </c>
      <c r="F3395" s="16" t="s">
        <v>89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61</v>
      </c>
      <c r="C3396" s="9">
        <v>46174</v>
      </c>
      <c r="D3396">
        <v>29</v>
      </c>
      <c r="E3396" s="16" t="s">
        <v>120</v>
      </c>
      <c r="F3396" s="16" t="s">
        <v>89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61</v>
      </c>
      <c r="C3397" s="9">
        <v>46204</v>
      </c>
      <c r="D3397">
        <v>29</v>
      </c>
      <c r="E3397" s="16" t="s">
        <v>120</v>
      </c>
      <c r="F3397" s="16" t="s">
        <v>89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61</v>
      </c>
      <c r="C3398" s="9">
        <v>46235</v>
      </c>
      <c r="D3398">
        <v>29</v>
      </c>
      <c r="E3398" s="16" t="s">
        <v>120</v>
      </c>
      <c r="F3398" s="16" t="s">
        <v>89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61</v>
      </c>
      <c r="C3399" s="9">
        <v>46266</v>
      </c>
      <c r="D3399">
        <v>29</v>
      </c>
      <c r="E3399" s="16" t="s">
        <v>120</v>
      </c>
      <c r="F3399" s="16" t="s">
        <v>89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61</v>
      </c>
      <c r="C3400" s="9">
        <v>45689</v>
      </c>
      <c r="D3400">
        <v>30</v>
      </c>
      <c r="E3400" s="16" t="s">
        <v>121</v>
      </c>
      <c r="F3400" s="16" t="s">
        <v>94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61</v>
      </c>
      <c r="C3401" s="9">
        <v>45717</v>
      </c>
      <c r="D3401">
        <v>30</v>
      </c>
      <c r="E3401" s="16" t="s">
        <v>121</v>
      </c>
      <c r="F3401" s="16" t="s">
        <v>94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61</v>
      </c>
      <c r="C3402" s="9">
        <v>45748</v>
      </c>
      <c r="D3402">
        <v>30</v>
      </c>
      <c r="E3402" s="16" t="s">
        <v>121</v>
      </c>
      <c r="F3402" s="16" t="s">
        <v>94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61</v>
      </c>
      <c r="C3403" s="9">
        <v>45778</v>
      </c>
      <c r="D3403">
        <v>30</v>
      </c>
      <c r="E3403" s="16" t="s">
        <v>121</v>
      </c>
      <c r="F3403" s="16" t="s">
        <v>94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61</v>
      </c>
      <c r="C3404" s="9">
        <v>45809</v>
      </c>
      <c r="D3404">
        <v>30</v>
      </c>
      <c r="E3404" s="16" t="s">
        <v>121</v>
      </c>
      <c r="F3404" s="16" t="s">
        <v>94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61</v>
      </c>
      <c r="C3405" s="9">
        <v>45839</v>
      </c>
      <c r="D3405">
        <v>30</v>
      </c>
      <c r="E3405" s="16" t="s">
        <v>121</v>
      </c>
      <c r="F3405" s="16" t="s">
        <v>94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61</v>
      </c>
      <c r="C3406" s="9">
        <v>45870</v>
      </c>
      <c r="D3406">
        <v>30</v>
      </c>
      <c r="E3406" s="16" t="s">
        <v>121</v>
      </c>
      <c r="F3406" s="16" t="s">
        <v>94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61</v>
      </c>
      <c r="C3407" s="9">
        <v>45901</v>
      </c>
      <c r="D3407">
        <v>30</v>
      </c>
      <c r="E3407" s="16" t="s">
        <v>121</v>
      </c>
      <c r="F3407" s="16" t="s">
        <v>94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61</v>
      </c>
      <c r="C3408" s="9">
        <v>45931</v>
      </c>
      <c r="D3408">
        <v>30</v>
      </c>
      <c r="E3408" s="16" t="s">
        <v>121</v>
      </c>
      <c r="F3408" s="16" t="s">
        <v>94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61</v>
      </c>
      <c r="C3409" s="9">
        <v>45962</v>
      </c>
      <c r="D3409">
        <v>30</v>
      </c>
      <c r="E3409" s="16" t="s">
        <v>121</v>
      </c>
      <c r="F3409" s="16" t="s">
        <v>94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61</v>
      </c>
      <c r="C3410" s="9">
        <v>45992</v>
      </c>
      <c r="D3410">
        <v>30</v>
      </c>
      <c r="E3410" s="16" t="s">
        <v>121</v>
      </c>
      <c r="F3410" s="16" t="s">
        <v>94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61</v>
      </c>
      <c r="C3411" s="9">
        <v>46023</v>
      </c>
      <c r="D3411">
        <v>30</v>
      </c>
      <c r="E3411" s="16" t="s">
        <v>121</v>
      </c>
      <c r="F3411" s="16" t="s">
        <v>94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61</v>
      </c>
      <c r="C3412" s="9">
        <v>46054</v>
      </c>
      <c r="D3412">
        <v>30</v>
      </c>
      <c r="E3412" s="16" t="s">
        <v>121</v>
      </c>
      <c r="F3412" s="16" t="s">
        <v>94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61</v>
      </c>
      <c r="C3413" s="9">
        <v>46082</v>
      </c>
      <c r="D3413">
        <v>30</v>
      </c>
      <c r="E3413" s="16" t="s">
        <v>121</v>
      </c>
      <c r="F3413" s="16" t="s">
        <v>94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61</v>
      </c>
      <c r="C3414" s="9">
        <v>46113</v>
      </c>
      <c r="D3414">
        <v>30</v>
      </c>
      <c r="E3414" s="16" t="s">
        <v>121</v>
      </c>
      <c r="F3414" s="16" t="s">
        <v>94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61</v>
      </c>
      <c r="C3415" s="9">
        <v>46143</v>
      </c>
      <c r="D3415">
        <v>30</v>
      </c>
      <c r="E3415" s="16" t="s">
        <v>121</v>
      </c>
      <c r="F3415" s="16" t="s">
        <v>94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61</v>
      </c>
      <c r="C3416" s="9">
        <v>46174</v>
      </c>
      <c r="D3416">
        <v>30</v>
      </c>
      <c r="E3416" s="16" t="s">
        <v>121</v>
      </c>
      <c r="F3416" s="16" t="s">
        <v>94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61</v>
      </c>
      <c r="C3417" s="9">
        <v>46204</v>
      </c>
      <c r="D3417">
        <v>30</v>
      </c>
      <c r="E3417" s="16" t="s">
        <v>121</v>
      </c>
      <c r="F3417" s="16" t="s">
        <v>94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61</v>
      </c>
      <c r="C3418" s="9">
        <v>46235</v>
      </c>
      <c r="D3418">
        <v>30</v>
      </c>
      <c r="E3418" s="16" t="s">
        <v>121</v>
      </c>
      <c r="F3418" s="16" t="s">
        <v>94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61</v>
      </c>
      <c r="C3419" s="9">
        <v>46266</v>
      </c>
      <c r="D3419">
        <v>30</v>
      </c>
      <c r="E3419" s="16" t="s">
        <v>121</v>
      </c>
      <c r="F3419" s="16" t="s">
        <v>94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61</v>
      </c>
      <c r="C3420" s="9">
        <v>45689</v>
      </c>
      <c r="D3420">
        <v>31</v>
      </c>
      <c r="E3420" s="16" t="s">
        <v>122</v>
      </c>
      <c r="F3420" s="16" t="s">
        <v>94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61</v>
      </c>
      <c r="C3421" s="9">
        <v>45717</v>
      </c>
      <c r="D3421">
        <v>31</v>
      </c>
      <c r="E3421" s="16" t="s">
        <v>122</v>
      </c>
      <c r="F3421" s="16" t="s">
        <v>94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61</v>
      </c>
      <c r="C3422" s="9">
        <v>45748</v>
      </c>
      <c r="D3422">
        <v>31</v>
      </c>
      <c r="E3422" s="16" t="s">
        <v>122</v>
      </c>
      <c r="F3422" s="16" t="s">
        <v>94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61</v>
      </c>
      <c r="C3423" s="9">
        <v>45778</v>
      </c>
      <c r="D3423">
        <v>31</v>
      </c>
      <c r="E3423" s="16" t="s">
        <v>122</v>
      </c>
      <c r="F3423" s="16" t="s">
        <v>94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61</v>
      </c>
      <c r="C3424" s="9">
        <v>45809</v>
      </c>
      <c r="D3424">
        <v>31</v>
      </c>
      <c r="E3424" s="16" t="s">
        <v>122</v>
      </c>
      <c r="F3424" s="16" t="s">
        <v>94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61</v>
      </c>
      <c r="C3425" s="9">
        <v>45839</v>
      </c>
      <c r="D3425">
        <v>31</v>
      </c>
      <c r="E3425" s="16" t="s">
        <v>122</v>
      </c>
      <c r="F3425" s="16" t="s">
        <v>94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61</v>
      </c>
      <c r="C3426" s="9">
        <v>45870</v>
      </c>
      <c r="D3426">
        <v>31</v>
      </c>
      <c r="E3426" s="16" t="s">
        <v>122</v>
      </c>
      <c r="F3426" s="16" t="s">
        <v>94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61</v>
      </c>
      <c r="C3427" s="9">
        <v>45901</v>
      </c>
      <c r="D3427">
        <v>31</v>
      </c>
      <c r="E3427" s="16" t="s">
        <v>122</v>
      </c>
      <c r="F3427" s="16" t="s">
        <v>94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61</v>
      </c>
      <c r="C3428" s="9">
        <v>45931</v>
      </c>
      <c r="D3428">
        <v>31</v>
      </c>
      <c r="E3428" s="16" t="s">
        <v>122</v>
      </c>
      <c r="F3428" s="16" t="s">
        <v>94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61</v>
      </c>
      <c r="C3429" s="9">
        <v>45962</v>
      </c>
      <c r="D3429">
        <v>31</v>
      </c>
      <c r="E3429" s="16" t="s">
        <v>122</v>
      </c>
      <c r="F3429" s="16" t="s">
        <v>94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61</v>
      </c>
      <c r="C3430" s="9">
        <v>45992</v>
      </c>
      <c r="D3430">
        <v>31</v>
      </c>
      <c r="E3430" s="16" t="s">
        <v>122</v>
      </c>
      <c r="F3430" s="16" t="s">
        <v>94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61</v>
      </c>
      <c r="C3431" s="9">
        <v>46023</v>
      </c>
      <c r="D3431">
        <v>31</v>
      </c>
      <c r="E3431" s="16" t="s">
        <v>122</v>
      </c>
      <c r="F3431" s="16" t="s">
        <v>94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61</v>
      </c>
      <c r="C3432" s="9">
        <v>46054</v>
      </c>
      <c r="D3432">
        <v>31</v>
      </c>
      <c r="E3432" s="16" t="s">
        <v>122</v>
      </c>
      <c r="F3432" s="16" t="s">
        <v>94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61</v>
      </c>
      <c r="C3433" s="9">
        <v>46082</v>
      </c>
      <c r="D3433">
        <v>31</v>
      </c>
      <c r="E3433" s="16" t="s">
        <v>122</v>
      </c>
      <c r="F3433" s="16" t="s">
        <v>94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61</v>
      </c>
      <c r="C3434" s="9">
        <v>46113</v>
      </c>
      <c r="D3434">
        <v>31</v>
      </c>
      <c r="E3434" s="16" t="s">
        <v>122</v>
      </c>
      <c r="F3434" s="16" t="s">
        <v>94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61</v>
      </c>
      <c r="C3435" s="9">
        <v>46143</v>
      </c>
      <c r="D3435">
        <v>31</v>
      </c>
      <c r="E3435" s="16" t="s">
        <v>122</v>
      </c>
      <c r="F3435" s="16" t="s">
        <v>94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61</v>
      </c>
      <c r="C3436" s="9">
        <v>46174</v>
      </c>
      <c r="D3436">
        <v>31</v>
      </c>
      <c r="E3436" s="16" t="s">
        <v>122</v>
      </c>
      <c r="F3436" s="16" t="s">
        <v>94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61</v>
      </c>
      <c r="C3437" s="9">
        <v>46204</v>
      </c>
      <c r="D3437">
        <v>31</v>
      </c>
      <c r="E3437" s="16" t="s">
        <v>122</v>
      </c>
      <c r="F3437" s="16" t="s">
        <v>94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61</v>
      </c>
      <c r="C3438" s="9">
        <v>46235</v>
      </c>
      <c r="D3438">
        <v>31</v>
      </c>
      <c r="E3438" s="16" t="s">
        <v>122</v>
      </c>
      <c r="F3438" s="16" t="s">
        <v>94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61</v>
      </c>
      <c r="C3439" s="9">
        <v>46266</v>
      </c>
      <c r="D3439">
        <v>31</v>
      </c>
      <c r="E3439" s="16" t="s">
        <v>122</v>
      </c>
      <c r="F3439" s="16" t="s">
        <v>94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61</v>
      </c>
      <c r="C3440" s="9">
        <v>45689</v>
      </c>
      <c r="D3440">
        <v>32</v>
      </c>
      <c r="E3440" s="16" t="s">
        <v>123</v>
      </c>
      <c r="F3440" s="16" t="s">
        <v>94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61</v>
      </c>
      <c r="C3441" s="9">
        <v>45717</v>
      </c>
      <c r="D3441">
        <v>32</v>
      </c>
      <c r="E3441" s="16" t="s">
        <v>123</v>
      </c>
      <c r="F3441" s="16" t="s">
        <v>94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61</v>
      </c>
      <c r="C3442" s="9">
        <v>45748</v>
      </c>
      <c r="D3442">
        <v>32</v>
      </c>
      <c r="E3442" s="16" t="s">
        <v>123</v>
      </c>
      <c r="F3442" s="16" t="s">
        <v>94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61</v>
      </c>
      <c r="C3443" s="9">
        <v>45778</v>
      </c>
      <c r="D3443">
        <v>32</v>
      </c>
      <c r="E3443" s="16" t="s">
        <v>123</v>
      </c>
      <c r="F3443" s="16" t="s">
        <v>94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61</v>
      </c>
      <c r="C3444" s="9">
        <v>45809</v>
      </c>
      <c r="D3444">
        <v>32</v>
      </c>
      <c r="E3444" s="16" t="s">
        <v>123</v>
      </c>
      <c r="F3444" s="16" t="s">
        <v>94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61</v>
      </c>
      <c r="C3445" s="9">
        <v>45839</v>
      </c>
      <c r="D3445">
        <v>32</v>
      </c>
      <c r="E3445" s="16" t="s">
        <v>123</v>
      </c>
      <c r="F3445" s="16" t="s">
        <v>94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61</v>
      </c>
      <c r="C3446" s="9">
        <v>45870</v>
      </c>
      <c r="D3446">
        <v>32</v>
      </c>
      <c r="E3446" s="16" t="s">
        <v>123</v>
      </c>
      <c r="F3446" s="16" t="s">
        <v>94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61</v>
      </c>
      <c r="C3447" s="9">
        <v>45901</v>
      </c>
      <c r="D3447">
        <v>32</v>
      </c>
      <c r="E3447" s="16" t="s">
        <v>123</v>
      </c>
      <c r="F3447" s="16" t="s">
        <v>94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61</v>
      </c>
      <c r="C3448" s="9">
        <v>45931</v>
      </c>
      <c r="D3448">
        <v>32</v>
      </c>
      <c r="E3448" s="16" t="s">
        <v>123</v>
      </c>
      <c r="F3448" s="16" t="s">
        <v>94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61</v>
      </c>
      <c r="C3449" s="9">
        <v>45962</v>
      </c>
      <c r="D3449">
        <v>32</v>
      </c>
      <c r="E3449" s="16" t="s">
        <v>123</v>
      </c>
      <c r="F3449" s="16" t="s">
        <v>94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61</v>
      </c>
      <c r="C3450" s="9">
        <v>45992</v>
      </c>
      <c r="D3450">
        <v>32</v>
      </c>
      <c r="E3450" s="16" t="s">
        <v>123</v>
      </c>
      <c r="F3450" s="16" t="s">
        <v>94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61</v>
      </c>
      <c r="C3451" s="9">
        <v>46023</v>
      </c>
      <c r="D3451">
        <v>32</v>
      </c>
      <c r="E3451" s="16" t="s">
        <v>123</v>
      </c>
      <c r="F3451" s="16" t="s">
        <v>94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61</v>
      </c>
      <c r="C3452" s="9">
        <v>46054</v>
      </c>
      <c r="D3452">
        <v>32</v>
      </c>
      <c r="E3452" s="16" t="s">
        <v>123</v>
      </c>
      <c r="F3452" s="16" t="s">
        <v>94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61</v>
      </c>
      <c r="C3453" s="9">
        <v>46082</v>
      </c>
      <c r="D3453">
        <v>32</v>
      </c>
      <c r="E3453" s="16" t="s">
        <v>123</v>
      </c>
      <c r="F3453" s="16" t="s">
        <v>94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61</v>
      </c>
      <c r="C3454" s="9">
        <v>46113</v>
      </c>
      <c r="D3454">
        <v>32</v>
      </c>
      <c r="E3454" s="16" t="s">
        <v>123</v>
      </c>
      <c r="F3454" s="16" t="s">
        <v>94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61</v>
      </c>
      <c r="C3455" s="9">
        <v>46143</v>
      </c>
      <c r="D3455">
        <v>32</v>
      </c>
      <c r="E3455" s="16" t="s">
        <v>123</v>
      </c>
      <c r="F3455" s="16" t="s">
        <v>94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61</v>
      </c>
      <c r="C3456" s="9">
        <v>46174</v>
      </c>
      <c r="D3456">
        <v>32</v>
      </c>
      <c r="E3456" s="16" t="s">
        <v>123</v>
      </c>
      <c r="F3456" s="16" t="s">
        <v>94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61</v>
      </c>
      <c r="C3457" s="9">
        <v>46204</v>
      </c>
      <c r="D3457">
        <v>32</v>
      </c>
      <c r="E3457" s="16" t="s">
        <v>123</v>
      </c>
      <c r="F3457" s="16" t="s">
        <v>94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61</v>
      </c>
      <c r="C3458" s="9">
        <v>46235</v>
      </c>
      <c r="D3458">
        <v>32</v>
      </c>
      <c r="E3458" s="16" t="s">
        <v>123</v>
      </c>
      <c r="F3458" s="16" t="s">
        <v>94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61</v>
      </c>
      <c r="C3459" s="9">
        <v>46266</v>
      </c>
      <c r="D3459">
        <v>32</v>
      </c>
      <c r="E3459" s="16" t="s">
        <v>123</v>
      </c>
      <c r="F3459" s="16" t="s">
        <v>94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61</v>
      </c>
      <c r="C3460" s="9">
        <v>45689</v>
      </c>
      <c r="D3460">
        <v>33</v>
      </c>
      <c r="E3460" s="16" t="s">
        <v>124</v>
      </c>
      <c r="F3460" s="16" t="s">
        <v>94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61</v>
      </c>
      <c r="C3461" s="9">
        <v>45717</v>
      </c>
      <c r="D3461">
        <v>33</v>
      </c>
      <c r="E3461" s="16" t="s">
        <v>124</v>
      </c>
      <c r="F3461" s="16" t="s">
        <v>94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61</v>
      </c>
      <c r="C3462" s="9">
        <v>45748</v>
      </c>
      <c r="D3462">
        <v>33</v>
      </c>
      <c r="E3462" s="16" t="s">
        <v>124</v>
      </c>
      <c r="F3462" s="16" t="s">
        <v>94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61</v>
      </c>
      <c r="C3463" s="9">
        <v>45778</v>
      </c>
      <c r="D3463">
        <v>33</v>
      </c>
      <c r="E3463" s="16" t="s">
        <v>124</v>
      </c>
      <c r="F3463" s="16" t="s">
        <v>94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61</v>
      </c>
      <c r="C3464" s="9">
        <v>45809</v>
      </c>
      <c r="D3464">
        <v>33</v>
      </c>
      <c r="E3464" s="16" t="s">
        <v>124</v>
      </c>
      <c r="F3464" s="16" t="s">
        <v>94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61</v>
      </c>
      <c r="C3465" s="9">
        <v>45839</v>
      </c>
      <c r="D3465">
        <v>33</v>
      </c>
      <c r="E3465" s="16" t="s">
        <v>124</v>
      </c>
      <c r="F3465" s="16" t="s">
        <v>94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61</v>
      </c>
      <c r="C3466" s="9">
        <v>45870</v>
      </c>
      <c r="D3466">
        <v>33</v>
      </c>
      <c r="E3466" s="16" t="s">
        <v>124</v>
      </c>
      <c r="F3466" s="16" t="s">
        <v>94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61</v>
      </c>
      <c r="C3467" s="9">
        <v>45901</v>
      </c>
      <c r="D3467">
        <v>33</v>
      </c>
      <c r="E3467" s="16" t="s">
        <v>124</v>
      </c>
      <c r="F3467" s="16" t="s">
        <v>94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61</v>
      </c>
      <c r="C3468" s="9">
        <v>45931</v>
      </c>
      <c r="D3468">
        <v>33</v>
      </c>
      <c r="E3468" s="16" t="s">
        <v>124</v>
      </c>
      <c r="F3468" s="16" t="s">
        <v>94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61</v>
      </c>
      <c r="C3469" s="9">
        <v>45962</v>
      </c>
      <c r="D3469">
        <v>33</v>
      </c>
      <c r="E3469" s="16" t="s">
        <v>124</v>
      </c>
      <c r="F3469" s="16" t="s">
        <v>94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61</v>
      </c>
      <c r="C3470" s="9">
        <v>45992</v>
      </c>
      <c r="D3470">
        <v>33</v>
      </c>
      <c r="E3470" s="16" t="s">
        <v>124</v>
      </c>
      <c r="F3470" s="16" t="s">
        <v>94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61</v>
      </c>
      <c r="C3471" s="9">
        <v>46023</v>
      </c>
      <c r="D3471">
        <v>33</v>
      </c>
      <c r="E3471" s="16" t="s">
        <v>124</v>
      </c>
      <c r="F3471" s="16" t="s">
        <v>94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61</v>
      </c>
      <c r="C3472" s="9">
        <v>46054</v>
      </c>
      <c r="D3472">
        <v>33</v>
      </c>
      <c r="E3472" s="16" t="s">
        <v>124</v>
      </c>
      <c r="F3472" s="16" t="s">
        <v>94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61</v>
      </c>
      <c r="C3473" s="9">
        <v>46082</v>
      </c>
      <c r="D3473">
        <v>33</v>
      </c>
      <c r="E3473" s="16" t="s">
        <v>124</v>
      </c>
      <c r="F3473" s="16" t="s">
        <v>94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61</v>
      </c>
      <c r="C3474" s="9">
        <v>46113</v>
      </c>
      <c r="D3474">
        <v>33</v>
      </c>
      <c r="E3474" s="16" t="s">
        <v>124</v>
      </c>
      <c r="F3474" s="16" t="s">
        <v>94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61</v>
      </c>
      <c r="C3475" s="9">
        <v>46143</v>
      </c>
      <c r="D3475">
        <v>33</v>
      </c>
      <c r="E3475" s="16" t="s">
        <v>124</v>
      </c>
      <c r="F3475" s="16" t="s">
        <v>94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61</v>
      </c>
      <c r="C3476" s="9">
        <v>46174</v>
      </c>
      <c r="D3476">
        <v>33</v>
      </c>
      <c r="E3476" s="16" t="s">
        <v>124</v>
      </c>
      <c r="F3476" s="16" t="s">
        <v>94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61</v>
      </c>
      <c r="C3477" s="9">
        <v>46204</v>
      </c>
      <c r="D3477">
        <v>33</v>
      </c>
      <c r="E3477" s="16" t="s">
        <v>124</v>
      </c>
      <c r="F3477" s="16" t="s">
        <v>94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61</v>
      </c>
      <c r="C3478" s="9">
        <v>46235</v>
      </c>
      <c r="D3478">
        <v>33</v>
      </c>
      <c r="E3478" s="16" t="s">
        <v>124</v>
      </c>
      <c r="F3478" s="16" t="s">
        <v>94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61</v>
      </c>
      <c r="C3479" s="9">
        <v>46266</v>
      </c>
      <c r="D3479">
        <v>33</v>
      </c>
      <c r="E3479" s="16" t="s">
        <v>124</v>
      </c>
      <c r="F3479" s="16" t="s">
        <v>94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61</v>
      </c>
      <c r="C3480" s="9">
        <v>45689</v>
      </c>
      <c r="D3480">
        <v>34</v>
      </c>
      <c r="E3480" s="16" t="s">
        <v>125</v>
      </c>
      <c r="F3480" s="16" t="s">
        <v>116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61</v>
      </c>
      <c r="C3481" s="9">
        <v>45717</v>
      </c>
      <c r="D3481">
        <v>34</v>
      </c>
      <c r="E3481" s="16" t="s">
        <v>125</v>
      </c>
      <c r="F3481" s="16" t="s">
        <v>116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61</v>
      </c>
      <c r="C3482" s="9">
        <v>45748</v>
      </c>
      <c r="D3482">
        <v>34</v>
      </c>
      <c r="E3482" s="16" t="s">
        <v>125</v>
      </c>
      <c r="F3482" s="16" t="s">
        <v>116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61</v>
      </c>
      <c r="C3483" s="9">
        <v>45778</v>
      </c>
      <c r="D3483">
        <v>34</v>
      </c>
      <c r="E3483" s="16" t="s">
        <v>125</v>
      </c>
      <c r="F3483" s="16" t="s">
        <v>116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61</v>
      </c>
      <c r="C3484" s="9">
        <v>45809</v>
      </c>
      <c r="D3484">
        <v>34</v>
      </c>
      <c r="E3484" s="16" t="s">
        <v>125</v>
      </c>
      <c r="F3484" s="16" t="s">
        <v>116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61</v>
      </c>
      <c r="C3485" s="9">
        <v>45839</v>
      </c>
      <c r="D3485">
        <v>34</v>
      </c>
      <c r="E3485" s="16" t="s">
        <v>125</v>
      </c>
      <c r="F3485" s="16" t="s">
        <v>116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61</v>
      </c>
      <c r="C3486" s="9">
        <v>45870</v>
      </c>
      <c r="D3486">
        <v>34</v>
      </c>
      <c r="E3486" s="16" t="s">
        <v>125</v>
      </c>
      <c r="F3486" s="16" t="s">
        <v>116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61</v>
      </c>
      <c r="C3487" s="9">
        <v>45901</v>
      </c>
      <c r="D3487">
        <v>34</v>
      </c>
      <c r="E3487" s="16" t="s">
        <v>125</v>
      </c>
      <c r="F3487" s="16" t="s">
        <v>116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61</v>
      </c>
      <c r="C3488" s="9">
        <v>45931</v>
      </c>
      <c r="D3488">
        <v>34</v>
      </c>
      <c r="E3488" s="16" t="s">
        <v>125</v>
      </c>
      <c r="F3488" s="16" t="s">
        <v>116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61</v>
      </c>
      <c r="C3489" s="9">
        <v>45962</v>
      </c>
      <c r="D3489">
        <v>34</v>
      </c>
      <c r="E3489" s="16" t="s">
        <v>125</v>
      </c>
      <c r="F3489" s="16" t="s">
        <v>116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61</v>
      </c>
      <c r="C3490" s="9">
        <v>45992</v>
      </c>
      <c r="D3490">
        <v>34</v>
      </c>
      <c r="E3490" s="16" t="s">
        <v>125</v>
      </c>
      <c r="F3490" s="16" t="s">
        <v>116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61</v>
      </c>
      <c r="C3491" s="9">
        <v>46023</v>
      </c>
      <c r="D3491">
        <v>34</v>
      </c>
      <c r="E3491" s="16" t="s">
        <v>125</v>
      </c>
      <c r="F3491" s="16" t="s">
        <v>116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61</v>
      </c>
      <c r="C3492" s="9">
        <v>46054</v>
      </c>
      <c r="D3492">
        <v>34</v>
      </c>
      <c r="E3492" s="16" t="s">
        <v>125</v>
      </c>
      <c r="F3492" s="16" t="s">
        <v>116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61</v>
      </c>
      <c r="C3493" s="9">
        <v>46082</v>
      </c>
      <c r="D3493">
        <v>34</v>
      </c>
      <c r="E3493" s="16" t="s">
        <v>125</v>
      </c>
      <c r="F3493" s="16" t="s">
        <v>116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61</v>
      </c>
      <c r="C3494" s="9">
        <v>46113</v>
      </c>
      <c r="D3494">
        <v>34</v>
      </c>
      <c r="E3494" s="16" t="s">
        <v>125</v>
      </c>
      <c r="F3494" s="16" t="s">
        <v>116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61</v>
      </c>
      <c r="C3495" s="9">
        <v>46143</v>
      </c>
      <c r="D3495">
        <v>34</v>
      </c>
      <c r="E3495" s="16" t="s">
        <v>125</v>
      </c>
      <c r="F3495" s="16" t="s">
        <v>116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61</v>
      </c>
      <c r="C3496" s="9">
        <v>46174</v>
      </c>
      <c r="D3496">
        <v>34</v>
      </c>
      <c r="E3496" s="16" t="s">
        <v>125</v>
      </c>
      <c r="F3496" s="16" t="s">
        <v>116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61</v>
      </c>
      <c r="C3497" s="9">
        <v>46204</v>
      </c>
      <c r="D3497">
        <v>34</v>
      </c>
      <c r="E3497" s="16" t="s">
        <v>125</v>
      </c>
      <c r="F3497" s="16" t="s">
        <v>116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61</v>
      </c>
      <c r="C3498" s="9">
        <v>46235</v>
      </c>
      <c r="D3498">
        <v>34</v>
      </c>
      <c r="E3498" s="16" t="s">
        <v>125</v>
      </c>
      <c r="F3498" s="16" t="s">
        <v>116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61</v>
      </c>
      <c r="C3499" s="9">
        <v>46266</v>
      </c>
      <c r="D3499">
        <v>34</v>
      </c>
      <c r="E3499" s="16" t="s">
        <v>125</v>
      </c>
      <c r="F3499" s="16" t="s">
        <v>116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61</v>
      </c>
      <c r="C3500" s="9">
        <v>45717</v>
      </c>
      <c r="D3500">
        <v>35</v>
      </c>
      <c r="E3500" s="16" t="s">
        <v>126</v>
      </c>
      <c r="F3500" s="16" t="s">
        <v>92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61</v>
      </c>
      <c r="C3501" s="9">
        <v>45748</v>
      </c>
      <c r="D3501">
        <v>35</v>
      </c>
      <c r="E3501" s="16" t="s">
        <v>126</v>
      </c>
      <c r="F3501" s="16" t="s">
        <v>92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61</v>
      </c>
      <c r="C3502" s="9">
        <v>45778</v>
      </c>
      <c r="D3502">
        <v>35</v>
      </c>
      <c r="E3502" s="16" t="s">
        <v>126</v>
      </c>
      <c r="F3502" s="16" t="s">
        <v>92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61</v>
      </c>
      <c r="C3503" s="9">
        <v>45809</v>
      </c>
      <c r="D3503">
        <v>35</v>
      </c>
      <c r="E3503" s="16" t="s">
        <v>126</v>
      </c>
      <c r="F3503" s="16" t="s">
        <v>92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61</v>
      </c>
      <c r="C3504" s="9">
        <v>45839</v>
      </c>
      <c r="D3504">
        <v>35</v>
      </c>
      <c r="E3504" s="16" t="s">
        <v>126</v>
      </c>
      <c r="F3504" s="16" t="s">
        <v>92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61</v>
      </c>
      <c r="C3505" s="9">
        <v>45870</v>
      </c>
      <c r="D3505">
        <v>35</v>
      </c>
      <c r="E3505" s="16" t="s">
        <v>126</v>
      </c>
      <c r="F3505" s="16" t="s">
        <v>92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61</v>
      </c>
      <c r="C3506" s="9">
        <v>45901</v>
      </c>
      <c r="D3506">
        <v>35</v>
      </c>
      <c r="E3506" s="16" t="s">
        <v>126</v>
      </c>
      <c r="F3506" s="16" t="s">
        <v>92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61</v>
      </c>
      <c r="C3507" s="9">
        <v>45931</v>
      </c>
      <c r="D3507">
        <v>35</v>
      </c>
      <c r="E3507" s="16" t="s">
        <v>126</v>
      </c>
      <c r="F3507" s="16" t="s">
        <v>92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61</v>
      </c>
      <c r="C3508" s="9">
        <v>45992</v>
      </c>
      <c r="D3508">
        <v>35</v>
      </c>
      <c r="E3508" s="16" t="s">
        <v>126</v>
      </c>
      <c r="F3508" s="16" t="s">
        <v>92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61</v>
      </c>
      <c r="C3509" s="9">
        <v>46023</v>
      </c>
      <c r="D3509">
        <v>35</v>
      </c>
      <c r="E3509" s="16" t="s">
        <v>126</v>
      </c>
      <c r="F3509" s="16" t="s">
        <v>92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61</v>
      </c>
      <c r="C3510" s="9">
        <v>46054</v>
      </c>
      <c r="D3510">
        <v>35</v>
      </c>
      <c r="E3510" s="16" t="s">
        <v>126</v>
      </c>
      <c r="F3510" s="16" t="s">
        <v>92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61</v>
      </c>
      <c r="C3511" s="9">
        <v>46113</v>
      </c>
      <c r="D3511">
        <v>35</v>
      </c>
      <c r="E3511" s="16" t="s">
        <v>126</v>
      </c>
      <c r="F3511" s="16" t="s">
        <v>92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61</v>
      </c>
      <c r="C3512" s="9">
        <v>46143</v>
      </c>
      <c r="D3512">
        <v>35</v>
      </c>
      <c r="E3512" s="16" t="s">
        <v>126</v>
      </c>
      <c r="F3512" s="16" t="s">
        <v>92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61</v>
      </c>
      <c r="C3513" s="9">
        <v>46174</v>
      </c>
      <c r="D3513">
        <v>35</v>
      </c>
      <c r="E3513" s="16" t="s">
        <v>126</v>
      </c>
      <c r="F3513" s="16" t="s">
        <v>92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61</v>
      </c>
      <c r="C3514" s="9">
        <v>46204</v>
      </c>
      <c r="D3514">
        <v>35</v>
      </c>
      <c r="E3514" s="16" t="s">
        <v>126</v>
      </c>
      <c r="F3514" s="16" t="s">
        <v>92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61</v>
      </c>
      <c r="C3515" s="9">
        <v>46235</v>
      </c>
      <c r="D3515">
        <v>35</v>
      </c>
      <c r="E3515" s="16" t="s">
        <v>126</v>
      </c>
      <c r="F3515" s="16" t="s">
        <v>92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61</v>
      </c>
      <c r="C3516" s="9">
        <v>46266</v>
      </c>
      <c r="D3516">
        <v>35</v>
      </c>
      <c r="E3516" s="16" t="s">
        <v>126</v>
      </c>
      <c r="F3516" s="16" t="s">
        <v>92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61</v>
      </c>
      <c r="C3517" s="9">
        <v>45689</v>
      </c>
      <c r="D3517">
        <v>36</v>
      </c>
      <c r="E3517" s="16" t="s">
        <v>127</v>
      </c>
      <c r="F3517" s="16" t="s">
        <v>100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61</v>
      </c>
      <c r="C3518" s="9">
        <v>45717</v>
      </c>
      <c r="D3518">
        <v>36</v>
      </c>
      <c r="E3518" s="16" t="s">
        <v>127</v>
      </c>
      <c r="F3518" s="16" t="s">
        <v>100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61</v>
      </c>
      <c r="C3519" s="9">
        <v>45748</v>
      </c>
      <c r="D3519">
        <v>36</v>
      </c>
      <c r="E3519" s="16" t="s">
        <v>127</v>
      </c>
      <c r="F3519" s="16" t="s">
        <v>100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61</v>
      </c>
      <c r="C3520" s="9">
        <v>45778</v>
      </c>
      <c r="D3520">
        <v>36</v>
      </c>
      <c r="E3520" s="16" t="s">
        <v>127</v>
      </c>
      <c r="F3520" s="16" t="s">
        <v>100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61</v>
      </c>
      <c r="C3521" s="9">
        <v>45809</v>
      </c>
      <c r="D3521">
        <v>36</v>
      </c>
      <c r="E3521" s="16" t="s">
        <v>127</v>
      </c>
      <c r="F3521" s="16" t="s">
        <v>100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61</v>
      </c>
      <c r="C3522" s="9">
        <v>45839</v>
      </c>
      <c r="D3522">
        <v>36</v>
      </c>
      <c r="E3522" s="16" t="s">
        <v>127</v>
      </c>
      <c r="F3522" s="16" t="s">
        <v>100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61</v>
      </c>
      <c r="C3523" s="9">
        <v>45870</v>
      </c>
      <c r="D3523">
        <v>36</v>
      </c>
      <c r="E3523" s="16" t="s">
        <v>127</v>
      </c>
      <c r="F3523" s="16" t="s">
        <v>100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61</v>
      </c>
      <c r="C3524" s="9">
        <v>45901</v>
      </c>
      <c r="D3524">
        <v>36</v>
      </c>
      <c r="E3524" s="16" t="s">
        <v>127</v>
      </c>
      <c r="F3524" s="16" t="s">
        <v>100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61</v>
      </c>
      <c r="C3525" s="9">
        <v>45931</v>
      </c>
      <c r="D3525">
        <v>36</v>
      </c>
      <c r="E3525" s="16" t="s">
        <v>127</v>
      </c>
      <c r="F3525" s="16" t="s">
        <v>100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61</v>
      </c>
      <c r="C3526" s="9">
        <v>45962</v>
      </c>
      <c r="D3526">
        <v>36</v>
      </c>
      <c r="E3526" s="16" t="s">
        <v>127</v>
      </c>
      <c r="F3526" s="16" t="s">
        <v>100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61</v>
      </c>
      <c r="C3527" s="9">
        <v>45992</v>
      </c>
      <c r="D3527">
        <v>36</v>
      </c>
      <c r="E3527" s="16" t="s">
        <v>127</v>
      </c>
      <c r="F3527" s="16" t="s">
        <v>100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61</v>
      </c>
      <c r="C3528" s="9">
        <v>46023</v>
      </c>
      <c r="D3528">
        <v>36</v>
      </c>
      <c r="E3528" s="16" t="s">
        <v>127</v>
      </c>
      <c r="F3528" s="16" t="s">
        <v>100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61</v>
      </c>
      <c r="C3529" s="9">
        <v>46054</v>
      </c>
      <c r="D3529">
        <v>36</v>
      </c>
      <c r="E3529" s="16" t="s">
        <v>127</v>
      </c>
      <c r="F3529" s="16" t="s">
        <v>100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61</v>
      </c>
      <c r="C3530" s="9">
        <v>46082</v>
      </c>
      <c r="D3530">
        <v>36</v>
      </c>
      <c r="E3530" s="16" t="s">
        <v>127</v>
      </c>
      <c r="F3530" s="16" t="s">
        <v>100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61</v>
      </c>
      <c r="C3531" s="9">
        <v>46113</v>
      </c>
      <c r="D3531">
        <v>36</v>
      </c>
      <c r="E3531" s="16" t="s">
        <v>127</v>
      </c>
      <c r="F3531" s="16" t="s">
        <v>100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61</v>
      </c>
      <c r="C3532" s="9">
        <v>46143</v>
      </c>
      <c r="D3532">
        <v>36</v>
      </c>
      <c r="E3532" s="16" t="s">
        <v>127</v>
      </c>
      <c r="F3532" s="16" t="s">
        <v>100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61</v>
      </c>
      <c r="C3533" s="9">
        <v>46174</v>
      </c>
      <c r="D3533">
        <v>36</v>
      </c>
      <c r="E3533" s="16" t="s">
        <v>127</v>
      </c>
      <c r="F3533" s="16" t="s">
        <v>100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61</v>
      </c>
      <c r="C3534" s="9">
        <v>46204</v>
      </c>
      <c r="D3534">
        <v>36</v>
      </c>
      <c r="E3534" s="16" t="s">
        <v>127</v>
      </c>
      <c r="F3534" s="16" t="s">
        <v>100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61</v>
      </c>
      <c r="C3535" s="9">
        <v>46235</v>
      </c>
      <c r="D3535">
        <v>36</v>
      </c>
      <c r="E3535" s="16" t="s">
        <v>127</v>
      </c>
      <c r="F3535" s="16" t="s">
        <v>100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61</v>
      </c>
      <c r="C3536" s="9">
        <v>46266</v>
      </c>
      <c r="D3536">
        <v>36</v>
      </c>
      <c r="E3536" s="16" t="s">
        <v>127</v>
      </c>
      <c r="F3536" s="16" t="s">
        <v>100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61</v>
      </c>
      <c r="C3537" s="9">
        <v>45689</v>
      </c>
      <c r="D3537">
        <v>37</v>
      </c>
      <c r="E3537" s="16" t="s">
        <v>128</v>
      </c>
      <c r="F3537" s="16" t="s">
        <v>92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61</v>
      </c>
      <c r="C3538" s="9">
        <v>45717</v>
      </c>
      <c r="D3538">
        <v>37</v>
      </c>
      <c r="E3538" s="16" t="s">
        <v>128</v>
      </c>
      <c r="F3538" s="16" t="s">
        <v>92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61</v>
      </c>
      <c r="C3539" s="9">
        <v>45748</v>
      </c>
      <c r="D3539">
        <v>37</v>
      </c>
      <c r="E3539" s="16" t="s">
        <v>128</v>
      </c>
      <c r="F3539" s="16" t="s">
        <v>92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61</v>
      </c>
      <c r="C3540" s="9">
        <v>45778</v>
      </c>
      <c r="D3540">
        <v>37</v>
      </c>
      <c r="E3540" s="16" t="s">
        <v>128</v>
      </c>
      <c r="F3540" s="16" t="s">
        <v>92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61</v>
      </c>
      <c r="C3541" s="9">
        <v>45809</v>
      </c>
      <c r="D3541">
        <v>37</v>
      </c>
      <c r="E3541" s="16" t="s">
        <v>128</v>
      </c>
      <c r="F3541" s="16" t="s">
        <v>92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61</v>
      </c>
      <c r="C3542" s="9">
        <v>45839</v>
      </c>
      <c r="D3542">
        <v>37</v>
      </c>
      <c r="E3542" s="16" t="s">
        <v>128</v>
      </c>
      <c r="F3542" s="16" t="s">
        <v>92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61</v>
      </c>
      <c r="C3543" s="9">
        <v>45870</v>
      </c>
      <c r="D3543">
        <v>37</v>
      </c>
      <c r="E3543" s="16" t="s">
        <v>128</v>
      </c>
      <c r="F3543" s="16" t="s">
        <v>92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61</v>
      </c>
      <c r="C3544" s="9">
        <v>45901</v>
      </c>
      <c r="D3544">
        <v>37</v>
      </c>
      <c r="E3544" s="16" t="s">
        <v>128</v>
      </c>
      <c r="F3544" s="16" t="s">
        <v>92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61</v>
      </c>
      <c r="C3545" s="9">
        <v>45931</v>
      </c>
      <c r="D3545">
        <v>37</v>
      </c>
      <c r="E3545" s="16" t="s">
        <v>128</v>
      </c>
      <c r="F3545" s="16" t="s">
        <v>92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61</v>
      </c>
      <c r="C3546" s="9">
        <v>45962</v>
      </c>
      <c r="D3546">
        <v>37</v>
      </c>
      <c r="E3546" s="16" t="s">
        <v>128</v>
      </c>
      <c r="F3546" s="16" t="s">
        <v>92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61</v>
      </c>
      <c r="C3547" s="9">
        <v>45992</v>
      </c>
      <c r="D3547">
        <v>37</v>
      </c>
      <c r="E3547" s="16" t="s">
        <v>128</v>
      </c>
      <c r="F3547" s="16" t="s">
        <v>92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61</v>
      </c>
      <c r="C3548" s="9">
        <v>46023</v>
      </c>
      <c r="D3548">
        <v>37</v>
      </c>
      <c r="E3548" s="16" t="s">
        <v>128</v>
      </c>
      <c r="F3548" s="16" t="s">
        <v>92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61</v>
      </c>
      <c r="C3549" s="9">
        <v>46054</v>
      </c>
      <c r="D3549">
        <v>37</v>
      </c>
      <c r="E3549" s="16" t="s">
        <v>128</v>
      </c>
      <c r="F3549" s="16" t="s">
        <v>92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61</v>
      </c>
      <c r="C3550" s="9">
        <v>46082</v>
      </c>
      <c r="D3550">
        <v>37</v>
      </c>
      <c r="E3550" s="16" t="s">
        <v>128</v>
      </c>
      <c r="F3550" s="16" t="s">
        <v>92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61</v>
      </c>
      <c r="C3551" s="9">
        <v>46113</v>
      </c>
      <c r="D3551">
        <v>37</v>
      </c>
      <c r="E3551" s="16" t="s">
        <v>128</v>
      </c>
      <c r="F3551" s="16" t="s">
        <v>92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61</v>
      </c>
      <c r="C3552" s="9">
        <v>46143</v>
      </c>
      <c r="D3552">
        <v>37</v>
      </c>
      <c r="E3552" s="16" t="s">
        <v>128</v>
      </c>
      <c r="F3552" s="16" t="s">
        <v>92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61</v>
      </c>
      <c r="C3553" s="9">
        <v>46174</v>
      </c>
      <c r="D3553">
        <v>37</v>
      </c>
      <c r="E3553" s="16" t="s">
        <v>128</v>
      </c>
      <c r="F3553" s="16" t="s">
        <v>92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61</v>
      </c>
      <c r="C3554" s="9">
        <v>46204</v>
      </c>
      <c r="D3554">
        <v>37</v>
      </c>
      <c r="E3554" s="16" t="s">
        <v>128</v>
      </c>
      <c r="F3554" s="16" t="s">
        <v>92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61</v>
      </c>
      <c r="C3555" s="9">
        <v>46235</v>
      </c>
      <c r="D3555">
        <v>37</v>
      </c>
      <c r="E3555" s="16" t="s">
        <v>128</v>
      </c>
      <c r="F3555" s="16" t="s">
        <v>92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61</v>
      </c>
      <c r="C3556" s="9">
        <v>46266</v>
      </c>
      <c r="D3556">
        <v>37</v>
      </c>
      <c r="E3556" s="16" t="s">
        <v>128</v>
      </c>
      <c r="F3556" s="16" t="s">
        <v>92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61</v>
      </c>
      <c r="C3557" s="9">
        <v>45689</v>
      </c>
      <c r="D3557">
        <v>38</v>
      </c>
      <c r="E3557" s="16" t="s">
        <v>129</v>
      </c>
      <c r="F3557" s="16" t="s">
        <v>85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61</v>
      </c>
      <c r="C3558" s="9">
        <v>45717</v>
      </c>
      <c r="D3558">
        <v>38</v>
      </c>
      <c r="E3558" s="16" t="s">
        <v>129</v>
      </c>
      <c r="F3558" s="16" t="s">
        <v>85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61</v>
      </c>
      <c r="C3559" s="9">
        <v>45748</v>
      </c>
      <c r="D3559">
        <v>38</v>
      </c>
      <c r="E3559" s="16" t="s">
        <v>129</v>
      </c>
      <c r="F3559" s="16" t="s">
        <v>85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61</v>
      </c>
      <c r="C3560" s="9">
        <v>45778</v>
      </c>
      <c r="D3560">
        <v>38</v>
      </c>
      <c r="E3560" s="16" t="s">
        <v>129</v>
      </c>
      <c r="F3560" s="16" t="s">
        <v>85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61</v>
      </c>
      <c r="C3561" s="9">
        <v>45809</v>
      </c>
      <c r="D3561">
        <v>38</v>
      </c>
      <c r="E3561" s="16" t="s">
        <v>129</v>
      </c>
      <c r="F3561" s="16" t="s">
        <v>85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61</v>
      </c>
      <c r="C3562" s="9">
        <v>45839</v>
      </c>
      <c r="D3562">
        <v>38</v>
      </c>
      <c r="E3562" s="16" t="s">
        <v>129</v>
      </c>
      <c r="F3562" s="16" t="s">
        <v>85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61</v>
      </c>
      <c r="C3563" s="9">
        <v>45870</v>
      </c>
      <c r="D3563">
        <v>38</v>
      </c>
      <c r="E3563" s="16" t="s">
        <v>129</v>
      </c>
      <c r="F3563" s="16" t="s">
        <v>85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61</v>
      </c>
      <c r="C3564" s="9">
        <v>45901</v>
      </c>
      <c r="D3564">
        <v>38</v>
      </c>
      <c r="E3564" s="16" t="s">
        <v>129</v>
      </c>
      <c r="F3564" s="16" t="s">
        <v>85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61</v>
      </c>
      <c r="C3565" s="9">
        <v>45931</v>
      </c>
      <c r="D3565">
        <v>38</v>
      </c>
      <c r="E3565" s="16" t="s">
        <v>129</v>
      </c>
      <c r="F3565" s="16" t="s">
        <v>85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61</v>
      </c>
      <c r="C3566" s="9">
        <v>45962</v>
      </c>
      <c r="D3566">
        <v>38</v>
      </c>
      <c r="E3566" s="16" t="s">
        <v>129</v>
      </c>
      <c r="F3566" s="16" t="s">
        <v>85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61</v>
      </c>
      <c r="C3567" s="9">
        <v>45992</v>
      </c>
      <c r="D3567">
        <v>38</v>
      </c>
      <c r="E3567" s="16" t="s">
        <v>129</v>
      </c>
      <c r="F3567" s="16" t="s">
        <v>85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61</v>
      </c>
      <c r="C3568" s="9">
        <v>46023</v>
      </c>
      <c r="D3568">
        <v>38</v>
      </c>
      <c r="E3568" s="16" t="s">
        <v>129</v>
      </c>
      <c r="F3568" s="16" t="s">
        <v>85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61</v>
      </c>
      <c r="C3569" s="9">
        <v>46054</v>
      </c>
      <c r="D3569">
        <v>38</v>
      </c>
      <c r="E3569" s="16" t="s">
        <v>129</v>
      </c>
      <c r="F3569" s="16" t="s">
        <v>85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61</v>
      </c>
      <c r="C3570" s="9">
        <v>46082</v>
      </c>
      <c r="D3570">
        <v>38</v>
      </c>
      <c r="E3570" s="16" t="s">
        <v>129</v>
      </c>
      <c r="F3570" s="16" t="s">
        <v>85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61</v>
      </c>
      <c r="C3571" s="9">
        <v>46113</v>
      </c>
      <c r="D3571">
        <v>38</v>
      </c>
      <c r="E3571" s="16" t="s">
        <v>129</v>
      </c>
      <c r="F3571" s="16" t="s">
        <v>85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61</v>
      </c>
      <c r="C3572" s="9">
        <v>46143</v>
      </c>
      <c r="D3572">
        <v>38</v>
      </c>
      <c r="E3572" s="16" t="s">
        <v>129</v>
      </c>
      <c r="F3572" s="16" t="s">
        <v>85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61</v>
      </c>
      <c r="C3573" s="9">
        <v>46174</v>
      </c>
      <c r="D3573">
        <v>38</v>
      </c>
      <c r="E3573" s="16" t="s">
        <v>129</v>
      </c>
      <c r="F3573" s="16" t="s">
        <v>85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61</v>
      </c>
      <c r="C3574" s="9">
        <v>46204</v>
      </c>
      <c r="D3574">
        <v>38</v>
      </c>
      <c r="E3574" s="16" t="s">
        <v>129</v>
      </c>
      <c r="F3574" s="16" t="s">
        <v>85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61</v>
      </c>
      <c r="C3575" s="9">
        <v>46235</v>
      </c>
      <c r="D3575">
        <v>38</v>
      </c>
      <c r="E3575" s="16" t="s">
        <v>129</v>
      </c>
      <c r="F3575" s="16" t="s">
        <v>85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61</v>
      </c>
      <c r="C3576" s="9">
        <v>46266</v>
      </c>
      <c r="D3576">
        <v>38</v>
      </c>
      <c r="E3576" s="16" t="s">
        <v>129</v>
      </c>
      <c r="F3576" s="16" t="s">
        <v>85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61</v>
      </c>
      <c r="C3577" s="9">
        <v>45689</v>
      </c>
      <c r="D3577">
        <v>39</v>
      </c>
      <c r="E3577" s="16" t="s">
        <v>130</v>
      </c>
      <c r="F3577" s="16" t="s">
        <v>89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61</v>
      </c>
      <c r="C3578" s="9">
        <v>45717</v>
      </c>
      <c r="D3578">
        <v>39</v>
      </c>
      <c r="E3578" s="16" t="s">
        <v>130</v>
      </c>
      <c r="F3578" s="16" t="s">
        <v>89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61</v>
      </c>
      <c r="C3579" s="9">
        <v>45748</v>
      </c>
      <c r="D3579">
        <v>39</v>
      </c>
      <c r="E3579" s="16" t="s">
        <v>130</v>
      </c>
      <c r="F3579" s="16" t="s">
        <v>89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61</v>
      </c>
      <c r="C3580" s="9">
        <v>45778</v>
      </c>
      <c r="D3580">
        <v>39</v>
      </c>
      <c r="E3580" s="16" t="s">
        <v>130</v>
      </c>
      <c r="F3580" s="16" t="s">
        <v>89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61</v>
      </c>
      <c r="C3581" s="9">
        <v>45809</v>
      </c>
      <c r="D3581">
        <v>39</v>
      </c>
      <c r="E3581" s="16" t="s">
        <v>130</v>
      </c>
      <c r="F3581" s="16" t="s">
        <v>89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61</v>
      </c>
      <c r="C3582" s="9">
        <v>45839</v>
      </c>
      <c r="D3582">
        <v>39</v>
      </c>
      <c r="E3582" s="16" t="s">
        <v>130</v>
      </c>
      <c r="F3582" s="16" t="s">
        <v>89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61</v>
      </c>
      <c r="C3583" s="9">
        <v>45870</v>
      </c>
      <c r="D3583">
        <v>39</v>
      </c>
      <c r="E3583" s="16" t="s">
        <v>130</v>
      </c>
      <c r="F3583" s="16" t="s">
        <v>89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61</v>
      </c>
      <c r="C3584" s="9">
        <v>45901</v>
      </c>
      <c r="D3584">
        <v>39</v>
      </c>
      <c r="E3584" s="16" t="s">
        <v>130</v>
      </c>
      <c r="F3584" s="16" t="s">
        <v>89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61</v>
      </c>
      <c r="C3585" s="9">
        <v>45931</v>
      </c>
      <c r="D3585">
        <v>39</v>
      </c>
      <c r="E3585" s="16" t="s">
        <v>130</v>
      </c>
      <c r="F3585" s="16" t="s">
        <v>89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61</v>
      </c>
      <c r="C3586" s="9">
        <v>45962</v>
      </c>
      <c r="D3586">
        <v>39</v>
      </c>
      <c r="E3586" s="16" t="s">
        <v>130</v>
      </c>
      <c r="F3586" s="16" t="s">
        <v>89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61</v>
      </c>
      <c r="C3587" s="9">
        <v>45992</v>
      </c>
      <c r="D3587">
        <v>39</v>
      </c>
      <c r="E3587" s="16" t="s">
        <v>130</v>
      </c>
      <c r="F3587" s="16" t="s">
        <v>89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61</v>
      </c>
      <c r="C3588" s="9">
        <v>46023</v>
      </c>
      <c r="D3588">
        <v>39</v>
      </c>
      <c r="E3588" s="16" t="s">
        <v>130</v>
      </c>
      <c r="F3588" s="16" t="s">
        <v>89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61</v>
      </c>
      <c r="C3589" s="9">
        <v>46054</v>
      </c>
      <c r="D3589">
        <v>39</v>
      </c>
      <c r="E3589" s="16" t="s">
        <v>130</v>
      </c>
      <c r="F3589" s="16" t="s">
        <v>89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61</v>
      </c>
      <c r="C3590" s="9">
        <v>46082</v>
      </c>
      <c r="D3590">
        <v>39</v>
      </c>
      <c r="E3590" s="16" t="s">
        <v>130</v>
      </c>
      <c r="F3590" s="16" t="s">
        <v>89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61</v>
      </c>
      <c r="C3591" s="9">
        <v>46113</v>
      </c>
      <c r="D3591">
        <v>39</v>
      </c>
      <c r="E3591" s="16" t="s">
        <v>130</v>
      </c>
      <c r="F3591" s="16" t="s">
        <v>89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61</v>
      </c>
      <c r="C3592" s="9">
        <v>46143</v>
      </c>
      <c r="D3592">
        <v>39</v>
      </c>
      <c r="E3592" s="16" t="s">
        <v>130</v>
      </c>
      <c r="F3592" s="16" t="s">
        <v>89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61</v>
      </c>
      <c r="C3593" s="9">
        <v>46174</v>
      </c>
      <c r="D3593">
        <v>39</v>
      </c>
      <c r="E3593" s="16" t="s">
        <v>130</v>
      </c>
      <c r="F3593" s="16" t="s">
        <v>89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61</v>
      </c>
      <c r="C3594" s="9">
        <v>46204</v>
      </c>
      <c r="D3594">
        <v>39</v>
      </c>
      <c r="E3594" s="16" t="s">
        <v>130</v>
      </c>
      <c r="F3594" s="16" t="s">
        <v>89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61</v>
      </c>
      <c r="C3595" s="9">
        <v>46235</v>
      </c>
      <c r="D3595">
        <v>39</v>
      </c>
      <c r="E3595" s="16" t="s">
        <v>130</v>
      </c>
      <c r="F3595" s="16" t="s">
        <v>89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61</v>
      </c>
      <c r="C3596" s="9">
        <v>46266</v>
      </c>
      <c r="D3596">
        <v>39</v>
      </c>
      <c r="E3596" s="16" t="s">
        <v>130</v>
      </c>
      <c r="F3596" s="16" t="s">
        <v>89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61</v>
      </c>
      <c r="C3597" s="9">
        <v>45689</v>
      </c>
      <c r="D3597">
        <v>40</v>
      </c>
      <c r="E3597" s="16" t="s">
        <v>131</v>
      </c>
      <c r="F3597" s="16" t="s">
        <v>110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61</v>
      </c>
      <c r="C3598" s="9">
        <v>45748</v>
      </c>
      <c r="D3598">
        <v>40</v>
      </c>
      <c r="E3598" s="16" t="s">
        <v>131</v>
      </c>
      <c r="F3598" s="16" t="s">
        <v>110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61</v>
      </c>
      <c r="C3599" s="9">
        <v>45778</v>
      </c>
      <c r="D3599">
        <v>40</v>
      </c>
      <c r="E3599" s="16" t="s">
        <v>131</v>
      </c>
      <c r="F3599" s="16" t="s">
        <v>110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61</v>
      </c>
      <c r="C3600" s="9">
        <v>45839</v>
      </c>
      <c r="D3600">
        <v>40</v>
      </c>
      <c r="E3600" s="16" t="s">
        <v>131</v>
      </c>
      <c r="F3600" s="16" t="s">
        <v>110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61</v>
      </c>
      <c r="C3601" s="9">
        <v>45870</v>
      </c>
      <c r="D3601">
        <v>40</v>
      </c>
      <c r="E3601" s="16" t="s">
        <v>131</v>
      </c>
      <c r="F3601" s="16" t="s">
        <v>110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61</v>
      </c>
      <c r="C3602" s="9">
        <v>45931</v>
      </c>
      <c r="D3602">
        <v>40</v>
      </c>
      <c r="E3602" s="16" t="s">
        <v>131</v>
      </c>
      <c r="F3602" s="16" t="s">
        <v>110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61</v>
      </c>
      <c r="C3603" s="9">
        <v>45962</v>
      </c>
      <c r="D3603">
        <v>40</v>
      </c>
      <c r="E3603" s="16" t="s">
        <v>131</v>
      </c>
      <c r="F3603" s="16" t="s">
        <v>110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61</v>
      </c>
      <c r="C3604" s="9">
        <v>45992</v>
      </c>
      <c r="D3604">
        <v>40</v>
      </c>
      <c r="E3604" s="16" t="s">
        <v>131</v>
      </c>
      <c r="F3604" s="16" t="s">
        <v>110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61</v>
      </c>
      <c r="C3605" s="9">
        <v>46023</v>
      </c>
      <c r="D3605">
        <v>40</v>
      </c>
      <c r="E3605" s="16" t="s">
        <v>131</v>
      </c>
      <c r="F3605" s="16" t="s">
        <v>110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61</v>
      </c>
      <c r="C3606" s="9">
        <v>46054</v>
      </c>
      <c r="D3606">
        <v>40</v>
      </c>
      <c r="E3606" s="16" t="s">
        <v>131</v>
      </c>
      <c r="F3606" s="16" t="s">
        <v>110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61</v>
      </c>
      <c r="C3607" s="9">
        <v>46082</v>
      </c>
      <c r="D3607">
        <v>40</v>
      </c>
      <c r="E3607" s="16" t="s">
        <v>131</v>
      </c>
      <c r="F3607" s="16" t="s">
        <v>110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61</v>
      </c>
      <c r="C3608" s="9">
        <v>46143</v>
      </c>
      <c r="D3608">
        <v>40</v>
      </c>
      <c r="E3608" s="16" t="s">
        <v>131</v>
      </c>
      <c r="F3608" s="16" t="s">
        <v>110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61</v>
      </c>
      <c r="C3609" s="9">
        <v>46174</v>
      </c>
      <c r="D3609">
        <v>40</v>
      </c>
      <c r="E3609" s="16" t="s">
        <v>131</v>
      </c>
      <c r="F3609" s="16" t="s">
        <v>110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61</v>
      </c>
      <c r="C3610" s="9">
        <v>46235</v>
      </c>
      <c r="D3610">
        <v>40</v>
      </c>
      <c r="E3610" s="16" t="s">
        <v>131</v>
      </c>
      <c r="F3610" s="16" t="s">
        <v>110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61</v>
      </c>
      <c r="C3611" s="9">
        <v>46266</v>
      </c>
      <c r="D3611">
        <v>40</v>
      </c>
      <c r="E3611" s="16" t="s">
        <v>131</v>
      </c>
      <c r="F3611" s="16" t="s">
        <v>110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61</v>
      </c>
      <c r="C3612" s="9">
        <v>45689</v>
      </c>
      <c r="D3612">
        <v>41</v>
      </c>
      <c r="E3612" s="16" t="s">
        <v>132</v>
      </c>
      <c r="F3612" s="16" t="s">
        <v>89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61</v>
      </c>
      <c r="C3613" s="9">
        <v>45717</v>
      </c>
      <c r="D3613">
        <v>41</v>
      </c>
      <c r="E3613" s="16" t="s">
        <v>132</v>
      </c>
      <c r="F3613" s="16" t="s">
        <v>89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61</v>
      </c>
      <c r="C3614" s="9">
        <v>45748</v>
      </c>
      <c r="D3614">
        <v>41</v>
      </c>
      <c r="E3614" s="16" t="s">
        <v>132</v>
      </c>
      <c r="F3614" s="16" t="s">
        <v>89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61</v>
      </c>
      <c r="C3615" s="9">
        <v>45778</v>
      </c>
      <c r="D3615">
        <v>41</v>
      </c>
      <c r="E3615" s="16" t="s">
        <v>132</v>
      </c>
      <c r="F3615" s="16" t="s">
        <v>89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61</v>
      </c>
      <c r="C3616" s="9">
        <v>45809</v>
      </c>
      <c r="D3616">
        <v>41</v>
      </c>
      <c r="E3616" s="16" t="s">
        <v>132</v>
      </c>
      <c r="F3616" s="16" t="s">
        <v>89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61</v>
      </c>
      <c r="C3617" s="9">
        <v>45839</v>
      </c>
      <c r="D3617">
        <v>41</v>
      </c>
      <c r="E3617" s="16" t="s">
        <v>132</v>
      </c>
      <c r="F3617" s="16" t="s">
        <v>89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61</v>
      </c>
      <c r="C3618" s="9">
        <v>45870</v>
      </c>
      <c r="D3618">
        <v>41</v>
      </c>
      <c r="E3618" s="16" t="s">
        <v>132</v>
      </c>
      <c r="F3618" s="16" t="s">
        <v>89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61</v>
      </c>
      <c r="C3619" s="9">
        <v>45901</v>
      </c>
      <c r="D3619">
        <v>41</v>
      </c>
      <c r="E3619" s="16" t="s">
        <v>132</v>
      </c>
      <c r="F3619" s="16" t="s">
        <v>89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61</v>
      </c>
      <c r="C3620" s="9">
        <v>45931</v>
      </c>
      <c r="D3620">
        <v>41</v>
      </c>
      <c r="E3620" s="16" t="s">
        <v>132</v>
      </c>
      <c r="F3620" s="16" t="s">
        <v>89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61</v>
      </c>
      <c r="C3621" s="9">
        <v>45962</v>
      </c>
      <c r="D3621">
        <v>41</v>
      </c>
      <c r="E3621" s="16" t="s">
        <v>132</v>
      </c>
      <c r="F3621" s="16" t="s">
        <v>89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61</v>
      </c>
      <c r="C3622" s="9">
        <v>45992</v>
      </c>
      <c r="D3622">
        <v>41</v>
      </c>
      <c r="E3622" s="16" t="s">
        <v>132</v>
      </c>
      <c r="F3622" s="16" t="s">
        <v>89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61</v>
      </c>
      <c r="C3623" s="9">
        <v>46023</v>
      </c>
      <c r="D3623">
        <v>41</v>
      </c>
      <c r="E3623" s="16" t="s">
        <v>132</v>
      </c>
      <c r="F3623" s="16" t="s">
        <v>89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61</v>
      </c>
      <c r="C3624" s="9">
        <v>46054</v>
      </c>
      <c r="D3624">
        <v>41</v>
      </c>
      <c r="E3624" s="16" t="s">
        <v>132</v>
      </c>
      <c r="F3624" s="16" t="s">
        <v>89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61</v>
      </c>
      <c r="C3625" s="9">
        <v>46082</v>
      </c>
      <c r="D3625">
        <v>41</v>
      </c>
      <c r="E3625" s="16" t="s">
        <v>132</v>
      </c>
      <c r="F3625" s="16" t="s">
        <v>89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61</v>
      </c>
      <c r="C3626" s="9">
        <v>46113</v>
      </c>
      <c r="D3626">
        <v>41</v>
      </c>
      <c r="E3626" s="16" t="s">
        <v>132</v>
      </c>
      <c r="F3626" s="16" t="s">
        <v>89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61</v>
      </c>
      <c r="C3627" s="9">
        <v>46143</v>
      </c>
      <c r="D3627">
        <v>41</v>
      </c>
      <c r="E3627" s="16" t="s">
        <v>132</v>
      </c>
      <c r="F3627" s="16" t="s">
        <v>89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61</v>
      </c>
      <c r="C3628" s="9">
        <v>46174</v>
      </c>
      <c r="D3628">
        <v>41</v>
      </c>
      <c r="E3628" s="16" t="s">
        <v>132</v>
      </c>
      <c r="F3628" s="16" t="s">
        <v>89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61</v>
      </c>
      <c r="C3629" s="9">
        <v>46204</v>
      </c>
      <c r="D3629">
        <v>41</v>
      </c>
      <c r="E3629" s="16" t="s">
        <v>132</v>
      </c>
      <c r="F3629" s="16" t="s">
        <v>89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61</v>
      </c>
      <c r="C3630" s="9">
        <v>46235</v>
      </c>
      <c r="D3630">
        <v>41</v>
      </c>
      <c r="E3630" s="16" t="s">
        <v>132</v>
      </c>
      <c r="F3630" s="16" t="s">
        <v>89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61</v>
      </c>
      <c r="C3631" s="9">
        <v>46266</v>
      </c>
      <c r="D3631">
        <v>41</v>
      </c>
      <c r="E3631" s="16" t="s">
        <v>132</v>
      </c>
      <c r="F3631" s="16" t="s">
        <v>89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61</v>
      </c>
      <c r="C3632" s="9">
        <v>45689</v>
      </c>
      <c r="D3632">
        <v>42</v>
      </c>
      <c r="E3632" s="16" t="s">
        <v>133</v>
      </c>
      <c r="F3632" s="16" t="s">
        <v>85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61</v>
      </c>
      <c r="C3633" s="9">
        <v>45717</v>
      </c>
      <c r="D3633">
        <v>42</v>
      </c>
      <c r="E3633" s="16" t="s">
        <v>133</v>
      </c>
      <c r="F3633" s="16" t="s">
        <v>85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61</v>
      </c>
      <c r="C3634" s="9">
        <v>45748</v>
      </c>
      <c r="D3634">
        <v>42</v>
      </c>
      <c r="E3634" s="16" t="s">
        <v>133</v>
      </c>
      <c r="F3634" s="16" t="s">
        <v>85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61</v>
      </c>
      <c r="C3635" s="9">
        <v>45778</v>
      </c>
      <c r="D3635">
        <v>42</v>
      </c>
      <c r="E3635" s="16" t="s">
        <v>133</v>
      </c>
      <c r="F3635" s="16" t="s">
        <v>85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61</v>
      </c>
      <c r="C3636" s="9">
        <v>45809</v>
      </c>
      <c r="D3636">
        <v>42</v>
      </c>
      <c r="E3636" s="16" t="s">
        <v>133</v>
      </c>
      <c r="F3636" s="16" t="s">
        <v>85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61</v>
      </c>
      <c r="C3637" s="9">
        <v>45839</v>
      </c>
      <c r="D3637">
        <v>42</v>
      </c>
      <c r="E3637" s="16" t="s">
        <v>133</v>
      </c>
      <c r="F3637" s="16" t="s">
        <v>85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61</v>
      </c>
      <c r="C3638" s="9">
        <v>45870</v>
      </c>
      <c r="D3638">
        <v>42</v>
      </c>
      <c r="E3638" s="16" t="s">
        <v>133</v>
      </c>
      <c r="F3638" s="16" t="s">
        <v>85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61</v>
      </c>
      <c r="C3639" s="9">
        <v>45901</v>
      </c>
      <c r="D3639">
        <v>42</v>
      </c>
      <c r="E3639" s="16" t="s">
        <v>133</v>
      </c>
      <c r="F3639" s="16" t="s">
        <v>85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61</v>
      </c>
      <c r="C3640" s="9">
        <v>45931</v>
      </c>
      <c r="D3640">
        <v>42</v>
      </c>
      <c r="E3640" s="16" t="s">
        <v>133</v>
      </c>
      <c r="F3640" s="16" t="s">
        <v>85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61</v>
      </c>
      <c r="C3641" s="9">
        <v>45962</v>
      </c>
      <c r="D3641">
        <v>42</v>
      </c>
      <c r="E3641" s="16" t="s">
        <v>133</v>
      </c>
      <c r="F3641" s="16" t="s">
        <v>85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61</v>
      </c>
      <c r="C3642" s="9">
        <v>45992</v>
      </c>
      <c r="D3642">
        <v>42</v>
      </c>
      <c r="E3642" s="16" t="s">
        <v>133</v>
      </c>
      <c r="F3642" s="16" t="s">
        <v>85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61</v>
      </c>
      <c r="C3643" s="9">
        <v>46023</v>
      </c>
      <c r="D3643">
        <v>42</v>
      </c>
      <c r="E3643" s="16" t="s">
        <v>133</v>
      </c>
      <c r="F3643" s="16" t="s">
        <v>85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61</v>
      </c>
      <c r="C3644" s="9">
        <v>46054</v>
      </c>
      <c r="D3644">
        <v>42</v>
      </c>
      <c r="E3644" s="16" t="s">
        <v>133</v>
      </c>
      <c r="F3644" s="16" t="s">
        <v>85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61</v>
      </c>
      <c r="C3645" s="9">
        <v>46082</v>
      </c>
      <c r="D3645">
        <v>42</v>
      </c>
      <c r="E3645" s="16" t="s">
        <v>133</v>
      </c>
      <c r="F3645" s="16" t="s">
        <v>85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61</v>
      </c>
      <c r="C3646" s="9">
        <v>46113</v>
      </c>
      <c r="D3646">
        <v>42</v>
      </c>
      <c r="E3646" s="16" t="s">
        <v>133</v>
      </c>
      <c r="F3646" s="16" t="s">
        <v>85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61</v>
      </c>
      <c r="C3647" s="9">
        <v>46143</v>
      </c>
      <c r="D3647">
        <v>42</v>
      </c>
      <c r="E3647" s="16" t="s">
        <v>133</v>
      </c>
      <c r="F3647" s="16" t="s">
        <v>85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61</v>
      </c>
      <c r="C3648" s="9">
        <v>46174</v>
      </c>
      <c r="D3648">
        <v>42</v>
      </c>
      <c r="E3648" s="16" t="s">
        <v>133</v>
      </c>
      <c r="F3648" s="16" t="s">
        <v>85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61</v>
      </c>
      <c r="C3649" s="9">
        <v>46204</v>
      </c>
      <c r="D3649">
        <v>42</v>
      </c>
      <c r="E3649" s="16" t="s">
        <v>133</v>
      </c>
      <c r="F3649" s="16" t="s">
        <v>85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61</v>
      </c>
      <c r="C3650" s="9">
        <v>46235</v>
      </c>
      <c r="D3650">
        <v>42</v>
      </c>
      <c r="E3650" s="16" t="s">
        <v>133</v>
      </c>
      <c r="F3650" s="16" t="s">
        <v>85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61</v>
      </c>
      <c r="C3651" s="9">
        <v>46266</v>
      </c>
      <c r="D3651">
        <v>42</v>
      </c>
      <c r="E3651" s="16" t="s">
        <v>133</v>
      </c>
      <c r="F3651" s="16" t="s">
        <v>85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61</v>
      </c>
      <c r="C3652" s="9">
        <v>45689</v>
      </c>
      <c r="D3652">
        <v>43</v>
      </c>
      <c r="E3652" s="16" t="s">
        <v>134</v>
      </c>
      <c r="F3652" s="16" t="s">
        <v>92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61</v>
      </c>
      <c r="C3653" s="9">
        <v>45717</v>
      </c>
      <c r="D3653">
        <v>43</v>
      </c>
      <c r="E3653" s="16" t="s">
        <v>134</v>
      </c>
      <c r="F3653" s="16" t="s">
        <v>92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61</v>
      </c>
      <c r="C3654" s="9">
        <v>45748</v>
      </c>
      <c r="D3654">
        <v>43</v>
      </c>
      <c r="E3654" s="16" t="s">
        <v>134</v>
      </c>
      <c r="F3654" s="16" t="s">
        <v>92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61</v>
      </c>
      <c r="C3655" s="9">
        <v>45778</v>
      </c>
      <c r="D3655">
        <v>43</v>
      </c>
      <c r="E3655" s="16" t="s">
        <v>134</v>
      </c>
      <c r="F3655" s="16" t="s">
        <v>92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61</v>
      </c>
      <c r="C3656" s="9">
        <v>45809</v>
      </c>
      <c r="D3656">
        <v>43</v>
      </c>
      <c r="E3656" s="16" t="s">
        <v>134</v>
      </c>
      <c r="F3656" s="16" t="s">
        <v>92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61</v>
      </c>
      <c r="C3657" s="9">
        <v>45839</v>
      </c>
      <c r="D3657">
        <v>43</v>
      </c>
      <c r="E3657" s="16" t="s">
        <v>134</v>
      </c>
      <c r="F3657" s="16" t="s">
        <v>92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61</v>
      </c>
      <c r="C3658" s="9">
        <v>45870</v>
      </c>
      <c r="D3658">
        <v>43</v>
      </c>
      <c r="E3658" s="16" t="s">
        <v>134</v>
      </c>
      <c r="F3658" s="16" t="s">
        <v>92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61</v>
      </c>
      <c r="C3659" s="9">
        <v>45901</v>
      </c>
      <c r="D3659">
        <v>43</v>
      </c>
      <c r="E3659" s="16" t="s">
        <v>134</v>
      </c>
      <c r="F3659" s="16" t="s">
        <v>92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61</v>
      </c>
      <c r="C3660" s="9">
        <v>45931</v>
      </c>
      <c r="D3660">
        <v>43</v>
      </c>
      <c r="E3660" s="16" t="s">
        <v>134</v>
      </c>
      <c r="F3660" s="16" t="s">
        <v>92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61</v>
      </c>
      <c r="C3661" s="9">
        <v>45962</v>
      </c>
      <c r="D3661">
        <v>43</v>
      </c>
      <c r="E3661" s="16" t="s">
        <v>134</v>
      </c>
      <c r="F3661" s="16" t="s">
        <v>92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61</v>
      </c>
      <c r="C3662" s="9">
        <v>45992</v>
      </c>
      <c r="D3662">
        <v>43</v>
      </c>
      <c r="E3662" s="16" t="s">
        <v>134</v>
      </c>
      <c r="F3662" s="16" t="s">
        <v>92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61</v>
      </c>
      <c r="C3663" s="9">
        <v>46023</v>
      </c>
      <c r="D3663">
        <v>43</v>
      </c>
      <c r="E3663" s="16" t="s">
        <v>134</v>
      </c>
      <c r="F3663" s="16" t="s">
        <v>92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61</v>
      </c>
      <c r="C3664" s="9">
        <v>46054</v>
      </c>
      <c r="D3664">
        <v>43</v>
      </c>
      <c r="E3664" s="16" t="s">
        <v>134</v>
      </c>
      <c r="F3664" s="16" t="s">
        <v>92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61</v>
      </c>
      <c r="C3665" s="9">
        <v>46082</v>
      </c>
      <c r="D3665">
        <v>43</v>
      </c>
      <c r="E3665" s="16" t="s">
        <v>134</v>
      </c>
      <c r="F3665" s="16" t="s">
        <v>92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61</v>
      </c>
      <c r="C3666" s="9">
        <v>46113</v>
      </c>
      <c r="D3666">
        <v>43</v>
      </c>
      <c r="E3666" s="16" t="s">
        <v>134</v>
      </c>
      <c r="F3666" s="16" t="s">
        <v>92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61</v>
      </c>
      <c r="C3667" s="9">
        <v>46143</v>
      </c>
      <c r="D3667">
        <v>43</v>
      </c>
      <c r="E3667" s="16" t="s">
        <v>134</v>
      </c>
      <c r="F3667" s="16" t="s">
        <v>92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61</v>
      </c>
      <c r="C3668" s="9">
        <v>46174</v>
      </c>
      <c r="D3668">
        <v>43</v>
      </c>
      <c r="E3668" s="16" t="s">
        <v>134</v>
      </c>
      <c r="F3668" s="16" t="s">
        <v>92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61</v>
      </c>
      <c r="C3669" s="9">
        <v>46204</v>
      </c>
      <c r="D3669">
        <v>43</v>
      </c>
      <c r="E3669" s="16" t="s">
        <v>134</v>
      </c>
      <c r="F3669" s="16" t="s">
        <v>92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61</v>
      </c>
      <c r="C3670" s="9">
        <v>46235</v>
      </c>
      <c r="D3670">
        <v>43</v>
      </c>
      <c r="E3670" s="16" t="s">
        <v>134</v>
      </c>
      <c r="F3670" s="16" t="s">
        <v>92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61</v>
      </c>
      <c r="C3671" s="9">
        <v>46266</v>
      </c>
      <c r="D3671">
        <v>43</v>
      </c>
      <c r="E3671" s="16" t="s">
        <v>134</v>
      </c>
      <c r="F3671" s="16" t="s">
        <v>92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61</v>
      </c>
      <c r="C3672" s="9">
        <v>45689</v>
      </c>
      <c r="D3672">
        <v>44</v>
      </c>
      <c r="E3672" s="16" t="s">
        <v>135</v>
      </c>
      <c r="F3672" s="16" t="s">
        <v>92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61</v>
      </c>
      <c r="C3673" s="9">
        <v>45717</v>
      </c>
      <c r="D3673">
        <v>44</v>
      </c>
      <c r="E3673" s="16" t="s">
        <v>135</v>
      </c>
      <c r="F3673" s="16" t="s">
        <v>92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61</v>
      </c>
      <c r="C3674" s="9">
        <v>45748</v>
      </c>
      <c r="D3674">
        <v>44</v>
      </c>
      <c r="E3674" s="16" t="s">
        <v>135</v>
      </c>
      <c r="F3674" s="16" t="s">
        <v>92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61</v>
      </c>
      <c r="C3675" s="9">
        <v>45778</v>
      </c>
      <c r="D3675">
        <v>44</v>
      </c>
      <c r="E3675" s="16" t="s">
        <v>135</v>
      </c>
      <c r="F3675" s="16" t="s">
        <v>92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61</v>
      </c>
      <c r="C3676" s="9">
        <v>45809</v>
      </c>
      <c r="D3676">
        <v>44</v>
      </c>
      <c r="E3676" s="16" t="s">
        <v>135</v>
      </c>
      <c r="F3676" s="16" t="s">
        <v>92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61</v>
      </c>
      <c r="C3677" s="9">
        <v>45839</v>
      </c>
      <c r="D3677">
        <v>44</v>
      </c>
      <c r="E3677" s="16" t="s">
        <v>135</v>
      </c>
      <c r="F3677" s="16" t="s">
        <v>92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61</v>
      </c>
      <c r="C3678" s="9">
        <v>45870</v>
      </c>
      <c r="D3678">
        <v>44</v>
      </c>
      <c r="E3678" s="16" t="s">
        <v>135</v>
      </c>
      <c r="F3678" s="16" t="s">
        <v>92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61</v>
      </c>
      <c r="C3679" s="9">
        <v>45901</v>
      </c>
      <c r="D3679">
        <v>44</v>
      </c>
      <c r="E3679" s="16" t="s">
        <v>135</v>
      </c>
      <c r="F3679" s="16" t="s">
        <v>92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61</v>
      </c>
      <c r="C3680" s="9">
        <v>45931</v>
      </c>
      <c r="D3680">
        <v>44</v>
      </c>
      <c r="E3680" s="16" t="s">
        <v>135</v>
      </c>
      <c r="F3680" s="16" t="s">
        <v>92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61</v>
      </c>
      <c r="C3681" s="9">
        <v>45962</v>
      </c>
      <c r="D3681">
        <v>44</v>
      </c>
      <c r="E3681" s="16" t="s">
        <v>135</v>
      </c>
      <c r="F3681" s="16" t="s">
        <v>92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61</v>
      </c>
      <c r="C3682" s="9">
        <v>45992</v>
      </c>
      <c r="D3682">
        <v>44</v>
      </c>
      <c r="E3682" s="16" t="s">
        <v>135</v>
      </c>
      <c r="F3682" s="16" t="s">
        <v>92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61</v>
      </c>
      <c r="C3683" s="9">
        <v>46023</v>
      </c>
      <c r="D3683">
        <v>44</v>
      </c>
      <c r="E3683" s="16" t="s">
        <v>135</v>
      </c>
      <c r="F3683" s="16" t="s">
        <v>92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61</v>
      </c>
      <c r="C3684" s="9">
        <v>46054</v>
      </c>
      <c r="D3684">
        <v>44</v>
      </c>
      <c r="E3684" s="16" t="s">
        <v>135</v>
      </c>
      <c r="F3684" s="16" t="s">
        <v>92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61</v>
      </c>
      <c r="C3685" s="9">
        <v>46082</v>
      </c>
      <c r="D3685">
        <v>44</v>
      </c>
      <c r="E3685" s="16" t="s">
        <v>135</v>
      </c>
      <c r="F3685" s="16" t="s">
        <v>92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61</v>
      </c>
      <c r="C3686" s="9">
        <v>46113</v>
      </c>
      <c r="D3686">
        <v>44</v>
      </c>
      <c r="E3686" s="16" t="s">
        <v>135</v>
      </c>
      <c r="F3686" s="16" t="s">
        <v>92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61</v>
      </c>
      <c r="C3687" s="9">
        <v>46143</v>
      </c>
      <c r="D3687">
        <v>44</v>
      </c>
      <c r="E3687" s="16" t="s">
        <v>135</v>
      </c>
      <c r="F3687" s="16" t="s">
        <v>92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61</v>
      </c>
      <c r="C3688" s="9">
        <v>46174</v>
      </c>
      <c r="D3688">
        <v>44</v>
      </c>
      <c r="E3688" s="16" t="s">
        <v>135</v>
      </c>
      <c r="F3688" s="16" t="s">
        <v>92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61</v>
      </c>
      <c r="C3689" s="9">
        <v>46204</v>
      </c>
      <c r="D3689">
        <v>44</v>
      </c>
      <c r="E3689" s="16" t="s">
        <v>135</v>
      </c>
      <c r="F3689" s="16" t="s">
        <v>92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61</v>
      </c>
      <c r="C3690" s="9">
        <v>46235</v>
      </c>
      <c r="D3690">
        <v>44</v>
      </c>
      <c r="E3690" s="16" t="s">
        <v>135</v>
      </c>
      <c r="F3690" s="16" t="s">
        <v>92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61</v>
      </c>
      <c r="C3691" s="9">
        <v>46266</v>
      </c>
      <c r="D3691">
        <v>44</v>
      </c>
      <c r="E3691" s="16" t="s">
        <v>135</v>
      </c>
      <c r="F3691" s="16" t="s">
        <v>92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61</v>
      </c>
      <c r="C3692" s="9">
        <v>45689</v>
      </c>
      <c r="D3692">
        <v>45</v>
      </c>
      <c r="E3692" s="16" t="s">
        <v>136</v>
      </c>
      <c r="F3692" s="16" t="s">
        <v>85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61</v>
      </c>
      <c r="C3693" s="9">
        <v>45717</v>
      </c>
      <c r="D3693">
        <v>45</v>
      </c>
      <c r="E3693" s="16" t="s">
        <v>136</v>
      </c>
      <c r="F3693" s="16" t="s">
        <v>85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61</v>
      </c>
      <c r="C3694" s="9">
        <v>45748</v>
      </c>
      <c r="D3694">
        <v>45</v>
      </c>
      <c r="E3694" s="16" t="s">
        <v>136</v>
      </c>
      <c r="F3694" s="16" t="s">
        <v>85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61</v>
      </c>
      <c r="C3695" s="9">
        <v>45778</v>
      </c>
      <c r="D3695">
        <v>45</v>
      </c>
      <c r="E3695" s="16" t="s">
        <v>136</v>
      </c>
      <c r="F3695" s="16" t="s">
        <v>85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61</v>
      </c>
      <c r="C3696" s="9">
        <v>45809</v>
      </c>
      <c r="D3696">
        <v>45</v>
      </c>
      <c r="E3696" s="16" t="s">
        <v>136</v>
      </c>
      <c r="F3696" s="16" t="s">
        <v>85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61</v>
      </c>
      <c r="C3697" s="9">
        <v>45839</v>
      </c>
      <c r="D3697">
        <v>45</v>
      </c>
      <c r="E3697" s="16" t="s">
        <v>136</v>
      </c>
      <c r="F3697" s="16" t="s">
        <v>85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61</v>
      </c>
      <c r="C3698" s="9">
        <v>45870</v>
      </c>
      <c r="D3698">
        <v>45</v>
      </c>
      <c r="E3698" s="16" t="s">
        <v>136</v>
      </c>
      <c r="F3698" s="16" t="s">
        <v>85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61</v>
      </c>
      <c r="C3699" s="9">
        <v>45901</v>
      </c>
      <c r="D3699">
        <v>45</v>
      </c>
      <c r="E3699" s="16" t="s">
        <v>136</v>
      </c>
      <c r="F3699" s="16" t="s">
        <v>85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61</v>
      </c>
      <c r="C3700" s="9">
        <v>45931</v>
      </c>
      <c r="D3700">
        <v>45</v>
      </c>
      <c r="E3700" s="16" t="s">
        <v>136</v>
      </c>
      <c r="F3700" s="16" t="s">
        <v>85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61</v>
      </c>
      <c r="C3701" s="9">
        <v>45962</v>
      </c>
      <c r="D3701">
        <v>45</v>
      </c>
      <c r="E3701" s="16" t="s">
        <v>136</v>
      </c>
      <c r="F3701" s="16" t="s">
        <v>85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61</v>
      </c>
      <c r="C3702" s="9">
        <v>45992</v>
      </c>
      <c r="D3702">
        <v>45</v>
      </c>
      <c r="E3702" s="16" t="s">
        <v>136</v>
      </c>
      <c r="F3702" s="16" t="s">
        <v>85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61</v>
      </c>
      <c r="C3703" s="9">
        <v>46023</v>
      </c>
      <c r="D3703">
        <v>45</v>
      </c>
      <c r="E3703" s="16" t="s">
        <v>136</v>
      </c>
      <c r="F3703" s="16" t="s">
        <v>85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61</v>
      </c>
      <c r="C3704" s="9">
        <v>46054</v>
      </c>
      <c r="D3704">
        <v>45</v>
      </c>
      <c r="E3704" s="16" t="s">
        <v>136</v>
      </c>
      <c r="F3704" s="16" t="s">
        <v>85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61</v>
      </c>
      <c r="C3705" s="9">
        <v>46082</v>
      </c>
      <c r="D3705">
        <v>45</v>
      </c>
      <c r="E3705" s="16" t="s">
        <v>136</v>
      </c>
      <c r="F3705" s="16" t="s">
        <v>85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61</v>
      </c>
      <c r="C3706" s="9">
        <v>46113</v>
      </c>
      <c r="D3706">
        <v>45</v>
      </c>
      <c r="E3706" s="16" t="s">
        <v>136</v>
      </c>
      <c r="F3706" s="16" t="s">
        <v>85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61</v>
      </c>
      <c r="C3707" s="9">
        <v>46143</v>
      </c>
      <c r="D3707">
        <v>45</v>
      </c>
      <c r="E3707" s="16" t="s">
        <v>136</v>
      </c>
      <c r="F3707" s="16" t="s">
        <v>85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61</v>
      </c>
      <c r="C3708" s="9">
        <v>46174</v>
      </c>
      <c r="D3708">
        <v>45</v>
      </c>
      <c r="E3708" s="16" t="s">
        <v>136</v>
      </c>
      <c r="F3708" s="16" t="s">
        <v>85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61</v>
      </c>
      <c r="C3709" s="9">
        <v>46204</v>
      </c>
      <c r="D3709">
        <v>45</v>
      </c>
      <c r="E3709" s="16" t="s">
        <v>136</v>
      </c>
      <c r="F3709" s="16" t="s">
        <v>85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61</v>
      </c>
      <c r="C3710" s="9">
        <v>46235</v>
      </c>
      <c r="D3710">
        <v>45</v>
      </c>
      <c r="E3710" s="16" t="s">
        <v>136</v>
      </c>
      <c r="F3710" s="16" t="s">
        <v>85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61</v>
      </c>
      <c r="C3711" s="9">
        <v>46266</v>
      </c>
      <c r="D3711">
        <v>45</v>
      </c>
      <c r="E3711" s="16" t="s">
        <v>136</v>
      </c>
      <c r="F3711" s="16" t="s">
        <v>85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61</v>
      </c>
      <c r="C3712" s="9">
        <v>45689</v>
      </c>
      <c r="D3712">
        <v>46</v>
      </c>
      <c r="E3712" s="16" t="s">
        <v>137</v>
      </c>
      <c r="F3712" s="16" t="s">
        <v>110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61</v>
      </c>
      <c r="C3713" s="9">
        <v>45717</v>
      </c>
      <c r="D3713">
        <v>46</v>
      </c>
      <c r="E3713" s="16" t="s">
        <v>137</v>
      </c>
      <c r="F3713" s="16" t="s">
        <v>110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61</v>
      </c>
      <c r="C3714" s="9">
        <v>45748</v>
      </c>
      <c r="D3714">
        <v>46</v>
      </c>
      <c r="E3714" s="16" t="s">
        <v>137</v>
      </c>
      <c r="F3714" s="16" t="s">
        <v>110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61</v>
      </c>
      <c r="C3715" s="9">
        <v>45778</v>
      </c>
      <c r="D3715">
        <v>46</v>
      </c>
      <c r="E3715" s="16" t="s">
        <v>137</v>
      </c>
      <c r="F3715" s="16" t="s">
        <v>110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61</v>
      </c>
      <c r="C3716" s="9">
        <v>45809</v>
      </c>
      <c r="D3716">
        <v>46</v>
      </c>
      <c r="E3716" s="16" t="s">
        <v>137</v>
      </c>
      <c r="F3716" s="16" t="s">
        <v>110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61</v>
      </c>
      <c r="C3717" s="9">
        <v>45839</v>
      </c>
      <c r="D3717">
        <v>46</v>
      </c>
      <c r="E3717" s="16" t="s">
        <v>137</v>
      </c>
      <c r="F3717" s="16" t="s">
        <v>110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61</v>
      </c>
      <c r="C3718" s="9">
        <v>45870</v>
      </c>
      <c r="D3718">
        <v>46</v>
      </c>
      <c r="E3718" s="16" t="s">
        <v>137</v>
      </c>
      <c r="F3718" s="16" t="s">
        <v>110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61</v>
      </c>
      <c r="C3719" s="9">
        <v>45901</v>
      </c>
      <c r="D3719">
        <v>46</v>
      </c>
      <c r="E3719" s="16" t="s">
        <v>137</v>
      </c>
      <c r="F3719" s="16" t="s">
        <v>110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61</v>
      </c>
      <c r="C3720" s="9">
        <v>45931</v>
      </c>
      <c r="D3720">
        <v>46</v>
      </c>
      <c r="E3720" s="16" t="s">
        <v>137</v>
      </c>
      <c r="F3720" s="16" t="s">
        <v>110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61</v>
      </c>
      <c r="C3721" s="9">
        <v>45962</v>
      </c>
      <c r="D3721">
        <v>46</v>
      </c>
      <c r="E3721" s="16" t="s">
        <v>137</v>
      </c>
      <c r="F3721" s="16" t="s">
        <v>110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61</v>
      </c>
      <c r="C3722" s="9">
        <v>45992</v>
      </c>
      <c r="D3722">
        <v>46</v>
      </c>
      <c r="E3722" s="16" t="s">
        <v>137</v>
      </c>
      <c r="F3722" s="16" t="s">
        <v>110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61</v>
      </c>
      <c r="C3723" s="9">
        <v>46023</v>
      </c>
      <c r="D3723">
        <v>46</v>
      </c>
      <c r="E3723" s="16" t="s">
        <v>137</v>
      </c>
      <c r="F3723" s="16" t="s">
        <v>110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61</v>
      </c>
      <c r="C3724" s="9">
        <v>46054</v>
      </c>
      <c r="D3724">
        <v>46</v>
      </c>
      <c r="E3724" s="16" t="s">
        <v>137</v>
      </c>
      <c r="F3724" s="16" t="s">
        <v>110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61</v>
      </c>
      <c r="C3725" s="9">
        <v>46082</v>
      </c>
      <c r="D3725">
        <v>46</v>
      </c>
      <c r="E3725" s="16" t="s">
        <v>137</v>
      </c>
      <c r="F3725" s="16" t="s">
        <v>110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61</v>
      </c>
      <c r="C3726" s="9">
        <v>46113</v>
      </c>
      <c r="D3726">
        <v>46</v>
      </c>
      <c r="E3726" s="16" t="s">
        <v>137</v>
      </c>
      <c r="F3726" s="16" t="s">
        <v>110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61</v>
      </c>
      <c r="C3727" s="9">
        <v>46143</v>
      </c>
      <c r="D3727">
        <v>46</v>
      </c>
      <c r="E3727" s="16" t="s">
        <v>137</v>
      </c>
      <c r="F3727" s="16" t="s">
        <v>110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61</v>
      </c>
      <c r="C3728" s="9">
        <v>46174</v>
      </c>
      <c r="D3728">
        <v>46</v>
      </c>
      <c r="E3728" s="16" t="s">
        <v>137</v>
      </c>
      <c r="F3728" s="16" t="s">
        <v>110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61</v>
      </c>
      <c r="C3729" s="9">
        <v>46204</v>
      </c>
      <c r="D3729">
        <v>46</v>
      </c>
      <c r="E3729" s="16" t="s">
        <v>137</v>
      </c>
      <c r="F3729" s="16" t="s">
        <v>110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61</v>
      </c>
      <c r="C3730" s="9">
        <v>46235</v>
      </c>
      <c r="D3730">
        <v>46</v>
      </c>
      <c r="E3730" s="16" t="s">
        <v>137</v>
      </c>
      <c r="F3730" s="16" t="s">
        <v>110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61</v>
      </c>
      <c r="C3731" s="9">
        <v>46266</v>
      </c>
      <c r="D3731">
        <v>46</v>
      </c>
      <c r="E3731" s="16" t="s">
        <v>137</v>
      </c>
      <c r="F3731" s="16" t="s">
        <v>110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61</v>
      </c>
      <c r="C3732" s="9">
        <v>45689</v>
      </c>
      <c r="D3732">
        <v>47</v>
      </c>
      <c r="E3732" s="16" t="s">
        <v>138</v>
      </c>
      <c r="F3732" s="16" t="s">
        <v>94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61</v>
      </c>
      <c r="C3733" s="9">
        <v>45717</v>
      </c>
      <c r="D3733">
        <v>47</v>
      </c>
      <c r="E3733" s="16" t="s">
        <v>138</v>
      </c>
      <c r="F3733" s="16" t="s">
        <v>94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61</v>
      </c>
      <c r="C3734" s="9">
        <v>45748</v>
      </c>
      <c r="D3734">
        <v>47</v>
      </c>
      <c r="E3734" s="16" t="s">
        <v>138</v>
      </c>
      <c r="F3734" s="16" t="s">
        <v>94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61</v>
      </c>
      <c r="C3735" s="9">
        <v>45778</v>
      </c>
      <c r="D3735">
        <v>47</v>
      </c>
      <c r="E3735" s="16" t="s">
        <v>138</v>
      </c>
      <c r="F3735" s="16" t="s">
        <v>94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61</v>
      </c>
      <c r="C3736" s="9">
        <v>45809</v>
      </c>
      <c r="D3736">
        <v>47</v>
      </c>
      <c r="E3736" s="16" t="s">
        <v>138</v>
      </c>
      <c r="F3736" s="16" t="s">
        <v>94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61</v>
      </c>
      <c r="C3737" s="9">
        <v>45839</v>
      </c>
      <c r="D3737">
        <v>47</v>
      </c>
      <c r="E3737" s="16" t="s">
        <v>138</v>
      </c>
      <c r="F3737" s="16" t="s">
        <v>94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61</v>
      </c>
      <c r="C3738" s="9">
        <v>45870</v>
      </c>
      <c r="D3738">
        <v>47</v>
      </c>
      <c r="E3738" s="16" t="s">
        <v>138</v>
      </c>
      <c r="F3738" s="16" t="s">
        <v>94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61</v>
      </c>
      <c r="C3739" s="9">
        <v>45901</v>
      </c>
      <c r="D3739">
        <v>47</v>
      </c>
      <c r="E3739" s="16" t="s">
        <v>138</v>
      </c>
      <c r="F3739" s="16" t="s">
        <v>94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61</v>
      </c>
      <c r="C3740" s="9">
        <v>45931</v>
      </c>
      <c r="D3740">
        <v>47</v>
      </c>
      <c r="E3740" s="16" t="s">
        <v>138</v>
      </c>
      <c r="F3740" s="16" t="s">
        <v>94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61</v>
      </c>
      <c r="C3741" s="9">
        <v>45962</v>
      </c>
      <c r="D3741">
        <v>47</v>
      </c>
      <c r="E3741" s="16" t="s">
        <v>138</v>
      </c>
      <c r="F3741" s="16" t="s">
        <v>94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61</v>
      </c>
      <c r="C3742" s="9">
        <v>45992</v>
      </c>
      <c r="D3742">
        <v>47</v>
      </c>
      <c r="E3742" s="16" t="s">
        <v>138</v>
      </c>
      <c r="F3742" s="16" t="s">
        <v>94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61</v>
      </c>
      <c r="C3743" s="9">
        <v>46023</v>
      </c>
      <c r="D3743">
        <v>47</v>
      </c>
      <c r="E3743" s="16" t="s">
        <v>138</v>
      </c>
      <c r="F3743" s="16" t="s">
        <v>94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61</v>
      </c>
      <c r="C3744" s="9">
        <v>46054</v>
      </c>
      <c r="D3744">
        <v>47</v>
      </c>
      <c r="E3744" s="16" t="s">
        <v>138</v>
      </c>
      <c r="F3744" s="16" t="s">
        <v>94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61</v>
      </c>
      <c r="C3745" s="9">
        <v>46082</v>
      </c>
      <c r="D3745">
        <v>47</v>
      </c>
      <c r="E3745" s="16" t="s">
        <v>138</v>
      </c>
      <c r="F3745" s="16" t="s">
        <v>94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61</v>
      </c>
      <c r="C3746" s="9">
        <v>46113</v>
      </c>
      <c r="D3746">
        <v>47</v>
      </c>
      <c r="E3746" s="16" t="s">
        <v>138</v>
      </c>
      <c r="F3746" s="16" t="s">
        <v>94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61</v>
      </c>
      <c r="C3747" s="9">
        <v>46143</v>
      </c>
      <c r="D3747">
        <v>47</v>
      </c>
      <c r="E3747" s="16" t="s">
        <v>138</v>
      </c>
      <c r="F3747" s="16" t="s">
        <v>94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61</v>
      </c>
      <c r="C3748" s="9">
        <v>46174</v>
      </c>
      <c r="D3748">
        <v>47</v>
      </c>
      <c r="E3748" s="16" t="s">
        <v>138</v>
      </c>
      <c r="F3748" s="16" t="s">
        <v>94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61</v>
      </c>
      <c r="C3749" s="9">
        <v>46204</v>
      </c>
      <c r="D3749">
        <v>47</v>
      </c>
      <c r="E3749" s="16" t="s">
        <v>138</v>
      </c>
      <c r="F3749" s="16" t="s">
        <v>94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61</v>
      </c>
      <c r="C3750" s="9">
        <v>46235</v>
      </c>
      <c r="D3750">
        <v>47</v>
      </c>
      <c r="E3750" s="16" t="s">
        <v>138</v>
      </c>
      <c r="F3750" s="16" t="s">
        <v>94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61</v>
      </c>
      <c r="C3751" s="9">
        <v>46266</v>
      </c>
      <c r="D3751">
        <v>47</v>
      </c>
      <c r="E3751" s="16" t="s">
        <v>138</v>
      </c>
      <c r="F3751" s="16" t="s">
        <v>94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61</v>
      </c>
      <c r="C3752" s="9">
        <v>45689</v>
      </c>
      <c r="D3752">
        <v>48</v>
      </c>
      <c r="E3752" s="16" t="s">
        <v>139</v>
      </c>
      <c r="F3752" s="16" t="s">
        <v>140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61</v>
      </c>
      <c r="C3753" s="9">
        <v>45717</v>
      </c>
      <c r="D3753">
        <v>48</v>
      </c>
      <c r="E3753" s="16" t="s">
        <v>139</v>
      </c>
      <c r="F3753" s="16" t="s">
        <v>140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61</v>
      </c>
      <c r="C3754" s="9">
        <v>45748</v>
      </c>
      <c r="D3754">
        <v>48</v>
      </c>
      <c r="E3754" s="16" t="s">
        <v>139</v>
      </c>
      <c r="F3754" s="16" t="s">
        <v>140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61</v>
      </c>
      <c r="C3755" s="9">
        <v>45778</v>
      </c>
      <c r="D3755">
        <v>48</v>
      </c>
      <c r="E3755" s="16" t="s">
        <v>139</v>
      </c>
      <c r="F3755" s="16" t="s">
        <v>140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61</v>
      </c>
      <c r="C3756" s="9">
        <v>45809</v>
      </c>
      <c r="D3756">
        <v>48</v>
      </c>
      <c r="E3756" s="16" t="s">
        <v>139</v>
      </c>
      <c r="F3756" s="16" t="s">
        <v>140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61</v>
      </c>
      <c r="C3757" s="9">
        <v>45839</v>
      </c>
      <c r="D3757">
        <v>48</v>
      </c>
      <c r="E3757" s="16" t="s">
        <v>139</v>
      </c>
      <c r="F3757" s="16" t="s">
        <v>140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61</v>
      </c>
      <c r="C3758" s="9">
        <v>45870</v>
      </c>
      <c r="D3758">
        <v>48</v>
      </c>
      <c r="E3758" s="16" t="s">
        <v>139</v>
      </c>
      <c r="F3758" s="16" t="s">
        <v>140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61</v>
      </c>
      <c r="C3759" s="9">
        <v>45901</v>
      </c>
      <c r="D3759">
        <v>48</v>
      </c>
      <c r="E3759" s="16" t="s">
        <v>139</v>
      </c>
      <c r="F3759" s="16" t="s">
        <v>140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61</v>
      </c>
      <c r="C3760" s="9">
        <v>45931</v>
      </c>
      <c r="D3760">
        <v>48</v>
      </c>
      <c r="E3760" s="16" t="s">
        <v>139</v>
      </c>
      <c r="F3760" s="16" t="s">
        <v>140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61</v>
      </c>
      <c r="C3761" s="9">
        <v>45962</v>
      </c>
      <c r="D3761">
        <v>48</v>
      </c>
      <c r="E3761" s="16" t="s">
        <v>139</v>
      </c>
      <c r="F3761" s="16" t="s">
        <v>140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61</v>
      </c>
      <c r="C3762" s="9">
        <v>45992</v>
      </c>
      <c r="D3762">
        <v>48</v>
      </c>
      <c r="E3762" s="16" t="s">
        <v>139</v>
      </c>
      <c r="F3762" s="16" t="s">
        <v>140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61</v>
      </c>
      <c r="C3763" s="9">
        <v>46023</v>
      </c>
      <c r="D3763">
        <v>48</v>
      </c>
      <c r="E3763" s="16" t="s">
        <v>139</v>
      </c>
      <c r="F3763" s="16" t="s">
        <v>140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61</v>
      </c>
      <c r="C3764" s="9">
        <v>46054</v>
      </c>
      <c r="D3764">
        <v>48</v>
      </c>
      <c r="E3764" s="16" t="s">
        <v>139</v>
      </c>
      <c r="F3764" s="16" t="s">
        <v>140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61</v>
      </c>
      <c r="C3765" s="9">
        <v>46082</v>
      </c>
      <c r="D3765">
        <v>48</v>
      </c>
      <c r="E3765" s="16" t="s">
        <v>139</v>
      </c>
      <c r="F3765" s="16" t="s">
        <v>140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61</v>
      </c>
      <c r="C3766" s="9">
        <v>46113</v>
      </c>
      <c r="D3766">
        <v>48</v>
      </c>
      <c r="E3766" s="16" t="s">
        <v>139</v>
      </c>
      <c r="F3766" s="16" t="s">
        <v>140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61</v>
      </c>
      <c r="C3767" s="9">
        <v>46143</v>
      </c>
      <c r="D3767">
        <v>48</v>
      </c>
      <c r="E3767" s="16" t="s">
        <v>139</v>
      </c>
      <c r="F3767" s="16" t="s">
        <v>140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61</v>
      </c>
      <c r="C3768" s="9">
        <v>46174</v>
      </c>
      <c r="D3768">
        <v>48</v>
      </c>
      <c r="E3768" s="16" t="s">
        <v>139</v>
      </c>
      <c r="F3768" s="16" t="s">
        <v>140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61</v>
      </c>
      <c r="C3769" s="9">
        <v>46204</v>
      </c>
      <c r="D3769">
        <v>48</v>
      </c>
      <c r="E3769" s="16" t="s">
        <v>139</v>
      </c>
      <c r="F3769" s="16" t="s">
        <v>140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61</v>
      </c>
      <c r="C3770" s="9">
        <v>46235</v>
      </c>
      <c r="D3770">
        <v>48</v>
      </c>
      <c r="E3770" s="16" t="s">
        <v>139</v>
      </c>
      <c r="F3770" s="16" t="s">
        <v>140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61</v>
      </c>
      <c r="C3771" s="9">
        <v>46266</v>
      </c>
      <c r="D3771">
        <v>48</v>
      </c>
      <c r="E3771" s="16" t="s">
        <v>139</v>
      </c>
      <c r="F3771" s="16" t="s">
        <v>140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61</v>
      </c>
      <c r="C3772" s="9">
        <v>45689</v>
      </c>
      <c r="D3772">
        <v>49</v>
      </c>
      <c r="E3772" s="16" t="s">
        <v>141</v>
      </c>
      <c r="F3772" s="16" t="s">
        <v>140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61</v>
      </c>
      <c r="C3773" s="9">
        <v>45717</v>
      </c>
      <c r="D3773">
        <v>49</v>
      </c>
      <c r="E3773" s="16" t="s">
        <v>141</v>
      </c>
      <c r="F3773" s="16" t="s">
        <v>140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61</v>
      </c>
      <c r="C3774" s="9">
        <v>45748</v>
      </c>
      <c r="D3774">
        <v>49</v>
      </c>
      <c r="E3774" s="16" t="s">
        <v>141</v>
      </c>
      <c r="F3774" s="16" t="s">
        <v>140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61</v>
      </c>
      <c r="C3775" s="9">
        <v>45778</v>
      </c>
      <c r="D3775">
        <v>49</v>
      </c>
      <c r="E3775" s="16" t="s">
        <v>141</v>
      </c>
      <c r="F3775" s="16" t="s">
        <v>140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61</v>
      </c>
      <c r="C3776" s="9">
        <v>45809</v>
      </c>
      <c r="D3776">
        <v>49</v>
      </c>
      <c r="E3776" s="16" t="s">
        <v>141</v>
      </c>
      <c r="F3776" s="16" t="s">
        <v>140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61</v>
      </c>
      <c r="C3777" s="9">
        <v>45839</v>
      </c>
      <c r="D3777">
        <v>49</v>
      </c>
      <c r="E3777" s="16" t="s">
        <v>141</v>
      </c>
      <c r="F3777" s="16" t="s">
        <v>140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61</v>
      </c>
      <c r="C3778" s="9">
        <v>45870</v>
      </c>
      <c r="D3778">
        <v>49</v>
      </c>
      <c r="E3778" s="16" t="s">
        <v>141</v>
      </c>
      <c r="F3778" s="16" t="s">
        <v>140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61</v>
      </c>
      <c r="C3779" s="9">
        <v>45901</v>
      </c>
      <c r="D3779">
        <v>49</v>
      </c>
      <c r="E3779" s="16" t="s">
        <v>141</v>
      </c>
      <c r="F3779" s="16" t="s">
        <v>140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61</v>
      </c>
      <c r="C3780" s="9">
        <v>45931</v>
      </c>
      <c r="D3780">
        <v>49</v>
      </c>
      <c r="E3780" s="16" t="s">
        <v>141</v>
      </c>
      <c r="F3780" s="16" t="s">
        <v>140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61</v>
      </c>
      <c r="C3781" s="9">
        <v>45962</v>
      </c>
      <c r="D3781">
        <v>49</v>
      </c>
      <c r="E3781" s="16" t="s">
        <v>141</v>
      </c>
      <c r="F3781" s="16" t="s">
        <v>140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61</v>
      </c>
      <c r="C3782" s="9">
        <v>45992</v>
      </c>
      <c r="D3782">
        <v>49</v>
      </c>
      <c r="E3782" s="16" t="s">
        <v>141</v>
      </c>
      <c r="F3782" s="16" t="s">
        <v>140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61</v>
      </c>
      <c r="C3783" s="9">
        <v>46023</v>
      </c>
      <c r="D3783">
        <v>49</v>
      </c>
      <c r="E3783" s="16" t="s">
        <v>141</v>
      </c>
      <c r="F3783" s="16" t="s">
        <v>140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61</v>
      </c>
      <c r="C3784" s="9">
        <v>46054</v>
      </c>
      <c r="D3784">
        <v>49</v>
      </c>
      <c r="E3784" s="16" t="s">
        <v>141</v>
      </c>
      <c r="F3784" s="16" t="s">
        <v>140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61</v>
      </c>
      <c r="C3785" s="9">
        <v>46082</v>
      </c>
      <c r="D3785">
        <v>49</v>
      </c>
      <c r="E3785" s="16" t="s">
        <v>141</v>
      </c>
      <c r="F3785" s="16" t="s">
        <v>140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61</v>
      </c>
      <c r="C3786" s="9">
        <v>46113</v>
      </c>
      <c r="D3786">
        <v>49</v>
      </c>
      <c r="E3786" s="16" t="s">
        <v>141</v>
      </c>
      <c r="F3786" s="16" t="s">
        <v>140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61</v>
      </c>
      <c r="C3787" s="9">
        <v>46143</v>
      </c>
      <c r="D3787">
        <v>49</v>
      </c>
      <c r="E3787" s="16" t="s">
        <v>141</v>
      </c>
      <c r="F3787" s="16" t="s">
        <v>140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61</v>
      </c>
      <c r="C3788" s="9">
        <v>46174</v>
      </c>
      <c r="D3788">
        <v>49</v>
      </c>
      <c r="E3788" s="16" t="s">
        <v>141</v>
      </c>
      <c r="F3788" s="16" t="s">
        <v>140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61</v>
      </c>
      <c r="C3789" s="9">
        <v>46204</v>
      </c>
      <c r="D3789">
        <v>49</v>
      </c>
      <c r="E3789" s="16" t="s">
        <v>141</v>
      </c>
      <c r="F3789" s="16" t="s">
        <v>140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61</v>
      </c>
      <c r="C3790" s="9">
        <v>46235</v>
      </c>
      <c r="D3790">
        <v>49</v>
      </c>
      <c r="E3790" s="16" t="s">
        <v>141</v>
      </c>
      <c r="F3790" s="16" t="s">
        <v>140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61</v>
      </c>
      <c r="C3791" s="9">
        <v>46266</v>
      </c>
      <c r="D3791">
        <v>49</v>
      </c>
      <c r="E3791" s="16" t="s">
        <v>141</v>
      </c>
      <c r="F3791" s="16" t="s">
        <v>140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61</v>
      </c>
      <c r="C3792" s="9">
        <v>45689</v>
      </c>
      <c r="D3792">
        <v>50</v>
      </c>
      <c r="E3792" s="16" t="s">
        <v>142</v>
      </c>
      <c r="F3792" s="16" t="s">
        <v>140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61</v>
      </c>
      <c r="C3793" s="9">
        <v>45717</v>
      </c>
      <c r="D3793">
        <v>50</v>
      </c>
      <c r="E3793" s="16" t="s">
        <v>142</v>
      </c>
      <c r="F3793" s="16" t="s">
        <v>140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61</v>
      </c>
      <c r="C3794" s="9">
        <v>45748</v>
      </c>
      <c r="D3794">
        <v>50</v>
      </c>
      <c r="E3794" s="16" t="s">
        <v>142</v>
      </c>
      <c r="F3794" s="16" t="s">
        <v>140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61</v>
      </c>
      <c r="C3795" s="9">
        <v>45778</v>
      </c>
      <c r="D3795">
        <v>50</v>
      </c>
      <c r="E3795" s="16" t="s">
        <v>142</v>
      </c>
      <c r="F3795" s="16" t="s">
        <v>140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61</v>
      </c>
      <c r="C3796" s="9">
        <v>45809</v>
      </c>
      <c r="D3796">
        <v>50</v>
      </c>
      <c r="E3796" s="16" t="s">
        <v>142</v>
      </c>
      <c r="F3796" s="16" t="s">
        <v>140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61</v>
      </c>
      <c r="C3797" s="9">
        <v>45839</v>
      </c>
      <c r="D3797">
        <v>50</v>
      </c>
      <c r="E3797" s="16" t="s">
        <v>142</v>
      </c>
      <c r="F3797" s="16" t="s">
        <v>140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61</v>
      </c>
      <c r="C3798" s="9">
        <v>45870</v>
      </c>
      <c r="D3798">
        <v>50</v>
      </c>
      <c r="E3798" s="16" t="s">
        <v>142</v>
      </c>
      <c r="F3798" s="16" t="s">
        <v>140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61</v>
      </c>
      <c r="C3799" s="9">
        <v>45901</v>
      </c>
      <c r="D3799">
        <v>50</v>
      </c>
      <c r="E3799" s="16" t="s">
        <v>142</v>
      </c>
      <c r="F3799" s="16" t="s">
        <v>140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61</v>
      </c>
      <c r="C3800" s="9">
        <v>45931</v>
      </c>
      <c r="D3800">
        <v>50</v>
      </c>
      <c r="E3800" s="16" t="s">
        <v>142</v>
      </c>
      <c r="F3800" s="16" t="s">
        <v>140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61</v>
      </c>
      <c r="C3801" s="9">
        <v>45962</v>
      </c>
      <c r="D3801">
        <v>50</v>
      </c>
      <c r="E3801" s="16" t="s">
        <v>142</v>
      </c>
      <c r="F3801" s="16" t="s">
        <v>140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61</v>
      </c>
      <c r="C3802" s="9">
        <v>45992</v>
      </c>
      <c r="D3802">
        <v>50</v>
      </c>
      <c r="E3802" s="16" t="s">
        <v>142</v>
      </c>
      <c r="F3802" s="16" t="s">
        <v>140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61</v>
      </c>
      <c r="C3803" s="9">
        <v>46023</v>
      </c>
      <c r="D3803">
        <v>50</v>
      </c>
      <c r="E3803" s="16" t="s">
        <v>142</v>
      </c>
      <c r="F3803" s="16" t="s">
        <v>140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61</v>
      </c>
      <c r="C3804" s="9">
        <v>46054</v>
      </c>
      <c r="D3804">
        <v>50</v>
      </c>
      <c r="E3804" s="16" t="s">
        <v>142</v>
      </c>
      <c r="F3804" s="16" t="s">
        <v>140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61</v>
      </c>
      <c r="C3805" s="9">
        <v>46082</v>
      </c>
      <c r="D3805">
        <v>50</v>
      </c>
      <c r="E3805" s="16" t="s">
        <v>142</v>
      </c>
      <c r="F3805" s="16" t="s">
        <v>140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61</v>
      </c>
      <c r="C3806" s="9">
        <v>46113</v>
      </c>
      <c r="D3806">
        <v>50</v>
      </c>
      <c r="E3806" s="16" t="s">
        <v>142</v>
      </c>
      <c r="F3806" s="16" t="s">
        <v>140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61</v>
      </c>
      <c r="C3807" s="9">
        <v>46143</v>
      </c>
      <c r="D3807">
        <v>50</v>
      </c>
      <c r="E3807" s="16" t="s">
        <v>142</v>
      </c>
      <c r="F3807" s="16" t="s">
        <v>140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61</v>
      </c>
      <c r="C3808" s="9">
        <v>46174</v>
      </c>
      <c r="D3808">
        <v>50</v>
      </c>
      <c r="E3808" s="16" t="s">
        <v>142</v>
      </c>
      <c r="F3808" s="16" t="s">
        <v>140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61</v>
      </c>
      <c r="C3809" s="9">
        <v>46204</v>
      </c>
      <c r="D3809">
        <v>50</v>
      </c>
      <c r="E3809" s="16" t="s">
        <v>142</v>
      </c>
      <c r="F3809" s="16" t="s">
        <v>140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61</v>
      </c>
      <c r="C3810" s="9">
        <v>46235</v>
      </c>
      <c r="D3810">
        <v>50</v>
      </c>
      <c r="E3810" s="16" t="s">
        <v>142</v>
      </c>
      <c r="F3810" s="16" t="s">
        <v>140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61</v>
      </c>
      <c r="C3811" s="9">
        <v>46266</v>
      </c>
      <c r="D3811">
        <v>50</v>
      </c>
      <c r="E3811" s="16" t="s">
        <v>142</v>
      </c>
      <c r="F3811" s="16" t="s">
        <v>140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61</v>
      </c>
      <c r="C3812" s="9">
        <v>45689</v>
      </c>
      <c r="D3812">
        <v>51</v>
      </c>
      <c r="E3812" s="16" t="s">
        <v>143</v>
      </c>
      <c r="F3812" s="16" t="s">
        <v>83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61</v>
      </c>
      <c r="C3813" s="9">
        <v>45717</v>
      </c>
      <c r="D3813">
        <v>51</v>
      </c>
      <c r="E3813" s="16" t="s">
        <v>143</v>
      </c>
      <c r="F3813" s="16" t="s">
        <v>83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61</v>
      </c>
      <c r="C3814" s="9">
        <v>45748</v>
      </c>
      <c r="D3814">
        <v>51</v>
      </c>
      <c r="E3814" s="16" t="s">
        <v>143</v>
      </c>
      <c r="F3814" s="16" t="s">
        <v>83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61</v>
      </c>
      <c r="C3815" s="9">
        <v>45778</v>
      </c>
      <c r="D3815">
        <v>51</v>
      </c>
      <c r="E3815" s="16" t="s">
        <v>143</v>
      </c>
      <c r="F3815" s="16" t="s">
        <v>83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61</v>
      </c>
      <c r="C3816" s="9">
        <v>45809</v>
      </c>
      <c r="D3816">
        <v>51</v>
      </c>
      <c r="E3816" s="16" t="s">
        <v>143</v>
      </c>
      <c r="F3816" s="16" t="s">
        <v>83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61</v>
      </c>
      <c r="C3817" s="9">
        <v>45839</v>
      </c>
      <c r="D3817">
        <v>51</v>
      </c>
      <c r="E3817" s="16" t="s">
        <v>143</v>
      </c>
      <c r="F3817" s="16" t="s">
        <v>83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61</v>
      </c>
      <c r="C3818" s="9">
        <v>45870</v>
      </c>
      <c r="D3818">
        <v>51</v>
      </c>
      <c r="E3818" s="16" t="s">
        <v>143</v>
      </c>
      <c r="F3818" s="16" t="s">
        <v>83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61</v>
      </c>
      <c r="C3819" s="9">
        <v>45901</v>
      </c>
      <c r="D3819">
        <v>51</v>
      </c>
      <c r="E3819" s="16" t="s">
        <v>143</v>
      </c>
      <c r="F3819" s="16" t="s">
        <v>83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61</v>
      </c>
      <c r="C3820" s="9">
        <v>45931</v>
      </c>
      <c r="D3820">
        <v>51</v>
      </c>
      <c r="E3820" s="16" t="s">
        <v>143</v>
      </c>
      <c r="F3820" s="16" t="s">
        <v>83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61</v>
      </c>
      <c r="C3821" s="9">
        <v>45962</v>
      </c>
      <c r="D3821">
        <v>51</v>
      </c>
      <c r="E3821" s="16" t="s">
        <v>143</v>
      </c>
      <c r="F3821" s="16" t="s">
        <v>83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61</v>
      </c>
      <c r="C3822" s="9">
        <v>45992</v>
      </c>
      <c r="D3822">
        <v>51</v>
      </c>
      <c r="E3822" s="16" t="s">
        <v>143</v>
      </c>
      <c r="F3822" s="16" t="s">
        <v>83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61</v>
      </c>
      <c r="C3823" s="9">
        <v>46023</v>
      </c>
      <c r="D3823">
        <v>51</v>
      </c>
      <c r="E3823" s="16" t="s">
        <v>143</v>
      </c>
      <c r="F3823" s="16" t="s">
        <v>83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61</v>
      </c>
      <c r="C3824" s="9">
        <v>46054</v>
      </c>
      <c r="D3824">
        <v>51</v>
      </c>
      <c r="E3824" s="16" t="s">
        <v>143</v>
      </c>
      <c r="F3824" s="16" t="s">
        <v>83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61</v>
      </c>
      <c r="C3825" s="9">
        <v>46082</v>
      </c>
      <c r="D3825">
        <v>51</v>
      </c>
      <c r="E3825" s="16" t="s">
        <v>143</v>
      </c>
      <c r="F3825" s="16" t="s">
        <v>83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61</v>
      </c>
      <c r="C3826" s="9">
        <v>46113</v>
      </c>
      <c r="D3826">
        <v>51</v>
      </c>
      <c r="E3826" s="16" t="s">
        <v>143</v>
      </c>
      <c r="F3826" s="16" t="s">
        <v>83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61</v>
      </c>
      <c r="C3827" s="9">
        <v>46143</v>
      </c>
      <c r="D3827">
        <v>51</v>
      </c>
      <c r="E3827" s="16" t="s">
        <v>143</v>
      </c>
      <c r="F3827" s="16" t="s">
        <v>83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61</v>
      </c>
      <c r="C3828" s="9">
        <v>46174</v>
      </c>
      <c r="D3828">
        <v>51</v>
      </c>
      <c r="E3828" s="16" t="s">
        <v>143</v>
      </c>
      <c r="F3828" s="16" t="s">
        <v>83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61</v>
      </c>
      <c r="C3829" s="9">
        <v>46204</v>
      </c>
      <c r="D3829">
        <v>51</v>
      </c>
      <c r="E3829" s="16" t="s">
        <v>143</v>
      </c>
      <c r="F3829" s="16" t="s">
        <v>83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61</v>
      </c>
      <c r="C3830" s="9">
        <v>46235</v>
      </c>
      <c r="D3830">
        <v>51</v>
      </c>
      <c r="E3830" s="16" t="s">
        <v>143</v>
      </c>
      <c r="F3830" s="16" t="s">
        <v>83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61</v>
      </c>
      <c r="C3831" s="9">
        <v>46266</v>
      </c>
      <c r="D3831">
        <v>51</v>
      </c>
      <c r="E3831" s="16" t="s">
        <v>143</v>
      </c>
      <c r="F3831" s="16" t="s">
        <v>83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61</v>
      </c>
      <c r="C3832" s="9">
        <v>45689</v>
      </c>
      <c r="D3832">
        <v>52</v>
      </c>
      <c r="E3832" s="16" t="s">
        <v>144</v>
      </c>
      <c r="F3832" s="16" t="s">
        <v>110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61</v>
      </c>
      <c r="C3833" s="9">
        <v>45748</v>
      </c>
      <c r="D3833">
        <v>52</v>
      </c>
      <c r="E3833" s="16" t="s">
        <v>144</v>
      </c>
      <c r="F3833" s="16" t="s">
        <v>110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61</v>
      </c>
      <c r="C3834" s="9">
        <v>45778</v>
      </c>
      <c r="D3834">
        <v>52</v>
      </c>
      <c r="E3834" s="16" t="s">
        <v>144</v>
      </c>
      <c r="F3834" s="16" t="s">
        <v>110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61</v>
      </c>
      <c r="C3835" s="9">
        <v>45809</v>
      </c>
      <c r="D3835">
        <v>52</v>
      </c>
      <c r="E3835" s="16" t="s">
        <v>144</v>
      </c>
      <c r="F3835" s="16" t="s">
        <v>110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61</v>
      </c>
      <c r="C3836" s="9">
        <v>45839</v>
      </c>
      <c r="D3836">
        <v>52</v>
      </c>
      <c r="E3836" s="16" t="s">
        <v>144</v>
      </c>
      <c r="F3836" s="16" t="s">
        <v>110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61</v>
      </c>
      <c r="C3837" s="9">
        <v>45870</v>
      </c>
      <c r="D3837">
        <v>52</v>
      </c>
      <c r="E3837" s="16" t="s">
        <v>144</v>
      </c>
      <c r="F3837" s="16" t="s">
        <v>110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61</v>
      </c>
      <c r="C3838" s="9">
        <v>45901</v>
      </c>
      <c r="D3838">
        <v>52</v>
      </c>
      <c r="E3838" s="16" t="s">
        <v>144</v>
      </c>
      <c r="F3838" s="16" t="s">
        <v>110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61</v>
      </c>
      <c r="C3839" s="9">
        <v>45931</v>
      </c>
      <c r="D3839">
        <v>52</v>
      </c>
      <c r="E3839" s="16" t="s">
        <v>144</v>
      </c>
      <c r="F3839" s="16" t="s">
        <v>110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61</v>
      </c>
      <c r="C3840" s="9">
        <v>45962</v>
      </c>
      <c r="D3840">
        <v>52</v>
      </c>
      <c r="E3840" s="16" t="s">
        <v>144</v>
      </c>
      <c r="F3840" s="16" t="s">
        <v>110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61</v>
      </c>
      <c r="C3841" s="9">
        <v>45992</v>
      </c>
      <c r="D3841">
        <v>52</v>
      </c>
      <c r="E3841" s="16" t="s">
        <v>144</v>
      </c>
      <c r="F3841" s="16" t="s">
        <v>110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61</v>
      </c>
      <c r="C3842" s="9">
        <v>46023</v>
      </c>
      <c r="D3842">
        <v>52</v>
      </c>
      <c r="E3842" s="16" t="s">
        <v>144</v>
      </c>
      <c r="F3842" s="16" t="s">
        <v>110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61</v>
      </c>
      <c r="C3843" s="9">
        <v>46082</v>
      </c>
      <c r="D3843">
        <v>52</v>
      </c>
      <c r="E3843" s="16" t="s">
        <v>144</v>
      </c>
      <c r="F3843" s="16" t="s">
        <v>110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61</v>
      </c>
      <c r="C3844" s="9">
        <v>46113</v>
      </c>
      <c r="D3844">
        <v>52</v>
      </c>
      <c r="E3844" s="16" t="s">
        <v>144</v>
      </c>
      <c r="F3844" s="16" t="s">
        <v>110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61</v>
      </c>
      <c r="C3845" s="9">
        <v>46143</v>
      </c>
      <c r="D3845">
        <v>52</v>
      </c>
      <c r="E3845" s="16" t="s">
        <v>144</v>
      </c>
      <c r="F3845" s="16" t="s">
        <v>110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61</v>
      </c>
      <c r="C3846" s="9">
        <v>46174</v>
      </c>
      <c r="D3846">
        <v>52</v>
      </c>
      <c r="E3846" s="16" t="s">
        <v>144</v>
      </c>
      <c r="F3846" s="16" t="s">
        <v>110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61</v>
      </c>
      <c r="C3847" s="9">
        <v>46204</v>
      </c>
      <c r="D3847">
        <v>52</v>
      </c>
      <c r="E3847" s="16" t="s">
        <v>144</v>
      </c>
      <c r="F3847" s="16" t="s">
        <v>110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61</v>
      </c>
      <c r="C3848" s="9">
        <v>46266</v>
      </c>
      <c r="D3848">
        <v>52</v>
      </c>
      <c r="E3848" s="16" t="s">
        <v>144</v>
      </c>
      <c r="F3848" s="16" t="s">
        <v>110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61</v>
      </c>
      <c r="C3849" s="9">
        <v>45689</v>
      </c>
      <c r="D3849">
        <v>53</v>
      </c>
      <c r="E3849" s="16" t="s">
        <v>145</v>
      </c>
      <c r="F3849" s="16" t="s">
        <v>105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61</v>
      </c>
      <c r="C3850" s="9">
        <v>45717</v>
      </c>
      <c r="D3850">
        <v>53</v>
      </c>
      <c r="E3850" s="16" t="s">
        <v>145</v>
      </c>
      <c r="F3850" s="16" t="s">
        <v>105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61</v>
      </c>
      <c r="C3851" s="9">
        <v>45748</v>
      </c>
      <c r="D3851">
        <v>53</v>
      </c>
      <c r="E3851" s="16" t="s">
        <v>145</v>
      </c>
      <c r="F3851" s="16" t="s">
        <v>105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61</v>
      </c>
      <c r="C3852" s="9">
        <v>45778</v>
      </c>
      <c r="D3852">
        <v>53</v>
      </c>
      <c r="E3852" s="16" t="s">
        <v>145</v>
      </c>
      <c r="F3852" s="16" t="s">
        <v>105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61</v>
      </c>
      <c r="C3853" s="9">
        <v>45809</v>
      </c>
      <c r="D3853">
        <v>53</v>
      </c>
      <c r="E3853" s="16" t="s">
        <v>145</v>
      </c>
      <c r="F3853" s="16" t="s">
        <v>105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61</v>
      </c>
      <c r="C3854" s="9">
        <v>45839</v>
      </c>
      <c r="D3854">
        <v>53</v>
      </c>
      <c r="E3854" s="16" t="s">
        <v>145</v>
      </c>
      <c r="F3854" s="16" t="s">
        <v>105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61</v>
      </c>
      <c r="C3855" s="9">
        <v>45870</v>
      </c>
      <c r="D3855">
        <v>53</v>
      </c>
      <c r="E3855" s="16" t="s">
        <v>145</v>
      </c>
      <c r="F3855" s="16" t="s">
        <v>105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61</v>
      </c>
      <c r="C3856" s="9">
        <v>45901</v>
      </c>
      <c r="D3856">
        <v>53</v>
      </c>
      <c r="E3856" s="16" t="s">
        <v>145</v>
      </c>
      <c r="F3856" s="16" t="s">
        <v>105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61</v>
      </c>
      <c r="C3857" s="9">
        <v>45931</v>
      </c>
      <c r="D3857">
        <v>53</v>
      </c>
      <c r="E3857" s="16" t="s">
        <v>145</v>
      </c>
      <c r="F3857" s="16" t="s">
        <v>105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61</v>
      </c>
      <c r="C3858" s="9">
        <v>45962</v>
      </c>
      <c r="D3858">
        <v>53</v>
      </c>
      <c r="E3858" s="16" t="s">
        <v>145</v>
      </c>
      <c r="F3858" s="16" t="s">
        <v>105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61</v>
      </c>
      <c r="C3859" s="9">
        <v>45992</v>
      </c>
      <c r="D3859">
        <v>53</v>
      </c>
      <c r="E3859" s="16" t="s">
        <v>145</v>
      </c>
      <c r="F3859" s="16" t="s">
        <v>105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61</v>
      </c>
      <c r="C3860" s="9">
        <v>46023</v>
      </c>
      <c r="D3860">
        <v>53</v>
      </c>
      <c r="E3860" s="16" t="s">
        <v>145</v>
      </c>
      <c r="F3860" s="16" t="s">
        <v>105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61</v>
      </c>
      <c r="C3861" s="9">
        <v>46054</v>
      </c>
      <c r="D3861">
        <v>53</v>
      </c>
      <c r="E3861" s="16" t="s">
        <v>145</v>
      </c>
      <c r="F3861" s="16" t="s">
        <v>105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61</v>
      </c>
      <c r="C3862" s="9">
        <v>46082</v>
      </c>
      <c r="D3862">
        <v>53</v>
      </c>
      <c r="E3862" s="16" t="s">
        <v>145</v>
      </c>
      <c r="F3862" s="16" t="s">
        <v>105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61</v>
      </c>
      <c r="C3863" s="9">
        <v>46113</v>
      </c>
      <c r="D3863">
        <v>53</v>
      </c>
      <c r="E3863" s="16" t="s">
        <v>145</v>
      </c>
      <c r="F3863" s="16" t="s">
        <v>105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61</v>
      </c>
      <c r="C3864" s="9">
        <v>46143</v>
      </c>
      <c r="D3864">
        <v>53</v>
      </c>
      <c r="E3864" s="16" t="s">
        <v>145</v>
      </c>
      <c r="F3864" s="16" t="s">
        <v>105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61</v>
      </c>
      <c r="C3865" s="9">
        <v>46174</v>
      </c>
      <c r="D3865">
        <v>53</v>
      </c>
      <c r="E3865" s="16" t="s">
        <v>145</v>
      </c>
      <c r="F3865" s="16" t="s">
        <v>105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61</v>
      </c>
      <c r="C3866" s="9">
        <v>46204</v>
      </c>
      <c r="D3866">
        <v>53</v>
      </c>
      <c r="E3866" s="16" t="s">
        <v>145</v>
      </c>
      <c r="F3866" s="16" t="s">
        <v>105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61</v>
      </c>
      <c r="C3867" s="9">
        <v>46235</v>
      </c>
      <c r="D3867">
        <v>53</v>
      </c>
      <c r="E3867" s="16" t="s">
        <v>145</v>
      </c>
      <c r="F3867" s="16" t="s">
        <v>105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61</v>
      </c>
      <c r="C3868" s="9">
        <v>46266</v>
      </c>
      <c r="D3868">
        <v>53</v>
      </c>
      <c r="E3868" s="16" t="s">
        <v>145</v>
      </c>
      <c r="F3868" s="16" t="s">
        <v>105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61</v>
      </c>
      <c r="C3869" s="9">
        <v>45689</v>
      </c>
      <c r="D3869">
        <v>54</v>
      </c>
      <c r="E3869" s="16" t="s">
        <v>146</v>
      </c>
      <c r="F3869" s="16" t="s">
        <v>105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61</v>
      </c>
      <c r="C3870" s="9">
        <v>45717</v>
      </c>
      <c r="D3870">
        <v>54</v>
      </c>
      <c r="E3870" s="16" t="s">
        <v>146</v>
      </c>
      <c r="F3870" s="16" t="s">
        <v>105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61</v>
      </c>
      <c r="C3871" s="9">
        <v>45748</v>
      </c>
      <c r="D3871">
        <v>54</v>
      </c>
      <c r="E3871" s="16" t="s">
        <v>146</v>
      </c>
      <c r="F3871" s="16" t="s">
        <v>105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61</v>
      </c>
      <c r="C3872" s="9">
        <v>45778</v>
      </c>
      <c r="D3872">
        <v>54</v>
      </c>
      <c r="E3872" s="16" t="s">
        <v>146</v>
      </c>
      <c r="F3872" s="16" t="s">
        <v>105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61</v>
      </c>
      <c r="C3873" s="9">
        <v>45809</v>
      </c>
      <c r="D3873">
        <v>54</v>
      </c>
      <c r="E3873" s="16" t="s">
        <v>146</v>
      </c>
      <c r="F3873" s="16" t="s">
        <v>105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61</v>
      </c>
      <c r="C3874" s="9">
        <v>45839</v>
      </c>
      <c r="D3874">
        <v>54</v>
      </c>
      <c r="E3874" s="16" t="s">
        <v>146</v>
      </c>
      <c r="F3874" s="16" t="s">
        <v>105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61</v>
      </c>
      <c r="C3875" s="9">
        <v>45870</v>
      </c>
      <c r="D3875">
        <v>54</v>
      </c>
      <c r="E3875" s="16" t="s">
        <v>146</v>
      </c>
      <c r="F3875" s="16" t="s">
        <v>105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61</v>
      </c>
      <c r="C3876" s="9">
        <v>45931</v>
      </c>
      <c r="D3876">
        <v>54</v>
      </c>
      <c r="E3876" s="16" t="s">
        <v>146</v>
      </c>
      <c r="F3876" s="16" t="s">
        <v>105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61</v>
      </c>
      <c r="C3877" s="9">
        <v>45962</v>
      </c>
      <c r="D3877">
        <v>54</v>
      </c>
      <c r="E3877" s="16" t="s">
        <v>146</v>
      </c>
      <c r="F3877" s="16" t="s">
        <v>105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61</v>
      </c>
      <c r="C3878" s="9">
        <v>45992</v>
      </c>
      <c r="D3878">
        <v>54</v>
      </c>
      <c r="E3878" s="16" t="s">
        <v>146</v>
      </c>
      <c r="F3878" s="16" t="s">
        <v>105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61</v>
      </c>
      <c r="C3879" s="9">
        <v>46054</v>
      </c>
      <c r="D3879">
        <v>54</v>
      </c>
      <c r="E3879" s="16" t="s">
        <v>146</v>
      </c>
      <c r="F3879" s="16" t="s">
        <v>105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61</v>
      </c>
      <c r="C3880" s="9">
        <v>46082</v>
      </c>
      <c r="D3880">
        <v>54</v>
      </c>
      <c r="E3880" s="16" t="s">
        <v>146</v>
      </c>
      <c r="F3880" s="16" t="s">
        <v>105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61</v>
      </c>
      <c r="C3881" s="9">
        <v>46143</v>
      </c>
      <c r="D3881">
        <v>54</v>
      </c>
      <c r="E3881" s="16" t="s">
        <v>146</v>
      </c>
      <c r="F3881" s="16" t="s">
        <v>105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61</v>
      </c>
      <c r="C3882" s="9">
        <v>46174</v>
      </c>
      <c r="D3882">
        <v>54</v>
      </c>
      <c r="E3882" s="16" t="s">
        <v>146</v>
      </c>
      <c r="F3882" s="16" t="s">
        <v>105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61</v>
      </c>
      <c r="C3883" s="9">
        <v>46204</v>
      </c>
      <c r="D3883">
        <v>54</v>
      </c>
      <c r="E3883" s="16" t="s">
        <v>146</v>
      </c>
      <c r="F3883" s="16" t="s">
        <v>105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61</v>
      </c>
      <c r="C3884" s="9">
        <v>46235</v>
      </c>
      <c r="D3884">
        <v>54</v>
      </c>
      <c r="E3884" s="16" t="s">
        <v>146</v>
      </c>
      <c r="F3884" s="16" t="s">
        <v>105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61</v>
      </c>
      <c r="C3885" s="9">
        <v>45689</v>
      </c>
      <c r="D3885">
        <v>55</v>
      </c>
      <c r="E3885" s="16" t="s">
        <v>147</v>
      </c>
      <c r="F3885" s="16" t="s">
        <v>85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61</v>
      </c>
      <c r="C3886" s="9">
        <v>45717</v>
      </c>
      <c r="D3886">
        <v>55</v>
      </c>
      <c r="E3886" s="16" t="s">
        <v>147</v>
      </c>
      <c r="F3886" s="16" t="s">
        <v>85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61</v>
      </c>
      <c r="C3887" s="9">
        <v>45748</v>
      </c>
      <c r="D3887">
        <v>55</v>
      </c>
      <c r="E3887" s="16" t="s">
        <v>147</v>
      </c>
      <c r="F3887" s="16" t="s">
        <v>85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61</v>
      </c>
      <c r="C3888" s="9">
        <v>45778</v>
      </c>
      <c r="D3888">
        <v>55</v>
      </c>
      <c r="E3888" s="16" t="s">
        <v>147</v>
      </c>
      <c r="F3888" s="16" t="s">
        <v>85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61</v>
      </c>
      <c r="C3889" s="9">
        <v>45809</v>
      </c>
      <c r="D3889">
        <v>55</v>
      </c>
      <c r="E3889" s="16" t="s">
        <v>147</v>
      </c>
      <c r="F3889" s="16" t="s">
        <v>85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61</v>
      </c>
      <c r="C3890" s="9">
        <v>45839</v>
      </c>
      <c r="D3890">
        <v>55</v>
      </c>
      <c r="E3890" s="16" t="s">
        <v>147</v>
      </c>
      <c r="F3890" s="16" t="s">
        <v>85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61</v>
      </c>
      <c r="C3891" s="9">
        <v>45870</v>
      </c>
      <c r="D3891">
        <v>55</v>
      </c>
      <c r="E3891" s="16" t="s">
        <v>147</v>
      </c>
      <c r="F3891" s="16" t="s">
        <v>85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61</v>
      </c>
      <c r="C3892" s="9">
        <v>45901</v>
      </c>
      <c r="D3892">
        <v>55</v>
      </c>
      <c r="E3892" s="16" t="s">
        <v>147</v>
      </c>
      <c r="F3892" s="16" t="s">
        <v>85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61</v>
      </c>
      <c r="C3893" s="9">
        <v>45931</v>
      </c>
      <c r="D3893">
        <v>55</v>
      </c>
      <c r="E3893" s="16" t="s">
        <v>147</v>
      </c>
      <c r="F3893" s="16" t="s">
        <v>85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61</v>
      </c>
      <c r="C3894" s="9">
        <v>45962</v>
      </c>
      <c r="D3894">
        <v>55</v>
      </c>
      <c r="E3894" s="16" t="s">
        <v>147</v>
      </c>
      <c r="F3894" s="16" t="s">
        <v>85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61</v>
      </c>
      <c r="C3895" s="9">
        <v>45992</v>
      </c>
      <c r="D3895">
        <v>55</v>
      </c>
      <c r="E3895" s="16" t="s">
        <v>147</v>
      </c>
      <c r="F3895" s="16" t="s">
        <v>85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61</v>
      </c>
      <c r="C3896" s="9">
        <v>46023</v>
      </c>
      <c r="D3896">
        <v>55</v>
      </c>
      <c r="E3896" s="16" t="s">
        <v>147</v>
      </c>
      <c r="F3896" s="16" t="s">
        <v>85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61</v>
      </c>
      <c r="C3897" s="9">
        <v>46054</v>
      </c>
      <c r="D3897">
        <v>55</v>
      </c>
      <c r="E3897" s="16" t="s">
        <v>147</v>
      </c>
      <c r="F3897" s="16" t="s">
        <v>85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61</v>
      </c>
      <c r="C3898" s="9">
        <v>46082</v>
      </c>
      <c r="D3898">
        <v>55</v>
      </c>
      <c r="E3898" s="16" t="s">
        <v>147</v>
      </c>
      <c r="F3898" s="16" t="s">
        <v>85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61</v>
      </c>
      <c r="C3899" s="9">
        <v>46113</v>
      </c>
      <c r="D3899">
        <v>55</v>
      </c>
      <c r="E3899" s="16" t="s">
        <v>147</v>
      </c>
      <c r="F3899" s="16" t="s">
        <v>85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61</v>
      </c>
      <c r="C3900" s="9">
        <v>46143</v>
      </c>
      <c r="D3900">
        <v>55</v>
      </c>
      <c r="E3900" s="16" t="s">
        <v>147</v>
      </c>
      <c r="F3900" s="16" t="s">
        <v>85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61</v>
      </c>
      <c r="C3901" s="9">
        <v>46174</v>
      </c>
      <c r="D3901">
        <v>55</v>
      </c>
      <c r="E3901" s="16" t="s">
        <v>147</v>
      </c>
      <c r="F3901" s="16" t="s">
        <v>85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61</v>
      </c>
      <c r="C3902" s="9">
        <v>46204</v>
      </c>
      <c r="D3902">
        <v>55</v>
      </c>
      <c r="E3902" s="16" t="s">
        <v>147</v>
      </c>
      <c r="F3902" s="16" t="s">
        <v>85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61</v>
      </c>
      <c r="C3903" s="9">
        <v>46235</v>
      </c>
      <c r="D3903">
        <v>55</v>
      </c>
      <c r="E3903" s="16" t="s">
        <v>147</v>
      </c>
      <c r="F3903" s="16" t="s">
        <v>85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61</v>
      </c>
      <c r="C3904" s="9">
        <v>46266</v>
      </c>
      <c r="D3904">
        <v>55</v>
      </c>
      <c r="E3904" s="16" t="s">
        <v>147</v>
      </c>
      <c r="F3904" s="16" t="s">
        <v>85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61</v>
      </c>
      <c r="C3905" s="9">
        <v>45689</v>
      </c>
      <c r="D3905">
        <v>56</v>
      </c>
      <c r="E3905" s="16" t="s">
        <v>148</v>
      </c>
      <c r="F3905" s="16" t="s">
        <v>140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61</v>
      </c>
      <c r="C3906" s="9">
        <v>45717</v>
      </c>
      <c r="D3906">
        <v>56</v>
      </c>
      <c r="E3906" s="16" t="s">
        <v>148</v>
      </c>
      <c r="F3906" s="16" t="s">
        <v>140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61</v>
      </c>
      <c r="C3907" s="9">
        <v>45748</v>
      </c>
      <c r="D3907">
        <v>56</v>
      </c>
      <c r="E3907" s="16" t="s">
        <v>148</v>
      </c>
      <c r="F3907" s="16" t="s">
        <v>140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61</v>
      </c>
      <c r="C3908" s="9">
        <v>45778</v>
      </c>
      <c r="D3908">
        <v>56</v>
      </c>
      <c r="E3908" s="16" t="s">
        <v>148</v>
      </c>
      <c r="F3908" s="16" t="s">
        <v>140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61</v>
      </c>
      <c r="C3909" s="9">
        <v>45809</v>
      </c>
      <c r="D3909">
        <v>56</v>
      </c>
      <c r="E3909" s="16" t="s">
        <v>148</v>
      </c>
      <c r="F3909" s="16" t="s">
        <v>140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61</v>
      </c>
      <c r="C3910" s="9">
        <v>45839</v>
      </c>
      <c r="D3910">
        <v>56</v>
      </c>
      <c r="E3910" s="16" t="s">
        <v>148</v>
      </c>
      <c r="F3910" s="16" t="s">
        <v>140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61</v>
      </c>
      <c r="C3911" s="9">
        <v>45870</v>
      </c>
      <c r="D3911">
        <v>56</v>
      </c>
      <c r="E3911" s="16" t="s">
        <v>148</v>
      </c>
      <c r="F3911" s="16" t="s">
        <v>140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61</v>
      </c>
      <c r="C3912" s="9">
        <v>45901</v>
      </c>
      <c r="D3912">
        <v>56</v>
      </c>
      <c r="E3912" s="16" t="s">
        <v>148</v>
      </c>
      <c r="F3912" s="16" t="s">
        <v>140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61</v>
      </c>
      <c r="C3913" s="9">
        <v>45931</v>
      </c>
      <c r="D3913">
        <v>56</v>
      </c>
      <c r="E3913" s="16" t="s">
        <v>148</v>
      </c>
      <c r="F3913" s="16" t="s">
        <v>140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61</v>
      </c>
      <c r="C3914" s="9">
        <v>45962</v>
      </c>
      <c r="D3914">
        <v>56</v>
      </c>
      <c r="E3914" s="16" t="s">
        <v>148</v>
      </c>
      <c r="F3914" s="16" t="s">
        <v>140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61</v>
      </c>
      <c r="C3915" s="9">
        <v>45992</v>
      </c>
      <c r="D3915">
        <v>56</v>
      </c>
      <c r="E3915" s="16" t="s">
        <v>148</v>
      </c>
      <c r="F3915" s="16" t="s">
        <v>140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61</v>
      </c>
      <c r="C3916" s="9">
        <v>46023</v>
      </c>
      <c r="D3916">
        <v>56</v>
      </c>
      <c r="E3916" s="16" t="s">
        <v>148</v>
      </c>
      <c r="F3916" s="16" t="s">
        <v>140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61</v>
      </c>
      <c r="C3917" s="9">
        <v>46054</v>
      </c>
      <c r="D3917">
        <v>56</v>
      </c>
      <c r="E3917" s="16" t="s">
        <v>148</v>
      </c>
      <c r="F3917" s="16" t="s">
        <v>140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61</v>
      </c>
      <c r="C3918" s="9">
        <v>46082</v>
      </c>
      <c r="D3918">
        <v>56</v>
      </c>
      <c r="E3918" s="16" t="s">
        <v>148</v>
      </c>
      <c r="F3918" s="16" t="s">
        <v>140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61</v>
      </c>
      <c r="C3919" s="9">
        <v>46113</v>
      </c>
      <c r="D3919">
        <v>56</v>
      </c>
      <c r="E3919" s="16" t="s">
        <v>148</v>
      </c>
      <c r="F3919" s="16" t="s">
        <v>140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61</v>
      </c>
      <c r="C3920" s="9">
        <v>46143</v>
      </c>
      <c r="D3920">
        <v>56</v>
      </c>
      <c r="E3920" s="16" t="s">
        <v>148</v>
      </c>
      <c r="F3920" s="16" t="s">
        <v>140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61</v>
      </c>
      <c r="C3921" s="9">
        <v>46174</v>
      </c>
      <c r="D3921">
        <v>56</v>
      </c>
      <c r="E3921" s="16" t="s">
        <v>148</v>
      </c>
      <c r="F3921" s="16" t="s">
        <v>140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61</v>
      </c>
      <c r="C3922" s="9">
        <v>46204</v>
      </c>
      <c r="D3922">
        <v>56</v>
      </c>
      <c r="E3922" s="16" t="s">
        <v>148</v>
      </c>
      <c r="F3922" s="16" t="s">
        <v>140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61</v>
      </c>
      <c r="C3923" s="9">
        <v>46235</v>
      </c>
      <c r="D3923">
        <v>56</v>
      </c>
      <c r="E3923" s="16" t="s">
        <v>148</v>
      </c>
      <c r="F3923" s="16" t="s">
        <v>140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61</v>
      </c>
      <c r="C3924" s="9">
        <v>46266</v>
      </c>
      <c r="D3924">
        <v>56</v>
      </c>
      <c r="E3924" s="16" t="s">
        <v>148</v>
      </c>
      <c r="F3924" s="16" t="s">
        <v>140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62</v>
      </c>
      <c r="C3925" s="9">
        <v>45689</v>
      </c>
      <c r="D3925">
        <v>1</v>
      </c>
      <c r="E3925" s="16" t="s">
        <v>82</v>
      </c>
      <c r="F3925" s="16" t="s">
        <v>83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62</v>
      </c>
      <c r="C3926" s="9">
        <v>45717</v>
      </c>
      <c r="D3926">
        <v>1</v>
      </c>
      <c r="E3926" s="16" t="s">
        <v>82</v>
      </c>
      <c r="F3926" s="16" t="s">
        <v>83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62</v>
      </c>
      <c r="C3927" s="9">
        <v>45748</v>
      </c>
      <c r="D3927">
        <v>1</v>
      </c>
      <c r="E3927" s="16" t="s">
        <v>82</v>
      </c>
      <c r="F3927" s="16" t="s">
        <v>83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62</v>
      </c>
      <c r="C3928" s="9">
        <v>45778</v>
      </c>
      <c r="D3928">
        <v>1</v>
      </c>
      <c r="E3928" s="16" t="s">
        <v>82</v>
      </c>
      <c r="F3928" s="16" t="s">
        <v>83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62</v>
      </c>
      <c r="C3929" s="9">
        <v>45809</v>
      </c>
      <c r="D3929">
        <v>1</v>
      </c>
      <c r="E3929" s="16" t="s">
        <v>82</v>
      </c>
      <c r="F3929" s="16" t="s">
        <v>83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62</v>
      </c>
      <c r="C3930" s="9">
        <v>45839</v>
      </c>
      <c r="D3930">
        <v>1</v>
      </c>
      <c r="E3930" s="16" t="s">
        <v>82</v>
      </c>
      <c r="F3930" s="16" t="s">
        <v>83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62</v>
      </c>
      <c r="C3931" s="9">
        <v>45870</v>
      </c>
      <c r="D3931">
        <v>1</v>
      </c>
      <c r="E3931" s="16" t="s">
        <v>82</v>
      </c>
      <c r="F3931" s="16" t="s">
        <v>83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62</v>
      </c>
      <c r="C3932" s="9">
        <v>45901</v>
      </c>
      <c r="D3932">
        <v>1</v>
      </c>
      <c r="E3932" s="16" t="s">
        <v>82</v>
      </c>
      <c r="F3932" s="16" t="s">
        <v>83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62</v>
      </c>
      <c r="C3933" s="9">
        <v>45931</v>
      </c>
      <c r="D3933">
        <v>1</v>
      </c>
      <c r="E3933" s="16" t="s">
        <v>82</v>
      </c>
      <c r="F3933" s="16" t="s">
        <v>83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62</v>
      </c>
      <c r="C3934" s="9">
        <v>45962</v>
      </c>
      <c r="D3934">
        <v>1</v>
      </c>
      <c r="E3934" s="16" t="s">
        <v>82</v>
      </c>
      <c r="F3934" s="16" t="s">
        <v>83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62</v>
      </c>
      <c r="C3935" s="9">
        <v>45992</v>
      </c>
      <c r="D3935">
        <v>1</v>
      </c>
      <c r="E3935" s="16" t="s">
        <v>82</v>
      </c>
      <c r="F3935" s="16" t="s">
        <v>83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62</v>
      </c>
      <c r="C3936" s="9">
        <v>46023</v>
      </c>
      <c r="D3936">
        <v>1</v>
      </c>
      <c r="E3936" s="16" t="s">
        <v>82</v>
      </c>
      <c r="F3936" s="16" t="s">
        <v>83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62</v>
      </c>
      <c r="C3937" s="9">
        <v>46054</v>
      </c>
      <c r="D3937">
        <v>1</v>
      </c>
      <c r="E3937" s="16" t="s">
        <v>82</v>
      </c>
      <c r="F3937" s="16" t="s">
        <v>83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62</v>
      </c>
      <c r="C3938" s="9">
        <v>46082</v>
      </c>
      <c r="D3938">
        <v>1</v>
      </c>
      <c r="E3938" s="16" t="s">
        <v>82</v>
      </c>
      <c r="F3938" s="16" t="s">
        <v>83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62</v>
      </c>
      <c r="C3939" s="9">
        <v>46113</v>
      </c>
      <c r="D3939">
        <v>1</v>
      </c>
      <c r="E3939" s="16" t="s">
        <v>82</v>
      </c>
      <c r="F3939" s="16" t="s">
        <v>83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62</v>
      </c>
      <c r="C3940" s="9">
        <v>46143</v>
      </c>
      <c r="D3940">
        <v>1</v>
      </c>
      <c r="E3940" s="16" t="s">
        <v>82</v>
      </c>
      <c r="F3940" s="16" t="s">
        <v>83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62</v>
      </c>
      <c r="C3941" s="9">
        <v>46174</v>
      </c>
      <c r="D3941">
        <v>1</v>
      </c>
      <c r="E3941" s="16" t="s">
        <v>82</v>
      </c>
      <c r="F3941" s="16" t="s">
        <v>83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62</v>
      </c>
      <c r="C3942" s="9">
        <v>46204</v>
      </c>
      <c r="D3942">
        <v>1</v>
      </c>
      <c r="E3942" s="16" t="s">
        <v>82</v>
      </c>
      <c r="F3942" s="16" t="s">
        <v>83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62</v>
      </c>
      <c r="C3943" s="9">
        <v>46235</v>
      </c>
      <c r="D3943">
        <v>1</v>
      </c>
      <c r="E3943" s="16" t="s">
        <v>82</v>
      </c>
      <c r="F3943" s="16" t="s">
        <v>83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62</v>
      </c>
      <c r="C3944" s="9">
        <v>46266</v>
      </c>
      <c r="D3944">
        <v>1</v>
      </c>
      <c r="E3944" s="16" t="s">
        <v>82</v>
      </c>
      <c r="F3944" s="16" t="s">
        <v>83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62</v>
      </c>
      <c r="C3945" s="9">
        <v>45689</v>
      </c>
      <c r="D3945">
        <v>2</v>
      </c>
      <c r="E3945" s="16" t="s">
        <v>84</v>
      </c>
      <c r="F3945" s="16" t="s">
        <v>85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62</v>
      </c>
      <c r="C3946" s="9">
        <v>45717</v>
      </c>
      <c r="D3946">
        <v>2</v>
      </c>
      <c r="E3946" s="16" t="s">
        <v>84</v>
      </c>
      <c r="F3946" s="16" t="s">
        <v>85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62</v>
      </c>
      <c r="C3947" s="9">
        <v>45748</v>
      </c>
      <c r="D3947">
        <v>2</v>
      </c>
      <c r="E3947" s="16" t="s">
        <v>84</v>
      </c>
      <c r="F3947" s="16" t="s">
        <v>85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62</v>
      </c>
      <c r="C3948" s="9">
        <v>45778</v>
      </c>
      <c r="D3948">
        <v>2</v>
      </c>
      <c r="E3948" s="16" t="s">
        <v>84</v>
      </c>
      <c r="F3948" s="16" t="s">
        <v>85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62</v>
      </c>
      <c r="C3949" s="9">
        <v>45809</v>
      </c>
      <c r="D3949">
        <v>2</v>
      </c>
      <c r="E3949" s="16" t="s">
        <v>84</v>
      </c>
      <c r="F3949" s="16" t="s">
        <v>85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62</v>
      </c>
      <c r="C3950" s="9">
        <v>45839</v>
      </c>
      <c r="D3950">
        <v>2</v>
      </c>
      <c r="E3950" s="16" t="s">
        <v>84</v>
      </c>
      <c r="F3950" s="16" t="s">
        <v>85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62</v>
      </c>
      <c r="C3951" s="9">
        <v>45870</v>
      </c>
      <c r="D3951">
        <v>2</v>
      </c>
      <c r="E3951" s="16" t="s">
        <v>84</v>
      </c>
      <c r="F3951" s="16" t="s">
        <v>85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62</v>
      </c>
      <c r="C3952" s="9">
        <v>45901</v>
      </c>
      <c r="D3952">
        <v>2</v>
      </c>
      <c r="E3952" s="16" t="s">
        <v>84</v>
      </c>
      <c r="F3952" s="16" t="s">
        <v>85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62</v>
      </c>
      <c r="C3953" s="9">
        <v>45931</v>
      </c>
      <c r="D3953">
        <v>2</v>
      </c>
      <c r="E3953" s="16" t="s">
        <v>84</v>
      </c>
      <c r="F3953" s="16" t="s">
        <v>85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62</v>
      </c>
      <c r="C3954" s="9">
        <v>45962</v>
      </c>
      <c r="D3954">
        <v>2</v>
      </c>
      <c r="E3954" s="16" t="s">
        <v>84</v>
      </c>
      <c r="F3954" s="16" t="s">
        <v>85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62</v>
      </c>
      <c r="C3955" s="9">
        <v>45992</v>
      </c>
      <c r="D3955">
        <v>2</v>
      </c>
      <c r="E3955" s="16" t="s">
        <v>84</v>
      </c>
      <c r="F3955" s="16" t="s">
        <v>85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62</v>
      </c>
      <c r="C3956" s="9">
        <v>46023</v>
      </c>
      <c r="D3956">
        <v>2</v>
      </c>
      <c r="E3956" s="16" t="s">
        <v>84</v>
      </c>
      <c r="F3956" s="16" t="s">
        <v>85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62</v>
      </c>
      <c r="C3957" s="9">
        <v>46054</v>
      </c>
      <c r="D3957">
        <v>2</v>
      </c>
      <c r="E3957" s="16" t="s">
        <v>84</v>
      </c>
      <c r="F3957" s="16" t="s">
        <v>85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62</v>
      </c>
      <c r="C3958" s="9">
        <v>46082</v>
      </c>
      <c r="D3958">
        <v>2</v>
      </c>
      <c r="E3958" s="16" t="s">
        <v>84</v>
      </c>
      <c r="F3958" s="16" t="s">
        <v>85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62</v>
      </c>
      <c r="C3959" s="9">
        <v>46113</v>
      </c>
      <c r="D3959">
        <v>2</v>
      </c>
      <c r="E3959" s="16" t="s">
        <v>84</v>
      </c>
      <c r="F3959" s="16" t="s">
        <v>85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62</v>
      </c>
      <c r="C3960" s="9">
        <v>46143</v>
      </c>
      <c r="D3960">
        <v>2</v>
      </c>
      <c r="E3960" s="16" t="s">
        <v>84</v>
      </c>
      <c r="F3960" s="16" t="s">
        <v>85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62</v>
      </c>
      <c r="C3961" s="9">
        <v>46174</v>
      </c>
      <c r="D3961">
        <v>2</v>
      </c>
      <c r="E3961" s="16" t="s">
        <v>84</v>
      </c>
      <c r="F3961" s="16" t="s">
        <v>85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62</v>
      </c>
      <c r="C3962" s="9">
        <v>46204</v>
      </c>
      <c r="D3962">
        <v>2</v>
      </c>
      <c r="E3962" s="16" t="s">
        <v>84</v>
      </c>
      <c r="F3962" s="16" t="s">
        <v>85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62</v>
      </c>
      <c r="C3963" s="9">
        <v>46235</v>
      </c>
      <c r="D3963">
        <v>2</v>
      </c>
      <c r="E3963" s="16" t="s">
        <v>84</v>
      </c>
      <c r="F3963" s="16" t="s">
        <v>85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62</v>
      </c>
      <c r="C3964" s="9">
        <v>46266</v>
      </c>
      <c r="D3964">
        <v>2</v>
      </c>
      <c r="E3964" s="16" t="s">
        <v>84</v>
      </c>
      <c r="F3964" s="16" t="s">
        <v>85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62</v>
      </c>
      <c r="C3965" s="9">
        <v>45689</v>
      </c>
      <c r="D3965">
        <v>3</v>
      </c>
      <c r="E3965" s="16" t="s">
        <v>86</v>
      </c>
      <c r="F3965" s="16" t="s">
        <v>87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62</v>
      </c>
      <c r="C3966" s="9">
        <v>45717</v>
      </c>
      <c r="D3966">
        <v>3</v>
      </c>
      <c r="E3966" s="16" t="s">
        <v>86</v>
      </c>
      <c r="F3966" s="16" t="s">
        <v>87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62</v>
      </c>
      <c r="C3967" s="9">
        <v>45748</v>
      </c>
      <c r="D3967">
        <v>3</v>
      </c>
      <c r="E3967" s="16" t="s">
        <v>86</v>
      </c>
      <c r="F3967" s="16" t="s">
        <v>87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62</v>
      </c>
      <c r="C3968" s="9">
        <v>45778</v>
      </c>
      <c r="D3968">
        <v>3</v>
      </c>
      <c r="E3968" s="16" t="s">
        <v>86</v>
      </c>
      <c r="F3968" s="16" t="s">
        <v>87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62</v>
      </c>
      <c r="C3969" s="9">
        <v>45809</v>
      </c>
      <c r="D3969">
        <v>3</v>
      </c>
      <c r="E3969" s="16" t="s">
        <v>86</v>
      </c>
      <c r="F3969" s="16" t="s">
        <v>87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62</v>
      </c>
      <c r="C3970" s="9">
        <v>45839</v>
      </c>
      <c r="D3970">
        <v>3</v>
      </c>
      <c r="E3970" s="16" t="s">
        <v>86</v>
      </c>
      <c r="F3970" s="16" t="s">
        <v>87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62</v>
      </c>
      <c r="C3971" s="9">
        <v>45870</v>
      </c>
      <c r="D3971">
        <v>3</v>
      </c>
      <c r="E3971" s="16" t="s">
        <v>86</v>
      </c>
      <c r="F3971" s="16" t="s">
        <v>87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62</v>
      </c>
      <c r="C3972" s="9">
        <v>45901</v>
      </c>
      <c r="D3972">
        <v>3</v>
      </c>
      <c r="E3972" s="16" t="s">
        <v>86</v>
      </c>
      <c r="F3972" s="16" t="s">
        <v>87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62</v>
      </c>
      <c r="C3973" s="9">
        <v>45931</v>
      </c>
      <c r="D3973">
        <v>3</v>
      </c>
      <c r="E3973" s="16" t="s">
        <v>86</v>
      </c>
      <c r="F3973" s="16" t="s">
        <v>87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62</v>
      </c>
      <c r="C3974" s="9">
        <v>45962</v>
      </c>
      <c r="D3974">
        <v>3</v>
      </c>
      <c r="E3974" s="16" t="s">
        <v>86</v>
      </c>
      <c r="F3974" s="16" t="s">
        <v>87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62</v>
      </c>
      <c r="C3975" s="9">
        <v>45992</v>
      </c>
      <c r="D3975">
        <v>3</v>
      </c>
      <c r="E3975" s="16" t="s">
        <v>86</v>
      </c>
      <c r="F3975" s="16" t="s">
        <v>87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62</v>
      </c>
      <c r="C3976" s="9">
        <v>46023</v>
      </c>
      <c r="D3976">
        <v>3</v>
      </c>
      <c r="E3976" s="16" t="s">
        <v>86</v>
      </c>
      <c r="F3976" s="16" t="s">
        <v>87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62</v>
      </c>
      <c r="C3977" s="9">
        <v>46054</v>
      </c>
      <c r="D3977">
        <v>3</v>
      </c>
      <c r="E3977" s="16" t="s">
        <v>86</v>
      </c>
      <c r="F3977" s="16" t="s">
        <v>87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62</v>
      </c>
      <c r="C3978" s="9">
        <v>46082</v>
      </c>
      <c r="D3978">
        <v>3</v>
      </c>
      <c r="E3978" s="16" t="s">
        <v>86</v>
      </c>
      <c r="F3978" s="16" t="s">
        <v>87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62</v>
      </c>
      <c r="C3979" s="9">
        <v>46113</v>
      </c>
      <c r="D3979">
        <v>3</v>
      </c>
      <c r="E3979" s="16" t="s">
        <v>86</v>
      </c>
      <c r="F3979" s="16" t="s">
        <v>87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62</v>
      </c>
      <c r="C3980" s="9">
        <v>46143</v>
      </c>
      <c r="D3980">
        <v>3</v>
      </c>
      <c r="E3980" s="16" t="s">
        <v>86</v>
      </c>
      <c r="F3980" s="16" t="s">
        <v>87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62</v>
      </c>
      <c r="C3981" s="9">
        <v>46174</v>
      </c>
      <c r="D3981">
        <v>3</v>
      </c>
      <c r="E3981" s="16" t="s">
        <v>86</v>
      </c>
      <c r="F3981" s="16" t="s">
        <v>87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62</v>
      </c>
      <c r="C3982" s="9">
        <v>46204</v>
      </c>
      <c r="D3982">
        <v>3</v>
      </c>
      <c r="E3982" s="16" t="s">
        <v>86</v>
      </c>
      <c r="F3982" s="16" t="s">
        <v>87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62</v>
      </c>
      <c r="C3983" s="9">
        <v>46235</v>
      </c>
      <c r="D3983">
        <v>3</v>
      </c>
      <c r="E3983" s="16" t="s">
        <v>86</v>
      </c>
      <c r="F3983" s="16" t="s">
        <v>87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62</v>
      </c>
      <c r="C3984" s="9">
        <v>46266</v>
      </c>
      <c r="D3984">
        <v>3</v>
      </c>
      <c r="E3984" s="16" t="s">
        <v>86</v>
      </c>
      <c r="F3984" s="16" t="s">
        <v>87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62</v>
      </c>
      <c r="C3985" s="9">
        <v>45689</v>
      </c>
      <c r="D3985">
        <v>4</v>
      </c>
      <c r="E3985" s="16" t="s">
        <v>88</v>
      </c>
      <c r="F3985" s="16" t="s">
        <v>89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62</v>
      </c>
      <c r="C3986" s="9">
        <v>45717</v>
      </c>
      <c r="D3986">
        <v>4</v>
      </c>
      <c r="E3986" s="16" t="s">
        <v>88</v>
      </c>
      <c r="F3986" s="16" t="s">
        <v>89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62</v>
      </c>
      <c r="C3987" s="9">
        <v>45748</v>
      </c>
      <c r="D3987">
        <v>4</v>
      </c>
      <c r="E3987" s="16" t="s">
        <v>88</v>
      </c>
      <c r="F3987" s="16" t="s">
        <v>89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62</v>
      </c>
      <c r="C3988" s="9">
        <v>45778</v>
      </c>
      <c r="D3988">
        <v>4</v>
      </c>
      <c r="E3988" s="16" t="s">
        <v>88</v>
      </c>
      <c r="F3988" s="16" t="s">
        <v>89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62</v>
      </c>
      <c r="C3989" s="9">
        <v>45809</v>
      </c>
      <c r="D3989">
        <v>4</v>
      </c>
      <c r="E3989" s="16" t="s">
        <v>88</v>
      </c>
      <c r="F3989" s="16" t="s">
        <v>89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62</v>
      </c>
      <c r="C3990" s="9">
        <v>45839</v>
      </c>
      <c r="D3990">
        <v>4</v>
      </c>
      <c r="E3990" s="16" t="s">
        <v>88</v>
      </c>
      <c r="F3990" s="16" t="s">
        <v>89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62</v>
      </c>
      <c r="C3991" s="9">
        <v>45870</v>
      </c>
      <c r="D3991">
        <v>4</v>
      </c>
      <c r="E3991" s="16" t="s">
        <v>88</v>
      </c>
      <c r="F3991" s="16" t="s">
        <v>89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62</v>
      </c>
      <c r="C3992" s="9">
        <v>45901</v>
      </c>
      <c r="D3992">
        <v>4</v>
      </c>
      <c r="E3992" s="16" t="s">
        <v>88</v>
      </c>
      <c r="F3992" s="16" t="s">
        <v>89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62</v>
      </c>
      <c r="C3993" s="9">
        <v>45931</v>
      </c>
      <c r="D3993">
        <v>4</v>
      </c>
      <c r="E3993" s="16" t="s">
        <v>88</v>
      </c>
      <c r="F3993" s="16" t="s">
        <v>89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62</v>
      </c>
      <c r="C3994" s="9">
        <v>45962</v>
      </c>
      <c r="D3994">
        <v>4</v>
      </c>
      <c r="E3994" s="16" t="s">
        <v>88</v>
      </c>
      <c r="F3994" s="16" t="s">
        <v>89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62</v>
      </c>
      <c r="C3995" s="9">
        <v>45992</v>
      </c>
      <c r="D3995">
        <v>4</v>
      </c>
      <c r="E3995" s="16" t="s">
        <v>88</v>
      </c>
      <c r="F3995" s="16" t="s">
        <v>89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62</v>
      </c>
      <c r="C3996" s="9">
        <v>46023</v>
      </c>
      <c r="D3996">
        <v>4</v>
      </c>
      <c r="E3996" s="16" t="s">
        <v>88</v>
      </c>
      <c r="F3996" s="16" t="s">
        <v>89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62</v>
      </c>
      <c r="C3997" s="9">
        <v>46054</v>
      </c>
      <c r="D3997">
        <v>4</v>
      </c>
      <c r="E3997" s="16" t="s">
        <v>88</v>
      </c>
      <c r="F3997" s="16" t="s">
        <v>89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62</v>
      </c>
      <c r="C3998" s="9">
        <v>46082</v>
      </c>
      <c r="D3998">
        <v>4</v>
      </c>
      <c r="E3998" s="16" t="s">
        <v>88</v>
      </c>
      <c r="F3998" s="16" t="s">
        <v>89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62</v>
      </c>
      <c r="C3999" s="9">
        <v>46113</v>
      </c>
      <c r="D3999">
        <v>4</v>
      </c>
      <c r="E3999" s="16" t="s">
        <v>88</v>
      </c>
      <c r="F3999" s="16" t="s">
        <v>89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62</v>
      </c>
      <c r="C4000" s="9">
        <v>46143</v>
      </c>
      <c r="D4000">
        <v>4</v>
      </c>
      <c r="E4000" s="16" t="s">
        <v>88</v>
      </c>
      <c r="F4000" s="16" t="s">
        <v>89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62</v>
      </c>
      <c r="C4001" s="9">
        <v>46174</v>
      </c>
      <c r="D4001">
        <v>4</v>
      </c>
      <c r="E4001" s="16" t="s">
        <v>88</v>
      </c>
      <c r="F4001" s="16" t="s">
        <v>89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62</v>
      </c>
      <c r="C4002" s="9">
        <v>46204</v>
      </c>
      <c r="D4002">
        <v>4</v>
      </c>
      <c r="E4002" s="16" t="s">
        <v>88</v>
      </c>
      <c r="F4002" s="16" t="s">
        <v>89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62</v>
      </c>
      <c r="C4003" s="9">
        <v>46235</v>
      </c>
      <c r="D4003">
        <v>4</v>
      </c>
      <c r="E4003" s="16" t="s">
        <v>88</v>
      </c>
      <c r="F4003" s="16" t="s">
        <v>89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62</v>
      </c>
      <c r="C4004" s="9">
        <v>46266</v>
      </c>
      <c r="D4004">
        <v>4</v>
      </c>
      <c r="E4004" s="16" t="s">
        <v>88</v>
      </c>
      <c r="F4004" s="16" t="s">
        <v>89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62</v>
      </c>
      <c r="C4005" s="9">
        <v>45689</v>
      </c>
      <c r="D4005">
        <v>5</v>
      </c>
      <c r="E4005" s="16" t="s">
        <v>90</v>
      </c>
      <c r="F4005" s="16" t="s">
        <v>85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62</v>
      </c>
      <c r="C4006" s="9">
        <v>45717</v>
      </c>
      <c r="D4006">
        <v>5</v>
      </c>
      <c r="E4006" s="16" t="s">
        <v>90</v>
      </c>
      <c r="F4006" s="16" t="s">
        <v>85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62</v>
      </c>
      <c r="C4007" s="9">
        <v>45748</v>
      </c>
      <c r="D4007">
        <v>5</v>
      </c>
      <c r="E4007" s="16" t="s">
        <v>90</v>
      </c>
      <c r="F4007" s="16" t="s">
        <v>85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62</v>
      </c>
      <c r="C4008" s="9">
        <v>45778</v>
      </c>
      <c r="D4008">
        <v>5</v>
      </c>
      <c r="E4008" s="16" t="s">
        <v>90</v>
      </c>
      <c r="F4008" s="16" t="s">
        <v>85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62</v>
      </c>
      <c r="C4009" s="9">
        <v>45809</v>
      </c>
      <c r="D4009">
        <v>5</v>
      </c>
      <c r="E4009" s="16" t="s">
        <v>90</v>
      </c>
      <c r="F4009" s="16" t="s">
        <v>85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62</v>
      </c>
      <c r="C4010" s="9">
        <v>45839</v>
      </c>
      <c r="D4010">
        <v>5</v>
      </c>
      <c r="E4010" s="16" t="s">
        <v>90</v>
      </c>
      <c r="F4010" s="16" t="s">
        <v>85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62</v>
      </c>
      <c r="C4011" s="9">
        <v>45870</v>
      </c>
      <c r="D4011">
        <v>5</v>
      </c>
      <c r="E4011" s="16" t="s">
        <v>90</v>
      </c>
      <c r="F4011" s="16" t="s">
        <v>85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62</v>
      </c>
      <c r="C4012" s="9">
        <v>45901</v>
      </c>
      <c r="D4012">
        <v>5</v>
      </c>
      <c r="E4012" s="16" t="s">
        <v>90</v>
      </c>
      <c r="F4012" s="16" t="s">
        <v>85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62</v>
      </c>
      <c r="C4013" s="9">
        <v>45931</v>
      </c>
      <c r="D4013">
        <v>5</v>
      </c>
      <c r="E4013" s="16" t="s">
        <v>90</v>
      </c>
      <c r="F4013" s="16" t="s">
        <v>85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62</v>
      </c>
      <c r="C4014" s="9">
        <v>45962</v>
      </c>
      <c r="D4014">
        <v>5</v>
      </c>
      <c r="E4014" s="16" t="s">
        <v>90</v>
      </c>
      <c r="F4014" s="16" t="s">
        <v>85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62</v>
      </c>
      <c r="C4015" s="9">
        <v>45992</v>
      </c>
      <c r="D4015">
        <v>5</v>
      </c>
      <c r="E4015" s="16" t="s">
        <v>90</v>
      </c>
      <c r="F4015" s="16" t="s">
        <v>85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62</v>
      </c>
      <c r="C4016" s="9">
        <v>46023</v>
      </c>
      <c r="D4016">
        <v>5</v>
      </c>
      <c r="E4016" s="16" t="s">
        <v>90</v>
      </c>
      <c r="F4016" s="16" t="s">
        <v>85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62</v>
      </c>
      <c r="C4017" s="9">
        <v>46054</v>
      </c>
      <c r="D4017">
        <v>5</v>
      </c>
      <c r="E4017" s="16" t="s">
        <v>90</v>
      </c>
      <c r="F4017" s="16" t="s">
        <v>85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62</v>
      </c>
      <c r="C4018" s="9">
        <v>46082</v>
      </c>
      <c r="D4018">
        <v>5</v>
      </c>
      <c r="E4018" s="16" t="s">
        <v>90</v>
      </c>
      <c r="F4018" s="16" t="s">
        <v>85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62</v>
      </c>
      <c r="C4019" s="9">
        <v>46113</v>
      </c>
      <c r="D4019">
        <v>5</v>
      </c>
      <c r="E4019" s="16" t="s">
        <v>90</v>
      </c>
      <c r="F4019" s="16" t="s">
        <v>85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62</v>
      </c>
      <c r="C4020" s="9">
        <v>46143</v>
      </c>
      <c r="D4020">
        <v>5</v>
      </c>
      <c r="E4020" s="16" t="s">
        <v>90</v>
      </c>
      <c r="F4020" s="16" t="s">
        <v>85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62</v>
      </c>
      <c r="C4021" s="9">
        <v>46174</v>
      </c>
      <c r="D4021">
        <v>5</v>
      </c>
      <c r="E4021" s="16" t="s">
        <v>90</v>
      </c>
      <c r="F4021" s="16" t="s">
        <v>85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62</v>
      </c>
      <c r="C4022" s="9">
        <v>46204</v>
      </c>
      <c r="D4022">
        <v>5</v>
      </c>
      <c r="E4022" s="16" t="s">
        <v>90</v>
      </c>
      <c r="F4022" s="16" t="s">
        <v>85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62</v>
      </c>
      <c r="C4023" s="9">
        <v>46235</v>
      </c>
      <c r="D4023">
        <v>5</v>
      </c>
      <c r="E4023" s="16" t="s">
        <v>90</v>
      </c>
      <c r="F4023" s="16" t="s">
        <v>85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62</v>
      </c>
      <c r="C4024" s="9">
        <v>46266</v>
      </c>
      <c r="D4024">
        <v>5</v>
      </c>
      <c r="E4024" s="16" t="s">
        <v>90</v>
      </c>
      <c r="F4024" s="16" t="s">
        <v>85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62</v>
      </c>
      <c r="C4025" s="9">
        <v>45689</v>
      </c>
      <c r="D4025">
        <v>6</v>
      </c>
      <c r="E4025" s="16" t="s">
        <v>91</v>
      </c>
      <c r="F4025" s="16" t="s">
        <v>92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62</v>
      </c>
      <c r="C4026" s="9">
        <v>45717</v>
      </c>
      <c r="D4026">
        <v>6</v>
      </c>
      <c r="E4026" s="16" t="s">
        <v>91</v>
      </c>
      <c r="F4026" s="16" t="s">
        <v>92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62</v>
      </c>
      <c r="C4027" s="9">
        <v>45748</v>
      </c>
      <c r="D4027">
        <v>6</v>
      </c>
      <c r="E4027" s="16" t="s">
        <v>91</v>
      </c>
      <c r="F4027" s="16" t="s">
        <v>92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62</v>
      </c>
      <c r="C4028" s="9">
        <v>45778</v>
      </c>
      <c r="D4028">
        <v>6</v>
      </c>
      <c r="E4028" s="16" t="s">
        <v>91</v>
      </c>
      <c r="F4028" s="16" t="s">
        <v>92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62</v>
      </c>
      <c r="C4029" s="9">
        <v>45809</v>
      </c>
      <c r="D4029">
        <v>6</v>
      </c>
      <c r="E4029" s="16" t="s">
        <v>91</v>
      </c>
      <c r="F4029" s="16" t="s">
        <v>92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62</v>
      </c>
      <c r="C4030" s="9">
        <v>45839</v>
      </c>
      <c r="D4030">
        <v>6</v>
      </c>
      <c r="E4030" s="16" t="s">
        <v>91</v>
      </c>
      <c r="F4030" s="16" t="s">
        <v>92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62</v>
      </c>
      <c r="C4031" s="9">
        <v>45870</v>
      </c>
      <c r="D4031">
        <v>6</v>
      </c>
      <c r="E4031" s="16" t="s">
        <v>91</v>
      </c>
      <c r="F4031" s="16" t="s">
        <v>92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62</v>
      </c>
      <c r="C4032" s="9">
        <v>45901</v>
      </c>
      <c r="D4032">
        <v>6</v>
      </c>
      <c r="E4032" s="16" t="s">
        <v>91</v>
      </c>
      <c r="F4032" s="16" t="s">
        <v>92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62</v>
      </c>
      <c r="C4033" s="9">
        <v>45931</v>
      </c>
      <c r="D4033">
        <v>6</v>
      </c>
      <c r="E4033" s="16" t="s">
        <v>91</v>
      </c>
      <c r="F4033" s="16" t="s">
        <v>92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62</v>
      </c>
      <c r="C4034" s="9">
        <v>45962</v>
      </c>
      <c r="D4034">
        <v>6</v>
      </c>
      <c r="E4034" s="16" t="s">
        <v>91</v>
      </c>
      <c r="F4034" s="16" t="s">
        <v>92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62</v>
      </c>
      <c r="C4035" s="9">
        <v>45992</v>
      </c>
      <c r="D4035">
        <v>6</v>
      </c>
      <c r="E4035" s="16" t="s">
        <v>91</v>
      </c>
      <c r="F4035" s="16" t="s">
        <v>92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62</v>
      </c>
      <c r="C4036" s="9">
        <v>46023</v>
      </c>
      <c r="D4036">
        <v>6</v>
      </c>
      <c r="E4036" s="16" t="s">
        <v>91</v>
      </c>
      <c r="F4036" s="16" t="s">
        <v>92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62</v>
      </c>
      <c r="C4037" s="9">
        <v>46054</v>
      </c>
      <c r="D4037">
        <v>6</v>
      </c>
      <c r="E4037" s="16" t="s">
        <v>91</v>
      </c>
      <c r="F4037" s="16" t="s">
        <v>92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62</v>
      </c>
      <c r="C4038" s="9">
        <v>46082</v>
      </c>
      <c r="D4038">
        <v>6</v>
      </c>
      <c r="E4038" s="16" t="s">
        <v>91</v>
      </c>
      <c r="F4038" s="16" t="s">
        <v>92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62</v>
      </c>
      <c r="C4039" s="9">
        <v>46113</v>
      </c>
      <c r="D4039">
        <v>6</v>
      </c>
      <c r="E4039" s="16" t="s">
        <v>91</v>
      </c>
      <c r="F4039" s="16" t="s">
        <v>92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62</v>
      </c>
      <c r="C4040" s="9">
        <v>46143</v>
      </c>
      <c r="D4040">
        <v>6</v>
      </c>
      <c r="E4040" s="16" t="s">
        <v>91</v>
      </c>
      <c r="F4040" s="16" t="s">
        <v>92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62</v>
      </c>
      <c r="C4041" s="9">
        <v>46174</v>
      </c>
      <c r="D4041">
        <v>6</v>
      </c>
      <c r="E4041" s="16" t="s">
        <v>91</v>
      </c>
      <c r="F4041" s="16" t="s">
        <v>92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62</v>
      </c>
      <c r="C4042" s="9">
        <v>46204</v>
      </c>
      <c r="D4042">
        <v>6</v>
      </c>
      <c r="E4042" s="16" t="s">
        <v>91</v>
      </c>
      <c r="F4042" s="16" t="s">
        <v>92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62</v>
      </c>
      <c r="C4043" s="9">
        <v>46235</v>
      </c>
      <c r="D4043">
        <v>6</v>
      </c>
      <c r="E4043" s="16" t="s">
        <v>91</v>
      </c>
      <c r="F4043" s="16" t="s">
        <v>92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62</v>
      </c>
      <c r="C4044" s="9">
        <v>46266</v>
      </c>
      <c r="D4044">
        <v>6</v>
      </c>
      <c r="E4044" s="16" t="s">
        <v>91</v>
      </c>
      <c r="F4044" s="16" t="s">
        <v>92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62</v>
      </c>
      <c r="C4045" s="9">
        <v>45689</v>
      </c>
      <c r="D4045">
        <v>7</v>
      </c>
      <c r="E4045" s="16" t="s">
        <v>93</v>
      </c>
      <c r="F4045" s="16" t="s">
        <v>94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62</v>
      </c>
      <c r="C4046" s="9">
        <v>45717</v>
      </c>
      <c r="D4046">
        <v>7</v>
      </c>
      <c r="E4046" s="16" t="s">
        <v>93</v>
      </c>
      <c r="F4046" s="16" t="s">
        <v>94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62</v>
      </c>
      <c r="C4047" s="9">
        <v>45748</v>
      </c>
      <c r="D4047">
        <v>7</v>
      </c>
      <c r="E4047" s="16" t="s">
        <v>93</v>
      </c>
      <c r="F4047" s="16" t="s">
        <v>94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62</v>
      </c>
      <c r="C4048" s="9">
        <v>45778</v>
      </c>
      <c r="D4048">
        <v>7</v>
      </c>
      <c r="E4048" s="16" t="s">
        <v>93</v>
      </c>
      <c r="F4048" s="16" t="s">
        <v>94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62</v>
      </c>
      <c r="C4049" s="9">
        <v>45809</v>
      </c>
      <c r="D4049">
        <v>7</v>
      </c>
      <c r="E4049" s="16" t="s">
        <v>93</v>
      </c>
      <c r="F4049" s="16" t="s">
        <v>94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62</v>
      </c>
      <c r="C4050" s="9">
        <v>45839</v>
      </c>
      <c r="D4050">
        <v>7</v>
      </c>
      <c r="E4050" s="16" t="s">
        <v>93</v>
      </c>
      <c r="F4050" s="16" t="s">
        <v>94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62</v>
      </c>
      <c r="C4051" s="9">
        <v>45870</v>
      </c>
      <c r="D4051">
        <v>7</v>
      </c>
      <c r="E4051" s="16" t="s">
        <v>93</v>
      </c>
      <c r="F4051" s="16" t="s">
        <v>94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62</v>
      </c>
      <c r="C4052" s="9">
        <v>45901</v>
      </c>
      <c r="D4052">
        <v>7</v>
      </c>
      <c r="E4052" s="16" t="s">
        <v>93</v>
      </c>
      <c r="F4052" s="16" t="s">
        <v>94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62</v>
      </c>
      <c r="C4053" s="9">
        <v>45931</v>
      </c>
      <c r="D4053">
        <v>7</v>
      </c>
      <c r="E4053" s="16" t="s">
        <v>93</v>
      </c>
      <c r="F4053" s="16" t="s">
        <v>94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62</v>
      </c>
      <c r="C4054" s="9">
        <v>45962</v>
      </c>
      <c r="D4054">
        <v>7</v>
      </c>
      <c r="E4054" s="16" t="s">
        <v>93</v>
      </c>
      <c r="F4054" s="16" t="s">
        <v>94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62</v>
      </c>
      <c r="C4055" s="9">
        <v>45992</v>
      </c>
      <c r="D4055">
        <v>7</v>
      </c>
      <c r="E4055" s="16" t="s">
        <v>93</v>
      </c>
      <c r="F4055" s="16" t="s">
        <v>94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62</v>
      </c>
      <c r="C4056" s="9">
        <v>46023</v>
      </c>
      <c r="D4056">
        <v>7</v>
      </c>
      <c r="E4056" s="16" t="s">
        <v>93</v>
      </c>
      <c r="F4056" s="16" t="s">
        <v>94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62</v>
      </c>
      <c r="C4057" s="9">
        <v>46054</v>
      </c>
      <c r="D4057">
        <v>7</v>
      </c>
      <c r="E4057" s="16" t="s">
        <v>93</v>
      </c>
      <c r="F4057" s="16" t="s">
        <v>94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62</v>
      </c>
      <c r="C4058" s="9">
        <v>46082</v>
      </c>
      <c r="D4058">
        <v>7</v>
      </c>
      <c r="E4058" s="16" t="s">
        <v>93</v>
      </c>
      <c r="F4058" s="16" t="s">
        <v>94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62</v>
      </c>
      <c r="C4059" s="9">
        <v>46113</v>
      </c>
      <c r="D4059">
        <v>7</v>
      </c>
      <c r="E4059" s="16" t="s">
        <v>93</v>
      </c>
      <c r="F4059" s="16" t="s">
        <v>94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62</v>
      </c>
      <c r="C4060" s="9">
        <v>46143</v>
      </c>
      <c r="D4060">
        <v>7</v>
      </c>
      <c r="E4060" s="16" t="s">
        <v>93</v>
      </c>
      <c r="F4060" s="16" t="s">
        <v>94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62</v>
      </c>
      <c r="C4061" s="9">
        <v>46174</v>
      </c>
      <c r="D4061">
        <v>7</v>
      </c>
      <c r="E4061" s="16" t="s">
        <v>93</v>
      </c>
      <c r="F4061" s="16" t="s">
        <v>94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62</v>
      </c>
      <c r="C4062" s="9">
        <v>46204</v>
      </c>
      <c r="D4062">
        <v>7</v>
      </c>
      <c r="E4062" s="16" t="s">
        <v>93</v>
      </c>
      <c r="F4062" s="16" t="s">
        <v>94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62</v>
      </c>
      <c r="C4063" s="9">
        <v>46235</v>
      </c>
      <c r="D4063">
        <v>7</v>
      </c>
      <c r="E4063" s="16" t="s">
        <v>93</v>
      </c>
      <c r="F4063" s="16" t="s">
        <v>94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62</v>
      </c>
      <c r="C4064" s="9">
        <v>46266</v>
      </c>
      <c r="D4064">
        <v>7</v>
      </c>
      <c r="E4064" s="16" t="s">
        <v>93</v>
      </c>
      <c r="F4064" s="16" t="s">
        <v>94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62</v>
      </c>
      <c r="C4065" s="9">
        <v>45689</v>
      </c>
      <c r="D4065">
        <v>8</v>
      </c>
      <c r="E4065" s="16" t="s">
        <v>95</v>
      </c>
      <c r="F4065" s="16" t="s">
        <v>85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62</v>
      </c>
      <c r="C4066" s="9">
        <v>45717</v>
      </c>
      <c r="D4066">
        <v>8</v>
      </c>
      <c r="E4066" s="16" t="s">
        <v>95</v>
      </c>
      <c r="F4066" s="16" t="s">
        <v>85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62</v>
      </c>
      <c r="C4067" s="9">
        <v>45748</v>
      </c>
      <c r="D4067">
        <v>8</v>
      </c>
      <c r="E4067" s="16" t="s">
        <v>95</v>
      </c>
      <c r="F4067" s="16" t="s">
        <v>85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62</v>
      </c>
      <c r="C4068" s="9">
        <v>45778</v>
      </c>
      <c r="D4068">
        <v>8</v>
      </c>
      <c r="E4068" s="16" t="s">
        <v>95</v>
      </c>
      <c r="F4068" s="16" t="s">
        <v>85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62</v>
      </c>
      <c r="C4069" s="9">
        <v>45809</v>
      </c>
      <c r="D4069">
        <v>8</v>
      </c>
      <c r="E4069" s="16" t="s">
        <v>95</v>
      </c>
      <c r="F4069" s="16" t="s">
        <v>85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62</v>
      </c>
      <c r="C4070" s="9">
        <v>45839</v>
      </c>
      <c r="D4070">
        <v>8</v>
      </c>
      <c r="E4070" s="16" t="s">
        <v>95</v>
      </c>
      <c r="F4070" s="16" t="s">
        <v>85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62</v>
      </c>
      <c r="C4071" s="9">
        <v>45870</v>
      </c>
      <c r="D4071">
        <v>8</v>
      </c>
      <c r="E4071" s="16" t="s">
        <v>95</v>
      </c>
      <c r="F4071" s="16" t="s">
        <v>85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62</v>
      </c>
      <c r="C4072" s="9">
        <v>45901</v>
      </c>
      <c r="D4072">
        <v>8</v>
      </c>
      <c r="E4072" s="16" t="s">
        <v>95</v>
      </c>
      <c r="F4072" s="16" t="s">
        <v>85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62</v>
      </c>
      <c r="C4073" s="9">
        <v>45931</v>
      </c>
      <c r="D4073">
        <v>8</v>
      </c>
      <c r="E4073" s="16" t="s">
        <v>95</v>
      </c>
      <c r="F4073" s="16" t="s">
        <v>85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62</v>
      </c>
      <c r="C4074" s="9">
        <v>45962</v>
      </c>
      <c r="D4074">
        <v>8</v>
      </c>
      <c r="E4074" s="16" t="s">
        <v>95</v>
      </c>
      <c r="F4074" s="16" t="s">
        <v>85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62</v>
      </c>
      <c r="C4075" s="9">
        <v>45992</v>
      </c>
      <c r="D4075">
        <v>8</v>
      </c>
      <c r="E4075" s="16" t="s">
        <v>95</v>
      </c>
      <c r="F4075" s="16" t="s">
        <v>85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62</v>
      </c>
      <c r="C4076" s="9">
        <v>46023</v>
      </c>
      <c r="D4076">
        <v>8</v>
      </c>
      <c r="E4076" s="16" t="s">
        <v>95</v>
      </c>
      <c r="F4076" s="16" t="s">
        <v>85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62</v>
      </c>
      <c r="C4077" s="9">
        <v>46054</v>
      </c>
      <c r="D4077">
        <v>8</v>
      </c>
      <c r="E4077" s="16" t="s">
        <v>95</v>
      </c>
      <c r="F4077" s="16" t="s">
        <v>85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62</v>
      </c>
      <c r="C4078" s="9">
        <v>46082</v>
      </c>
      <c r="D4078">
        <v>8</v>
      </c>
      <c r="E4078" s="16" t="s">
        <v>95</v>
      </c>
      <c r="F4078" s="16" t="s">
        <v>85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62</v>
      </c>
      <c r="C4079" s="9">
        <v>46113</v>
      </c>
      <c r="D4079">
        <v>8</v>
      </c>
      <c r="E4079" s="16" t="s">
        <v>95</v>
      </c>
      <c r="F4079" s="16" t="s">
        <v>85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62</v>
      </c>
      <c r="C4080" s="9">
        <v>46143</v>
      </c>
      <c r="D4080">
        <v>8</v>
      </c>
      <c r="E4080" s="16" t="s">
        <v>95</v>
      </c>
      <c r="F4080" s="16" t="s">
        <v>85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62</v>
      </c>
      <c r="C4081" s="9">
        <v>46174</v>
      </c>
      <c r="D4081">
        <v>8</v>
      </c>
      <c r="E4081" s="16" t="s">
        <v>95</v>
      </c>
      <c r="F4081" s="16" t="s">
        <v>85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62</v>
      </c>
      <c r="C4082" s="9">
        <v>46204</v>
      </c>
      <c r="D4082">
        <v>8</v>
      </c>
      <c r="E4082" s="16" t="s">
        <v>95</v>
      </c>
      <c r="F4082" s="16" t="s">
        <v>85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62</v>
      </c>
      <c r="C4083" s="9">
        <v>46235</v>
      </c>
      <c r="D4083">
        <v>8</v>
      </c>
      <c r="E4083" s="16" t="s">
        <v>95</v>
      </c>
      <c r="F4083" s="16" t="s">
        <v>85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62</v>
      </c>
      <c r="C4084" s="9">
        <v>46266</v>
      </c>
      <c r="D4084">
        <v>8</v>
      </c>
      <c r="E4084" s="16" t="s">
        <v>95</v>
      </c>
      <c r="F4084" s="16" t="s">
        <v>85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62</v>
      </c>
      <c r="C4085" s="9">
        <v>45689</v>
      </c>
      <c r="D4085">
        <v>9</v>
      </c>
      <c r="E4085" s="16" t="s">
        <v>96</v>
      </c>
      <c r="F4085" s="16" t="s">
        <v>87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62</v>
      </c>
      <c r="C4086" s="9">
        <v>45717</v>
      </c>
      <c r="D4086">
        <v>9</v>
      </c>
      <c r="E4086" s="16" t="s">
        <v>96</v>
      </c>
      <c r="F4086" s="16" t="s">
        <v>87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62</v>
      </c>
      <c r="C4087" s="9">
        <v>45748</v>
      </c>
      <c r="D4087">
        <v>9</v>
      </c>
      <c r="E4087" s="16" t="s">
        <v>96</v>
      </c>
      <c r="F4087" s="16" t="s">
        <v>87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62</v>
      </c>
      <c r="C4088" s="9">
        <v>45778</v>
      </c>
      <c r="D4088">
        <v>9</v>
      </c>
      <c r="E4088" s="16" t="s">
        <v>96</v>
      </c>
      <c r="F4088" s="16" t="s">
        <v>87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62</v>
      </c>
      <c r="C4089" s="9">
        <v>45809</v>
      </c>
      <c r="D4089">
        <v>9</v>
      </c>
      <c r="E4089" s="16" t="s">
        <v>96</v>
      </c>
      <c r="F4089" s="16" t="s">
        <v>87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62</v>
      </c>
      <c r="C4090" s="9">
        <v>45839</v>
      </c>
      <c r="D4090">
        <v>9</v>
      </c>
      <c r="E4090" s="16" t="s">
        <v>96</v>
      </c>
      <c r="F4090" s="16" t="s">
        <v>87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62</v>
      </c>
      <c r="C4091" s="9">
        <v>45870</v>
      </c>
      <c r="D4091">
        <v>9</v>
      </c>
      <c r="E4091" s="16" t="s">
        <v>96</v>
      </c>
      <c r="F4091" s="16" t="s">
        <v>87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62</v>
      </c>
      <c r="C4092" s="9">
        <v>45901</v>
      </c>
      <c r="D4092">
        <v>9</v>
      </c>
      <c r="E4092" s="16" t="s">
        <v>96</v>
      </c>
      <c r="F4092" s="16" t="s">
        <v>87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62</v>
      </c>
      <c r="C4093" s="9">
        <v>45931</v>
      </c>
      <c r="D4093">
        <v>9</v>
      </c>
      <c r="E4093" s="16" t="s">
        <v>96</v>
      </c>
      <c r="F4093" s="16" t="s">
        <v>87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62</v>
      </c>
      <c r="C4094" s="9">
        <v>45962</v>
      </c>
      <c r="D4094">
        <v>9</v>
      </c>
      <c r="E4094" s="16" t="s">
        <v>96</v>
      </c>
      <c r="F4094" s="16" t="s">
        <v>87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62</v>
      </c>
      <c r="C4095" s="9">
        <v>45992</v>
      </c>
      <c r="D4095">
        <v>9</v>
      </c>
      <c r="E4095" s="16" t="s">
        <v>96</v>
      </c>
      <c r="F4095" s="16" t="s">
        <v>87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62</v>
      </c>
      <c r="C4096" s="9">
        <v>46023</v>
      </c>
      <c r="D4096">
        <v>9</v>
      </c>
      <c r="E4096" s="16" t="s">
        <v>96</v>
      </c>
      <c r="F4096" s="16" t="s">
        <v>87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62</v>
      </c>
      <c r="C4097" s="9">
        <v>46054</v>
      </c>
      <c r="D4097">
        <v>9</v>
      </c>
      <c r="E4097" s="16" t="s">
        <v>96</v>
      </c>
      <c r="F4097" s="16" t="s">
        <v>87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62</v>
      </c>
      <c r="C4098" s="9">
        <v>46082</v>
      </c>
      <c r="D4098">
        <v>9</v>
      </c>
      <c r="E4098" s="16" t="s">
        <v>96</v>
      </c>
      <c r="F4098" s="16" t="s">
        <v>87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62</v>
      </c>
      <c r="C4099" s="9">
        <v>46113</v>
      </c>
      <c r="D4099">
        <v>9</v>
      </c>
      <c r="E4099" s="16" t="s">
        <v>96</v>
      </c>
      <c r="F4099" s="16" t="s">
        <v>87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62</v>
      </c>
      <c r="C4100" s="9">
        <v>46143</v>
      </c>
      <c r="D4100">
        <v>9</v>
      </c>
      <c r="E4100" s="16" t="s">
        <v>96</v>
      </c>
      <c r="F4100" s="16" t="s">
        <v>87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62</v>
      </c>
      <c r="C4101" s="9">
        <v>46174</v>
      </c>
      <c r="D4101">
        <v>9</v>
      </c>
      <c r="E4101" s="16" t="s">
        <v>96</v>
      </c>
      <c r="F4101" s="16" t="s">
        <v>87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62</v>
      </c>
      <c r="C4102" s="9">
        <v>46204</v>
      </c>
      <c r="D4102">
        <v>9</v>
      </c>
      <c r="E4102" s="16" t="s">
        <v>96</v>
      </c>
      <c r="F4102" s="16" t="s">
        <v>87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62</v>
      </c>
      <c r="C4103" s="9">
        <v>46235</v>
      </c>
      <c r="D4103">
        <v>9</v>
      </c>
      <c r="E4103" s="16" t="s">
        <v>96</v>
      </c>
      <c r="F4103" s="16" t="s">
        <v>87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62</v>
      </c>
      <c r="C4104" s="9">
        <v>46266</v>
      </c>
      <c r="D4104">
        <v>9</v>
      </c>
      <c r="E4104" s="16" t="s">
        <v>96</v>
      </c>
      <c r="F4104" s="16" t="s">
        <v>87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62</v>
      </c>
      <c r="C4105" s="9">
        <v>45689</v>
      </c>
      <c r="D4105">
        <v>10</v>
      </c>
      <c r="E4105" s="16" t="s">
        <v>97</v>
      </c>
      <c r="F4105" s="16" t="s">
        <v>85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62</v>
      </c>
      <c r="C4106" s="9">
        <v>45717</v>
      </c>
      <c r="D4106">
        <v>10</v>
      </c>
      <c r="E4106" s="16" t="s">
        <v>97</v>
      </c>
      <c r="F4106" s="16" t="s">
        <v>85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62</v>
      </c>
      <c r="C4107" s="9">
        <v>45748</v>
      </c>
      <c r="D4107">
        <v>10</v>
      </c>
      <c r="E4107" s="16" t="s">
        <v>97</v>
      </c>
      <c r="F4107" s="16" t="s">
        <v>85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62</v>
      </c>
      <c r="C4108" s="9">
        <v>45778</v>
      </c>
      <c r="D4108">
        <v>10</v>
      </c>
      <c r="E4108" s="16" t="s">
        <v>97</v>
      </c>
      <c r="F4108" s="16" t="s">
        <v>85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62</v>
      </c>
      <c r="C4109" s="9">
        <v>45809</v>
      </c>
      <c r="D4109">
        <v>10</v>
      </c>
      <c r="E4109" s="16" t="s">
        <v>97</v>
      </c>
      <c r="F4109" s="16" t="s">
        <v>85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62</v>
      </c>
      <c r="C4110" s="9">
        <v>45839</v>
      </c>
      <c r="D4110">
        <v>10</v>
      </c>
      <c r="E4110" s="16" t="s">
        <v>97</v>
      </c>
      <c r="F4110" s="16" t="s">
        <v>85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62</v>
      </c>
      <c r="C4111" s="9">
        <v>45870</v>
      </c>
      <c r="D4111">
        <v>10</v>
      </c>
      <c r="E4111" s="16" t="s">
        <v>97</v>
      </c>
      <c r="F4111" s="16" t="s">
        <v>85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62</v>
      </c>
      <c r="C4112" s="9">
        <v>45901</v>
      </c>
      <c r="D4112">
        <v>10</v>
      </c>
      <c r="E4112" s="16" t="s">
        <v>97</v>
      </c>
      <c r="F4112" s="16" t="s">
        <v>85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62</v>
      </c>
      <c r="C4113" s="9">
        <v>45931</v>
      </c>
      <c r="D4113">
        <v>10</v>
      </c>
      <c r="E4113" s="16" t="s">
        <v>97</v>
      </c>
      <c r="F4113" s="16" t="s">
        <v>85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62</v>
      </c>
      <c r="C4114" s="9">
        <v>45962</v>
      </c>
      <c r="D4114">
        <v>10</v>
      </c>
      <c r="E4114" s="16" t="s">
        <v>97</v>
      </c>
      <c r="F4114" s="16" t="s">
        <v>85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62</v>
      </c>
      <c r="C4115" s="9">
        <v>45992</v>
      </c>
      <c r="D4115">
        <v>10</v>
      </c>
      <c r="E4115" s="16" t="s">
        <v>97</v>
      </c>
      <c r="F4115" s="16" t="s">
        <v>85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62</v>
      </c>
      <c r="C4116" s="9">
        <v>46023</v>
      </c>
      <c r="D4116">
        <v>10</v>
      </c>
      <c r="E4116" s="16" t="s">
        <v>97</v>
      </c>
      <c r="F4116" s="16" t="s">
        <v>85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62</v>
      </c>
      <c r="C4117" s="9">
        <v>46054</v>
      </c>
      <c r="D4117">
        <v>10</v>
      </c>
      <c r="E4117" s="16" t="s">
        <v>97</v>
      </c>
      <c r="F4117" s="16" t="s">
        <v>85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62</v>
      </c>
      <c r="C4118" s="9">
        <v>46082</v>
      </c>
      <c r="D4118">
        <v>10</v>
      </c>
      <c r="E4118" s="16" t="s">
        <v>97</v>
      </c>
      <c r="F4118" s="16" t="s">
        <v>85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62</v>
      </c>
      <c r="C4119" s="9">
        <v>46113</v>
      </c>
      <c r="D4119">
        <v>10</v>
      </c>
      <c r="E4119" s="16" t="s">
        <v>97</v>
      </c>
      <c r="F4119" s="16" t="s">
        <v>85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62</v>
      </c>
      <c r="C4120" s="9">
        <v>46143</v>
      </c>
      <c r="D4120">
        <v>10</v>
      </c>
      <c r="E4120" s="16" t="s">
        <v>97</v>
      </c>
      <c r="F4120" s="16" t="s">
        <v>85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62</v>
      </c>
      <c r="C4121" s="9">
        <v>46174</v>
      </c>
      <c r="D4121">
        <v>10</v>
      </c>
      <c r="E4121" s="16" t="s">
        <v>97</v>
      </c>
      <c r="F4121" s="16" t="s">
        <v>85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62</v>
      </c>
      <c r="C4122" s="9">
        <v>46204</v>
      </c>
      <c r="D4122">
        <v>10</v>
      </c>
      <c r="E4122" s="16" t="s">
        <v>97</v>
      </c>
      <c r="F4122" s="16" t="s">
        <v>85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62</v>
      </c>
      <c r="C4123" s="9">
        <v>46235</v>
      </c>
      <c r="D4123">
        <v>10</v>
      </c>
      <c r="E4123" s="16" t="s">
        <v>97</v>
      </c>
      <c r="F4123" s="16" t="s">
        <v>85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62</v>
      </c>
      <c r="C4124" s="9">
        <v>46266</v>
      </c>
      <c r="D4124">
        <v>10</v>
      </c>
      <c r="E4124" s="16" t="s">
        <v>97</v>
      </c>
      <c r="F4124" s="16" t="s">
        <v>85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62</v>
      </c>
      <c r="C4125" s="9">
        <v>45689</v>
      </c>
      <c r="D4125">
        <v>13</v>
      </c>
      <c r="E4125" s="16" t="s">
        <v>99</v>
      </c>
      <c r="F4125" s="16" t="s">
        <v>100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62</v>
      </c>
      <c r="C4126" s="9">
        <v>45717</v>
      </c>
      <c r="D4126">
        <v>13</v>
      </c>
      <c r="E4126" s="16" t="s">
        <v>99</v>
      </c>
      <c r="F4126" s="16" t="s">
        <v>100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62</v>
      </c>
      <c r="C4127" s="9">
        <v>45748</v>
      </c>
      <c r="D4127">
        <v>13</v>
      </c>
      <c r="E4127" s="16" t="s">
        <v>99</v>
      </c>
      <c r="F4127" s="16" t="s">
        <v>100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62</v>
      </c>
      <c r="C4128" s="9">
        <v>45778</v>
      </c>
      <c r="D4128">
        <v>13</v>
      </c>
      <c r="E4128" s="16" t="s">
        <v>99</v>
      </c>
      <c r="F4128" s="16" t="s">
        <v>100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62</v>
      </c>
      <c r="C4129" s="9">
        <v>45809</v>
      </c>
      <c r="D4129">
        <v>13</v>
      </c>
      <c r="E4129" s="16" t="s">
        <v>99</v>
      </c>
      <c r="F4129" s="16" t="s">
        <v>100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62</v>
      </c>
      <c r="C4130" s="9">
        <v>45839</v>
      </c>
      <c r="D4130">
        <v>13</v>
      </c>
      <c r="E4130" s="16" t="s">
        <v>99</v>
      </c>
      <c r="F4130" s="16" t="s">
        <v>100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62</v>
      </c>
      <c r="C4131" s="9">
        <v>45870</v>
      </c>
      <c r="D4131">
        <v>13</v>
      </c>
      <c r="E4131" s="16" t="s">
        <v>99</v>
      </c>
      <c r="F4131" s="16" t="s">
        <v>100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62</v>
      </c>
      <c r="C4132" s="9">
        <v>45901</v>
      </c>
      <c r="D4132">
        <v>13</v>
      </c>
      <c r="E4132" s="16" t="s">
        <v>99</v>
      </c>
      <c r="F4132" s="16" t="s">
        <v>100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62</v>
      </c>
      <c r="C4133" s="9">
        <v>45931</v>
      </c>
      <c r="D4133">
        <v>13</v>
      </c>
      <c r="E4133" s="16" t="s">
        <v>99</v>
      </c>
      <c r="F4133" s="16" t="s">
        <v>100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62</v>
      </c>
      <c r="C4134" s="9">
        <v>45962</v>
      </c>
      <c r="D4134">
        <v>13</v>
      </c>
      <c r="E4134" s="16" t="s">
        <v>99</v>
      </c>
      <c r="F4134" s="16" t="s">
        <v>100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62</v>
      </c>
      <c r="C4135" s="9">
        <v>45992</v>
      </c>
      <c r="D4135">
        <v>13</v>
      </c>
      <c r="E4135" s="16" t="s">
        <v>99</v>
      </c>
      <c r="F4135" s="16" t="s">
        <v>100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62</v>
      </c>
      <c r="C4136" s="9">
        <v>46023</v>
      </c>
      <c r="D4136">
        <v>13</v>
      </c>
      <c r="E4136" s="16" t="s">
        <v>99</v>
      </c>
      <c r="F4136" s="16" t="s">
        <v>100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62</v>
      </c>
      <c r="C4137" s="9">
        <v>46054</v>
      </c>
      <c r="D4137">
        <v>13</v>
      </c>
      <c r="E4137" s="16" t="s">
        <v>99</v>
      </c>
      <c r="F4137" s="16" t="s">
        <v>100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62</v>
      </c>
      <c r="C4138" s="9">
        <v>46082</v>
      </c>
      <c r="D4138">
        <v>13</v>
      </c>
      <c r="E4138" s="16" t="s">
        <v>99</v>
      </c>
      <c r="F4138" s="16" t="s">
        <v>100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62</v>
      </c>
      <c r="C4139" s="9">
        <v>46113</v>
      </c>
      <c r="D4139">
        <v>13</v>
      </c>
      <c r="E4139" s="16" t="s">
        <v>99</v>
      </c>
      <c r="F4139" s="16" t="s">
        <v>100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62</v>
      </c>
      <c r="C4140" s="9">
        <v>46143</v>
      </c>
      <c r="D4140">
        <v>13</v>
      </c>
      <c r="E4140" s="16" t="s">
        <v>99</v>
      </c>
      <c r="F4140" s="16" t="s">
        <v>100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62</v>
      </c>
      <c r="C4141" s="9">
        <v>46174</v>
      </c>
      <c r="D4141">
        <v>13</v>
      </c>
      <c r="E4141" s="16" t="s">
        <v>99</v>
      </c>
      <c r="F4141" s="16" t="s">
        <v>100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62</v>
      </c>
      <c r="C4142" s="9">
        <v>46204</v>
      </c>
      <c r="D4142">
        <v>13</v>
      </c>
      <c r="E4142" s="16" t="s">
        <v>99</v>
      </c>
      <c r="F4142" s="16" t="s">
        <v>100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62</v>
      </c>
      <c r="C4143" s="9">
        <v>46235</v>
      </c>
      <c r="D4143">
        <v>13</v>
      </c>
      <c r="E4143" s="16" t="s">
        <v>99</v>
      </c>
      <c r="F4143" s="16" t="s">
        <v>100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62</v>
      </c>
      <c r="C4144" s="9">
        <v>46266</v>
      </c>
      <c r="D4144">
        <v>13</v>
      </c>
      <c r="E4144" s="16" t="s">
        <v>99</v>
      </c>
      <c r="F4144" s="16" t="s">
        <v>100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62</v>
      </c>
      <c r="C4145" s="9">
        <v>45689</v>
      </c>
      <c r="D4145">
        <v>14</v>
      </c>
      <c r="E4145" s="16" t="s">
        <v>101</v>
      </c>
      <c r="F4145" s="16" t="s">
        <v>92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62</v>
      </c>
      <c r="C4146" s="9">
        <v>45717</v>
      </c>
      <c r="D4146">
        <v>14</v>
      </c>
      <c r="E4146" s="16" t="s">
        <v>101</v>
      </c>
      <c r="F4146" s="16" t="s">
        <v>92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62</v>
      </c>
      <c r="C4147" s="9">
        <v>45748</v>
      </c>
      <c r="D4147">
        <v>14</v>
      </c>
      <c r="E4147" s="16" t="s">
        <v>101</v>
      </c>
      <c r="F4147" s="16" t="s">
        <v>92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62</v>
      </c>
      <c r="C4148" s="9">
        <v>45778</v>
      </c>
      <c r="D4148">
        <v>14</v>
      </c>
      <c r="E4148" s="16" t="s">
        <v>101</v>
      </c>
      <c r="F4148" s="16" t="s">
        <v>92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62</v>
      </c>
      <c r="C4149" s="9">
        <v>45809</v>
      </c>
      <c r="D4149">
        <v>14</v>
      </c>
      <c r="E4149" s="16" t="s">
        <v>101</v>
      </c>
      <c r="F4149" s="16" t="s">
        <v>92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62</v>
      </c>
      <c r="C4150" s="9">
        <v>45839</v>
      </c>
      <c r="D4150">
        <v>14</v>
      </c>
      <c r="E4150" s="16" t="s">
        <v>101</v>
      </c>
      <c r="F4150" s="16" t="s">
        <v>92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62</v>
      </c>
      <c r="C4151" s="9">
        <v>45870</v>
      </c>
      <c r="D4151">
        <v>14</v>
      </c>
      <c r="E4151" s="16" t="s">
        <v>101</v>
      </c>
      <c r="F4151" s="16" t="s">
        <v>92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62</v>
      </c>
      <c r="C4152" s="9">
        <v>45901</v>
      </c>
      <c r="D4152">
        <v>14</v>
      </c>
      <c r="E4152" s="16" t="s">
        <v>101</v>
      </c>
      <c r="F4152" s="16" t="s">
        <v>92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62</v>
      </c>
      <c r="C4153" s="9">
        <v>45931</v>
      </c>
      <c r="D4153">
        <v>14</v>
      </c>
      <c r="E4153" s="16" t="s">
        <v>101</v>
      </c>
      <c r="F4153" s="16" t="s">
        <v>92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62</v>
      </c>
      <c r="C4154" s="9">
        <v>45962</v>
      </c>
      <c r="D4154">
        <v>14</v>
      </c>
      <c r="E4154" s="16" t="s">
        <v>101</v>
      </c>
      <c r="F4154" s="16" t="s">
        <v>92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62</v>
      </c>
      <c r="C4155" s="9">
        <v>45992</v>
      </c>
      <c r="D4155">
        <v>14</v>
      </c>
      <c r="E4155" s="16" t="s">
        <v>101</v>
      </c>
      <c r="F4155" s="16" t="s">
        <v>92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62</v>
      </c>
      <c r="C4156" s="9">
        <v>46023</v>
      </c>
      <c r="D4156">
        <v>14</v>
      </c>
      <c r="E4156" s="16" t="s">
        <v>101</v>
      </c>
      <c r="F4156" s="16" t="s">
        <v>92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62</v>
      </c>
      <c r="C4157" s="9">
        <v>46054</v>
      </c>
      <c r="D4157">
        <v>14</v>
      </c>
      <c r="E4157" s="16" t="s">
        <v>101</v>
      </c>
      <c r="F4157" s="16" t="s">
        <v>92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62</v>
      </c>
      <c r="C4158" s="9">
        <v>46082</v>
      </c>
      <c r="D4158">
        <v>14</v>
      </c>
      <c r="E4158" s="16" t="s">
        <v>101</v>
      </c>
      <c r="F4158" s="16" t="s">
        <v>92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62</v>
      </c>
      <c r="C4159" s="9">
        <v>46113</v>
      </c>
      <c r="D4159">
        <v>14</v>
      </c>
      <c r="E4159" s="16" t="s">
        <v>101</v>
      </c>
      <c r="F4159" s="16" t="s">
        <v>92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62</v>
      </c>
      <c r="C4160" s="9">
        <v>46143</v>
      </c>
      <c r="D4160">
        <v>14</v>
      </c>
      <c r="E4160" s="16" t="s">
        <v>101</v>
      </c>
      <c r="F4160" s="16" t="s">
        <v>92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62</v>
      </c>
      <c r="C4161" s="9">
        <v>46174</v>
      </c>
      <c r="D4161">
        <v>14</v>
      </c>
      <c r="E4161" s="16" t="s">
        <v>101</v>
      </c>
      <c r="F4161" s="16" t="s">
        <v>92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62</v>
      </c>
      <c r="C4162" s="9">
        <v>46204</v>
      </c>
      <c r="D4162">
        <v>14</v>
      </c>
      <c r="E4162" s="16" t="s">
        <v>101</v>
      </c>
      <c r="F4162" s="16" t="s">
        <v>92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62</v>
      </c>
      <c r="C4163" s="9">
        <v>46235</v>
      </c>
      <c r="D4163">
        <v>14</v>
      </c>
      <c r="E4163" s="16" t="s">
        <v>101</v>
      </c>
      <c r="F4163" s="16" t="s">
        <v>92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62</v>
      </c>
      <c r="C4164" s="9">
        <v>46266</v>
      </c>
      <c r="D4164">
        <v>14</v>
      </c>
      <c r="E4164" s="16" t="s">
        <v>101</v>
      </c>
      <c r="F4164" s="16" t="s">
        <v>92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62</v>
      </c>
      <c r="C4165" s="9">
        <v>45689</v>
      </c>
      <c r="D4165">
        <v>15</v>
      </c>
      <c r="E4165" s="16" t="s">
        <v>102</v>
      </c>
      <c r="F4165" s="16" t="s">
        <v>94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62</v>
      </c>
      <c r="C4166" s="9">
        <v>45717</v>
      </c>
      <c r="D4166">
        <v>15</v>
      </c>
      <c r="E4166" s="16" t="s">
        <v>102</v>
      </c>
      <c r="F4166" s="16" t="s">
        <v>94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62</v>
      </c>
      <c r="C4167" s="9">
        <v>45748</v>
      </c>
      <c r="D4167">
        <v>15</v>
      </c>
      <c r="E4167" s="16" t="s">
        <v>102</v>
      </c>
      <c r="F4167" s="16" t="s">
        <v>94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62</v>
      </c>
      <c r="C4168" s="9">
        <v>45778</v>
      </c>
      <c r="D4168">
        <v>15</v>
      </c>
      <c r="E4168" s="16" t="s">
        <v>102</v>
      </c>
      <c r="F4168" s="16" t="s">
        <v>94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62</v>
      </c>
      <c r="C4169" s="9">
        <v>45809</v>
      </c>
      <c r="D4169">
        <v>15</v>
      </c>
      <c r="E4169" s="16" t="s">
        <v>102</v>
      </c>
      <c r="F4169" s="16" t="s">
        <v>94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62</v>
      </c>
      <c r="C4170" s="9">
        <v>45839</v>
      </c>
      <c r="D4170">
        <v>15</v>
      </c>
      <c r="E4170" s="16" t="s">
        <v>102</v>
      </c>
      <c r="F4170" s="16" t="s">
        <v>94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62</v>
      </c>
      <c r="C4171" s="9">
        <v>45870</v>
      </c>
      <c r="D4171">
        <v>15</v>
      </c>
      <c r="E4171" s="16" t="s">
        <v>102</v>
      </c>
      <c r="F4171" s="16" t="s">
        <v>94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62</v>
      </c>
      <c r="C4172" s="9">
        <v>45901</v>
      </c>
      <c r="D4172">
        <v>15</v>
      </c>
      <c r="E4172" s="16" t="s">
        <v>102</v>
      </c>
      <c r="F4172" s="16" t="s">
        <v>94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62</v>
      </c>
      <c r="C4173" s="9">
        <v>45931</v>
      </c>
      <c r="D4173">
        <v>15</v>
      </c>
      <c r="E4173" s="16" t="s">
        <v>102</v>
      </c>
      <c r="F4173" s="16" t="s">
        <v>94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62</v>
      </c>
      <c r="C4174" s="9">
        <v>45962</v>
      </c>
      <c r="D4174">
        <v>15</v>
      </c>
      <c r="E4174" s="16" t="s">
        <v>102</v>
      </c>
      <c r="F4174" s="16" t="s">
        <v>94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62</v>
      </c>
      <c r="C4175" s="9">
        <v>45992</v>
      </c>
      <c r="D4175">
        <v>15</v>
      </c>
      <c r="E4175" s="16" t="s">
        <v>102</v>
      </c>
      <c r="F4175" s="16" t="s">
        <v>94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62</v>
      </c>
      <c r="C4176" s="9">
        <v>46023</v>
      </c>
      <c r="D4176">
        <v>15</v>
      </c>
      <c r="E4176" s="16" t="s">
        <v>102</v>
      </c>
      <c r="F4176" s="16" t="s">
        <v>94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62</v>
      </c>
      <c r="C4177" s="9">
        <v>46054</v>
      </c>
      <c r="D4177">
        <v>15</v>
      </c>
      <c r="E4177" s="16" t="s">
        <v>102</v>
      </c>
      <c r="F4177" s="16" t="s">
        <v>94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62</v>
      </c>
      <c r="C4178" s="9">
        <v>46082</v>
      </c>
      <c r="D4178">
        <v>15</v>
      </c>
      <c r="E4178" s="16" t="s">
        <v>102</v>
      </c>
      <c r="F4178" s="16" t="s">
        <v>94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62</v>
      </c>
      <c r="C4179" s="9">
        <v>46113</v>
      </c>
      <c r="D4179">
        <v>15</v>
      </c>
      <c r="E4179" s="16" t="s">
        <v>102</v>
      </c>
      <c r="F4179" s="16" t="s">
        <v>94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62</v>
      </c>
      <c r="C4180" s="9">
        <v>46143</v>
      </c>
      <c r="D4180">
        <v>15</v>
      </c>
      <c r="E4180" s="16" t="s">
        <v>102</v>
      </c>
      <c r="F4180" s="16" t="s">
        <v>94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62</v>
      </c>
      <c r="C4181" s="9">
        <v>46174</v>
      </c>
      <c r="D4181">
        <v>15</v>
      </c>
      <c r="E4181" s="16" t="s">
        <v>102</v>
      </c>
      <c r="F4181" s="16" t="s">
        <v>94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62</v>
      </c>
      <c r="C4182" s="9">
        <v>46204</v>
      </c>
      <c r="D4182">
        <v>15</v>
      </c>
      <c r="E4182" s="16" t="s">
        <v>102</v>
      </c>
      <c r="F4182" s="16" t="s">
        <v>94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62</v>
      </c>
      <c r="C4183" s="9">
        <v>46235</v>
      </c>
      <c r="D4183">
        <v>15</v>
      </c>
      <c r="E4183" s="16" t="s">
        <v>102</v>
      </c>
      <c r="F4183" s="16" t="s">
        <v>94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62</v>
      </c>
      <c r="C4184" s="9">
        <v>46266</v>
      </c>
      <c r="D4184">
        <v>15</v>
      </c>
      <c r="E4184" s="16" t="s">
        <v>102</v>
      </c>
      <c r="F4184" s="16" t="s">
        <v>94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62</v>
      </c>
      <c r="C4185" s="9">
        <v>45689</v>
      </c>
      <c r="D4185">
        <v>16</v>
      </c>
      <c r="E4185" s="16" t="s">
        <v>103</v>
      </c>
      <c r="F4185" s="16" t="s">
        <v>94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62</v>
      </c>
      <c r="C4186" s="9">
        <v>45717</v>
      </c>
      <c r="D4186">
        <v>16</v>
      </c>
      <c r="E4186" s="16" t="s">
        <v>103</v>
      </c>
      <c r="F4186" s="16" t="s">
        <v>94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62</v>
      </c>
      <c r="C4187" s="9">
        <v>45748</v>
      </c>
      <c r="D4187">
        <v>16</v>
      </c>
      <c r="E4187" s="16" t="s">
        <v>103</v>
      </c>
      <c r="F4187" s="16" t="s">
        <v>94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62</v>
      </c>
      <c r="C4188" s="9">
        <v>45778</v>
      </c>
      <c r="D4188">
        <v>16</v>
      </c>
      <c r="E4188" s="16" t="s">
        <v>103</v>
      </c>
      <c r="F4188" s="16" t="s">
        <v>94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62</v>
      </c>
      <c r="C4189" s="9">
        <v>45809</v>
      </c>
      <c r="D4189">
        <v>16</v>
      </c>
      <c r="E4189" s="16" t="s">
        <v>103</v>
      </c>
      <c r="F4189" s="16" t="s">
        <v>94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62</v>
      </c>
      <c r="C4190" s="9">
        <v>45839</v>
      </c>
      <c r="D4190">
        <v>16</v>
      </c>
      <c r="E4190" s="16" t="s">
        <v>103</v>
      </c>
      <c r="F4190" s="16" t="s">
        <v>94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62</v>
      </c>
      <c r="C4191" s="9">
        <v>45870</v>
      </c>
      <c r="D4191">
        <v>16</v>
      </c>
      <c r="E4191" s="16" t="s">
        <v>103</v>
      </c>
      <c r="F4191" s="16" t="s">
        <v>94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62</v>
      </c>
      <c r="C4192" s="9">
        <v>45901</v>
      </c>
      <c r="D4192">
        <v>16</v>
      </c>
      <c r="E4192" s="16" t="s">
        <v>103</v>
      </c>
      <c r="F4192" s="16" t="s">
        <v>94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62</v>
      </c>
      <c r="C4193" s="9">
        <v>45931</v>
      </c>
      <c r="D4193">
        <v>16</v>
      </c>
      <c r="E4193" s="16" t="s">
        <v>103</v>
      </c>
      <c r="F4193" s="16" t="s">
        <v>94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62</v>
      </c>
      <c r="C4194" s="9">
        <v>45962</v>
      </c>
      <c r="D4194">
        <v>16</v>
      </c>
      <c r="E4194" s="16" t="s">
        <v>103</v>
      </c>
      <c r="F4194" s="16" t="s">
        <v>94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62</v>
      </c>
      <c r="C4195" s="9">
        <v>45992</v>
      </c>
      <c r="D4195">
        <v>16</v>
      </c>
      <c r="E4195" s="16" t="s">
        <v>103</v>
      </c>
      <c r="F4195" s="16" t="s">
        <v>94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62</v>
      </c>
      <c r="C4196" s="9">
        <v>46023</v>
      </c>
      <c r="D4196">
        <v>16</v>
      </c>
      <c r="E4196" s="16" t="s">
        <v>103</v>
      </c>
      <c r="F4196" s="16" t="s">
        <v>94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62</v>
      </c>
      <c r="C4197" s="9">
        <v>46054</v>
      </c>
      <c r="D4197">
        <v>16</v>
      </c>
      <c r="E4197" s="16" t="s">
        <v>103</v>
      </c>
      <c r="F4197" s="16" t="s">
        <v>94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62</v>
      </c>
      <c r="C4198" s="9">
        <v>46082</v>
      </c>
      <c r="D4198">
        <v>16</v>
      </c>
      <c r="E4198" s="16" t="s">
        <v>103</v>
      </c>
      <c r="F4198" s="16" t="s">
        <v>94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62</v>
      </c>
      <c r="C4199" s="9">
        <v>46113</v>
      </c>
      <c r="D4199">
        <v>16</v>
      </c>
      <c r="E4199" s="16" t="s">
        <v>103</v>
      </c>
      <c r="F4199" s="16" t="s">
        <v>94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62</v>
      </c>
      <c r="C4200" s="9">
        <v>46143</v>
      </c>
      <c r="D4200">
        <v>16</v>
      </c>
      <c r="E4200" s="16" t="s">
        <v>103</v>
      </c>
      <c r="F4200" s="16" t="s">
        <v>94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62</v>
      </c>
      <c r="C4201" s="9">
        <v>46174</v>
      </c>
      <c r="D4201">
        <v>16</v>
      </c>
      <c r="E4201" s="16" t="s">
        <v>103</v>
      </c>
      <c r="F4201" s="16" t="s">
        <v>94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62</v>
      </c>
      <c r="C4202" s="9">
        <v>46204</v>
      </c>
      <c r="D4202">
        <v>16</v>
      </c>
      <c r="E4202" s="16" t="s">
        <v>103</v>
      </c>
      <c r="F4202" s="16" t="s">
        <v>94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62</v>
      </c>
      <c r="C4203" s="9">
        <v>46235</v>
      </c>
      <c r="D4203">
        <v>16</v>
      </c>
      <c r="E4203" s="16" t="s">
        <v>103</v>
      </c>
      <c r="F4203" s="16" t="s">
        <v>94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62</v>
      </c>
      <c r="C4204" s="9">
        <v>46266</v>
      </c>
      <c r="D4204">
        <v>16</v>
      </c>
      <c r="E4204" s="16" t="s">
        <v>103</v>
      </c>
      <c r="F4204" s="16" t="s">
        <v>94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62</v>
      </c>
      <c r="C4205" s="9">
        <v>45689</v>
      </c>
      <c r="D4205">
        <v>18</v>
      </c>
      <c r="E4205" s="16" t="s">
        <v>106</v>
      </c>
      <c r="F4205" s="16" t="s">
        <v>105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62</v>
      </c>
      <c r="C4206" s="9">
        <v>45717</v>
      </c>
      <c r="D4206">
        <v>18</v>
      </c>
      <c r="E4206" s="16" t="s">
        <v>106</v>
      </c>
      <c r="F4206" s="16" t="s">
        <v>105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62</v>
      </c>
      <c r="C4207" s="9">
        <v>45748</v>
      </c>
      <c r="D4207">
        <v>18</v>
      </c>
      <c r="E4207" s="16" t="s">
        <v>106</v>
      </c>
      <c r="F4207" s="16" t="s">
        <v>105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62</v>
      </c>
      <c r="C4208" s="9">
        <v>45778</v>
      </c>
      <c r="D4208">
        <v>18</v>
      </c>
      <c r="E4208" s="16" t="s">
        <v>106</v>
      </c>
      <c r="F4208" s="16" t="s">
        <v>105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62</v>
      </c>
      <c r="C4209" s="9">
        <v>45809</v>
      </c>
      <c r="D4209">
        <v>18</v>
      </c>
      <c r="E4209" s="16" t="s">
        <v>106</v>
      </c>
      <c r="F4209" s="16" t="s">
        <v>105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62</v>
      </c>
      <c r="C4210" s="9">
        <v>45839</v>
      </c>
      <c r="D4210">
        <v>18</v>
      </c>
      <c r="E4210" s="16" t="s">
        <v>106</v>
      </c>
      <c r="F4210" s="16" t="s">
        <v>105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62</v>
      </c>
      <c r="C4211" s="9">
        <v>45870</v>
      </c>
      <c r="D4211">
        <v>18</v>
      </c>
      <c r="E4211" s="16" t="s">
        <v>106</v>
      </c>
      <c r="F4211" s="16" t="s">
        <v>105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62</v>
      </c>
      <c r="C4212" s="9">
        <v>45901</v>
      </c>
      <c r="D4212">
        <v>18</v>
      </c>
      <c r="E4212" s="16" t="s">
        <v>106</v>
      </c>
      <c r="F4212" s="16" t="s">
        <v>105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62</v>
      </c>
      <c r="C4213" s="9">
        <v>45931</v>
      </c>
      <c r="D4213">
        <v>18</v>
      </c>
      <c r="E4213" s="16" t="s">
        <v>106</v>
      </c>
      <c r="F4213" s="16" t="s">
        <v>105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62</v>
      </c>
      <c r="C4214" s="9">
        <v>45962</v>
      </c>
      <c r="D4214">
        <v>18</v>
      </c>
      <c r="E4214" s="16" t="s">
        <v>106</v>
      </c>
      <c r="F4214" s="16" t="s">
        <v>105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62</v>
      </c>
      <c r="C4215" s="9">
        <v>45992</v>
      </c>
      <c r="D4215">
        <v>18</v>
      </c>
      <c r="E4215" s="16" t="s">
        <v>106</v>
      </c>
      <c r="F4215" s="16" t="s">
        <v>105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62</v>
      </c>
      <c r="C4216" s="9">
        <v>46023</v>
      </c>
      <c r="D4216">
        <v>18</v>
      </c>
      <c r="E4216" s="16" t="s">
        <v>106</v>
      </c>
      <c r="F4216" s="16" t="s">
        <v>105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62</v>
      </c>
      <c r="C4217" s="9">
        <v>46054</v>
      </c>
      <c r="D4217">
        <v>18</v>
      </c>
      <c r="E4217" s="16" t="s">
        <v>106</v>
      </c>
      <c r="F4217" s="16" t="s">
        <v>105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62</v>
      </c>
      <c r="C4218" s="9">
        <v>46082</v>
      </c>
      <c r="D4218">
        <v>18</v>
      </c>
      <c r="E4218" s="16" t="s">
        <v>106</v>
      </c>
      <c r="F4218" s="16" t="s">
        <v>105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62</v>
      </c>
      <c r="C4219" s="9">
        <v>46113</v>
      </c>
      <c r="D4219">
        <v>18</v>
      </c>
      <c r="E4219" s="16" t="s">
        <v>106</v>
      </c>
      <c r="F4219" s="16" t="s">
        <v>105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62</v>
      </c>
      <c r="C4220" s="9">
        <v>46143</v>
      </c>
      <c r="D4220">
        <v>18</v>
      </c>
      <c r="E4220" s="16" t="s">
        <v>106</v>
      </c>
      <c r="F4220" s="16" t="s">
        <v>105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62</v>
      </c>
      <c r="C4221" s="9">
        <v>46174</v>
      </c>
      <c r="D4221">
        <v>18</v>
      </c>
      <c r="E4221" s="16" t="s">
        <v>106</v>
      </c>
      <c r="F4221" s="16" t="s">
        <v>105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62</v>
      </c>
      <c r="C4222" s="9">
        <v>46204</v>
      </c>
      <c r="D4222">
        <v>18</v>
      </c>
      <c r="E4222" s="16" t="s">
        <v>106</v>
      </c>
      <c r="F4222" s="16" t="s">
        <v>105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62</v>
      </c>
      <c r="C4223" s="9">
        <v>46235</v>
      </c>
      <c r="D4223">
        <v>18</v>
      </c>
      <c r="E4223" s="16" t="s">
        <v>106</v>
      </c>
      <c r="F4223" s="16" t="s">
        <v>105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62</v>
      </c>
      <c r="C4224" s="9">
        <v>46266</v>
      </c>
      <c r="D4224">
        <v>18</v>
      </c>
      <c r="E4224" s="16" t="s">
        <v>106</v>
      </c>
      <c r="F4224" s="16" t="s">
        <v>105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62</v>
      </c>
      <c r="C4225" s="9">
        <v>45689</v>
      </c>
      <c r="D4225">
        <v>19</v>
      </c>
      <c r="E4225" s="16" t="s">
        <v>107</v>
      </c>
      <c r="F4225" s="16" t="s">
        <v>108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62</v>
      </c>
      <c r="C4226" s="9">
        <v>45717</v>
      </c>
      <c r="D4226">
        <v>19</v>
      </c>
      <c r="E4226" s="16" t="s">
        <v>107</v>
      </c>
      <c r="F4226" s="16" t="s">
        <v>108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62</v>
      </c>
      <c r="C4227" s="9">
        <v>45748</v>
      </c>
      <c r="D4227">
        <v>19</v>
      </c>
      <c r="E4227" s="16" t="s">
        <v>107</v>
      </c>
      <c r="F4227" s="16" t="s">
        <v>108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62</v>
      </c>
      <c r="C4228" s="9">
        <v>45778</v>
      </c>
      <c r="D4228">
        <v>19</v>
      </c>
      <c r="E4228" s="16" t="s">
        <v>107</v>
      </c>
      <c r="F4228" s="16" t="s">
        <v>108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62</v>
      </c>
      <c r="C4229" s="9">
        <v>45809</v>
      </c>
      <c r="D4229">
        <v>19</v>
      </c>
      <c r="E4229" s="16" t="s">
        <v>107</v>
      </c>
      <c r="F4229" s="16" t="s">
        <v>108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62</v>
      </c>
      <c r="C4230" s="9">
        <v>45839</v>
      </c>
      <c r="D4230">
        <v>19</v>
      </c>
      <c r="E4230" s="16" t="s">
        <v>107</v>
      </c>
      <c r="F4230" s="16" t="s">
        <v>108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62</v>
      </c>
      <c r="C4231" s="9">
        <v>45870</v>
      </c>
      <c r="D4231">
        <v>19</v>
      </c>
      <c r="E4231" s="16" t="s">
        <v>107</v>
      </c>
      <c r="F4231" s="16" t="s">
        <v>108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62</v>
      </c>
      <c r="C4232" s="9">
        <v>45901</v>
      </c>
      <c r="D4232">
        <v>19</v>
      </c>
      <c r="E4232" s="16" t="s">
        <v>107</v>
      </c>
      <c r="F4232" s="16" t="s">
        <v>108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62</v>
      </c>
      <c r="C4233" s="9">
        <v>45931</v>
      </c>
      <c r="D4233">
        <v>19</v>
      </c>
      <c r="E4233" s="16" t="s">
        <v>107</v>
      </c>
      <c r="F4233" s="16" t="s">
        <v>108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62</v>
      </c>
      <c r="C4234" s="9">
        <v>45962</v>
      </c>
      <c r="D4234">
        <v>19</v>
      </c>
      <c r="E4234" s="16" t="s">
        <v>107</v>
      </c>
      <c r="F4234" s="16" t="s">
        <v>108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62</v>
      </c>
      <c r="C4235" s="9">
        <v>45992</v>
      </c>
      <c r="D4235">
        <v>19</v>
      </c>
      <c r="E4235" s="16" t="s">
        <v>107</v>
      </c>
      <c r="F4235" s="16" t="s">
        <v>108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62</v>
      </c>
      <c r="C4236" s="9">
        <v>46023</v>
      </c>
      <c r="D4236">
        <v>19</v>
      </c>
      <c r="E4236" s="16" t="s">
        <v>107</v>
      </c>
      <c r="F4236" s="16" t="s">
        <v>108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62</v>
      </c>
      <c r="C4237" s="9">
        <v>46054</v>
      </c>
      <c r="D4237">
        <v>19</v>
      </c>
      <c r="E4237" s="16" t="s">
        <v>107</v>
      </c>
      <c r="F4237" s="16" t="s">
        <v>108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62</v>
      </c>
      <c r="C4238" s="9">
        <v>46082</v>
      </c>
      <c r="D4238">
        <v>19</v>
      </c>
      <c r="E4238" s="16" t="s">
        <v>107</v>
      </c>
      <c r="F4238" s="16" t="s">
        <v>108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62</v>
      </c>
      <c r="C4239" s="9">
        <v>46113</v>
      </c>
      <c r="D4239">
        <v>19</v>
      </c>
      <c r="E4239" s="16" t="s">
        <v>107</v>
      </c>
      <c r="F4239" s="16" t="s">
        <v>108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62</v>
      </c>
      <c r="C4240" s="9">
        <v>46143</v>
      </c>
      <c r="D4240">
        <v>19</v>
      </c>
      <c r="E4240" s="16" t="s">
        <v>107</v>
      </c>
      <c r="F4240" s="16" t="s">
        <v>108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62</v>
      </c>
      <c r="C4241" s="9">
        <v>46174</v>
      </c>
      <c r="D4241">
        <v>19</v>
      </c>
      <c r="E4241" s="16" t="s">
        <v>107</v>
      </c>
      <c r="F4241" s="16" t="s">
        <v>108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62</v>
      </c>
      <c r="C4242" s="9">
        <v>46204</v>
      </c>
      <c r="D4242">
        <v>19</v>
      </c>
      <c r="E4242" s="16" t="s">
        <v>107</v>
      </c>
      <c r="F4242" s="16" t="s">
        <v>108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62</v>
      </c>
      <c r="C4243" s="9">
        <v>46235</v>
      </c>
      <c r="D4243">
        <v>19</v>
      </c>
      <c r="E4243" s="16" t="s">
        <v>107</v>
      </c>
      <c r="F4243" s="16" t="s">
        <v>108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62</v>
      </c>
      <c r="C4244" s="9">
        <v>46266</v>
      </c>
      <c r="D4244">
        <v>19</v>
      </c>
      <c r="E4244" s="16" t="s">
        <v>107</v>
      </c>
      <c r="F4244" s="16" t="s">
        <v>108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62</v>
      </c>
      <c r="C4245" s="9">
        <v>45717</v>
      </c>
      <c r="D4245">
        <v>20</v>
      </c>
      <c r="E4245" s="16" t="s">
        <v>109</v>
      </c>
      <c r="F4245" s="16" t="s">
        <v>110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62</v>
      </c>
      <c r="C4246" s="9">
        <v>45870</v>
      </c>
      <c r="D4246">
        <v>20</v>
      </c>
      <c r="E4246" s="16" t="s">
        <v>109</v>
      </c>
      <c r="F4246" s="16" t="s">
        <v>110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62</v>
      </c>
      <c r="C4247" s="9">
        <v>45962</v>
      </c>
      <c r="D4247">
        <v>20</v>
      </c>
      <c r="E4247" s="16" t="s">
        <v>109</v>
      </c>
      <c r="F4247" s="16" t="s">
        <v>110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62</v>
      </c>
      <c r="C4248" s="9">
        <v>46054</v>
      </c>
      <c r="D4248">
        <v>20</v>
      </c>
      <c r="E4248" s="16" t="s">
        <v>109</v>
      </c>
      <c r="F4248" s="16" t="s">
        <v>110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62</v>
      </c>
      <c r="C4249" s="9">
        <v>46174</v>
      </c>
      <c r="D4249">
        <v>20</v>
      </c>
      <c r="E4249" s="16" t="s">
        <v>109</v>
      </c>
      <c r="F4249" s="16" t="s">
        <v>110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62</v>
      </c>
      <c r="C4250" s="9">
        <v>45689</v>
      </c>
      <c r="D4250">
        <v>21</v>
      </c>
      <c r="E4250" s="16" t="s">
        <v>111</v>
      </c>
      <c r="F4250" s="16" t="s">
        <v>85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62</v>
      </c>
      <c r="C4251" s="9">
        <v>45717</v>
      </c>
      <c r="D4251">
        <v>21</v>
      </c>
      <c r="E4251" s="16" t="s">
        <v>111</v>
      </c>
      <c r="F4251" s="16" t="s">
        <v>85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62</v>
      </c>
      <c r="C4252" s="9">
        <v>45748</v>
      </c>
      <c r="D4252">
        <v>21</v>
      </c>
      <c r="E4252" s="16" t="s">
        <v>111</v>
      </c>
      <c r="F4252" s="16" t="s">
        <v>85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62</v>
      </c>
      <c r="C4253" s="9">
        <v>45778</v>
      </c>
      <c r="D4253">
        <v>21</v>
      </c>
      <c r="E4253" s="16" t="s">
        <v>111</v>
      </c>
      <c r="F4253" s="16" t="s">
        <v>85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62</v>
      </c>
      <c r="C4254" s="9">
        <v>45809</v>
      </c>
      <c r="D4254">
        <v>21</v>
      </c>
      <c r="E4254" s="16" t="s">
        <v>111</v>
      </c>
      <c r="F4254" s="16" t="s">
        <v>85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62</v>
      </c>
      <c r="C4255" s="9">
        <v>45839</v>
      </c>
      <c r="D4255">
        <v>21</v>
      </c>
      <c r="E4255" s="16" t="s">
        <v>111</v>
      </c>
      <c r="F4255" s="16" t="s">
        <v>85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62</v>
      </c>
      <c r="C4256" s="9">
        <v>45870</v>
      </c>
      <c r="D4256">
        <v>21</v>
      </c>
      <c r="E4256" s="16" t="s">
        <v>111</v>
      </c>
      <c r="F4256" s="16" t="s">
        <v>85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62</v>
      </c>
      <c r="C4257" s="9">
        <v>45901</v>
      </c>
      <c r="D4257">
        <v>21</v>
      </c>
      <c r="E4257" s="16" t="s">
        <v>111</v>
      </c>
      <c r="F4257" s="16" t="s">
        <v>85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62</v>
      </c>
      <c r="C4258" s="9">
        <v>45931</v>
      </c>
      <c r="D4258">
        <v>21</v>
      </c>
      <c r="E4258" s="16" t="s">
        <v>111</v>
      </c>
      <c r="F4258" s="16" t="s">
        <v>85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62</v>
      </c>
      <c r="C4259" s="9">
        <v>45962</v>
      </c>
      <c r="D4259">
        <v>21</v>
      </c>
      <c r="E4259" s="16" t="s">
        <v>111</v>
      </c>
      <c r="F4259" s="16" t="s">
        <v>85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62</v>
      </c>
      <c r="C4260" s="9">
        <v>45992</v>
      </c>
      <c r="D4260">
        <v>21</v>
      </c>
      <c r="E4260" s="16" t="s">
        <v>111</v>
      </c>
      <c r="F4260" s="16" t="s">
        <v>85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62</v>
      </c>
      <c r="C4261" s="9">
        <v>46023</v>
      </c>
      <c r="D4261">
        <v>21</v>
      </c>
      <c r="E4261" s="16" t="s">
        <v>111</v>
      </c>
      <c r="F4261" s="16" t="s">
        <v>85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62</v>
      </c>
      <c r="C4262" s="9">
        <v>46054</v>
      </c>
      <c r="D4262">
        <v>21</v>
      </c>
      <c r="E4262" s="16" t="s">
        <v>111</v>
      </c>
      <c r="F4262" s="16" t="s">
        <v>85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62</v>
      </c>
      <c r="C4263" s="9">
        <v>46082</v>
      </c>
      <c r="D4263">
        <v>21</v>
      </c>
      <c r="E4263" s="16" t="s">
        <v>111</v>
      </c>
      <c r="F4263" s="16" t="s">
        <v>85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62</v>
      </c>
      <c r="C4264" s="9">
        <v>46113</v>
      </c>
      <c r="D4264">
        <v>21</v>
      </c>
      <c r="E4264" s="16" t="s">
        <v>111</v>
      </c>
      <c r="F4264" s="16" t="s">
        <v>85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62</v>
      </c>
      <c r="C4265" s="9">
        <v>46143</v>
      </c>
      <c r="D4265">
        <v>21</v>
      </c>
      <c r="E4265" s="16" t="s">
        <v>111</v>
      </c>
      <c r="F4265" s="16" t="s">
        <v>85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62</v>
      </c>
      <c r="C4266" s="9">
        <v>46174</v>
      </c>
      <c r="D4266">
        <v>21</v>
      </c>
      <c r="E4266" s="16" t="s">
        <v>111</v>
      </c>
      <c r="F4266" s="16" t="s">
        <v>85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62</v>
      </c>
      <c r="C4267" s="9">
        <v>46204</v>
      </c>
      <c r="D4267">
        <v>21</v>
      </c>
      <c r="E4267" s="16" t="s">
        <v>111</v>
      </c>
      <c r="F4267" s="16" t="s">
        <v>85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62</v>
      </c>
      <c r="C4268" s="9">
        <v>46235</v>
      </c>
      <c r="D4268">
        <v>21</v>
      </c>
      <c r="E4268" s="16" t="s">
        <v>111</v>
      </c>
      <c r="F4268" s="16" t="s">
        <v>85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62</v>
      </c>
      <c r="C4269" s="9">
        <v>46266</v>
      </c>
      <c r="D4269">
        <v>21</v>
      </c>
      <c r="E4269" s="16" t="s">
        <v>111</v>
      </c>
      <c r="F4269" s="16" t="s">
        <v>85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62</v>
      </c>
      <c r="C4270" s="9">
        <v>45689</v>
      </c>
      <c r="D4270">
        <v>22</v>
      </c>
      <c r="E4270" s="16" t="s">
        <v>112</v>
      </c>
      <c r="F4270" s="16" t="s">
        <v>92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62</v>
      </c>
      <c r="C4271" s="9">
        <v>45717</v>
      </c>
      <c r="D4271">
        <v>22</v>
      </c>
      <c r="E4271" s="16" t="s">
        <v>112</v>
      </c>
      <c r="F4271" s="16" t="s">
        <v>92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62</v>
      </c>
      <c r="C4272" s="9">
        <v>45748</v>
      </c>
      <c r="D4272">
        <v>22</v>
      </c>
      <c r="E4272" s="16" t="s">
        <v>112</v>
      </c>
      <c r="F4272" s="16" t="s">
        <v>92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62</v>
      </c>
      <c r="C4273" s="9">
        <v>45778</v>
      </c>
      <c r="D4273">
        <v>22</v>
      </c>
      <c r="E4273" s="16" t="s">
        <v>112</v>
      </c>
      <c r="F4273" s="16" t="s">
        <v>92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62</v>
      </c>
      <c r="C4274" s="9">
        <v>45809</v>
      </c>
      <c r="D4274">
        <v>22</v>
      </c>
      <c r="E4274" s="16" t="s">
        <v>112</v>
      </c>
      <c r="F4274" s="16" t="s">
        <v>92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62</v>
      </c>
      <c r="C4275" s="9">
        <v>45839</v>
      </c>
      <c r="D4275">
        <v>22</v>
      </c>
      <c r="E4275" s="16" t="s">
        <v>112</v>
      </c>
      <c r="F4275" s="16" t="s">
        <v>92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62</v>
      </c>
      <c r="C4276" s="9">
        <v>45870</v>
      </c>
      <c r="D4276">
        <v>22</v>
      </c>
      <c r="E4276" s="16" t="s">
        <v>112</v>
      </c>
      <c r="F4276" s="16" t="s">
        <v>92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62</v>
      </c>
      <c r="C4277" s="9">
        <v>45901</v>
      </c>
      <c r="D4277">
        <v>22</v>
      </c>
      <c r="E4277" s="16" t="s">
        <v>112</v>
      </c>
      <c r="F4277" s="16" t="s">
        <v>92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62</v>
      </c>
      <c r="C4278" s="9">
        <v>45931</v>
      </c>
      <c r="D4278">
        <v>22</v>
      </c>
      <c r="E4278" s="16" t="s">
        <v>112</v>
      </c>
      <c r="F4278" s="16" t="s">
        <v>92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62</v>
      </c>
      <c r="C4279" s="9">
        <v>45962</v>
      </c>
      <c r="D4279">
        <v>22</v>
      </c>
      <c r="E4279" s="16" t="s">
        <v>112</v>
      </c>
      <c r="F4279" s="16" t="s">
        <v>92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62</v>
      </c>
      <c r="C4280" s="9">
        <v>45992</v>
      </c>
      <c r="D4280">
        <v>22</v>
      </c>
      <c r="E4280" s="16" t="s">
        <v>112</v>
      </c>
      <c r="F4280" s="16" t="s">
        <v>92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62</v>
      </c>
      <c r="C4281" s="9">
        <v>46023</v>
      </c>
      <c r="D4281">
        <v>22</v>
      </c>
      <c r="E4281" s="16" t="s">
        <v>112</v>
      </c>
      <c r="F4281" s="16" t="s">
        <v>92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62</v>
      </c>
      <c r="C4282" s="9">
        <v>46054</v>
      </c>
      <c r="D4282">
        <v>22</v>
      </c>
      <c r="E4282" s="16" t="s">
        <v>112</v>
      </c>
      <c r="F4282" s="16" t="s">
        <v>92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62</v>
      </c>
      <c r="C4283" s="9">
        <v>46082</v>
      </c>
      <c r="D4283">
        <v>22</v>
      </c>
      <c r="E4283" s="16" t="s">
        <v>112</v>
      </c>
      <c r="F4283" s="16" t="s">
        <v>92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62</v>
      </c>
      <c r="C4284" s="9">
        <v>46113</v>
      </c>
      <c r="D4284">
        <v>22</v>
      </c>
      <c r="E4284" s="16" t="s">
        <v>112</v>
      </c>
      <c r="F4284" s="16" t="s">
        <v>92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62</v>
      </c>
      <c r="C4285" s="9">
        <v>46143</v>
      </c>
      <c r="D4285">
        <v>22</v>
      </c>
      <c r="E4285" s="16" t="s">
        <v>112</v>
      </c>
      <c r="F4285" s="16" t="s">
        <v>92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62</v>
      </c>
      <c r="C4286" s="9">
        <v>46174</v>
      </c>
      <c r="D4286">
        <v>22</v>
      </c>
      <c r="E4286" s="16" t="s">
        <v>112</v>
      </c>
      <c r="F4286" s="16" t="s">
        <v>92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62</v>
      </c>
      <c r="C4287" s="9">
        <v>46204</v>
      </c>
      <c r="D4287">
        <v>22</v>
      </c>
      <c r="E4287" s="16" t="s">
        <v>112</v>
      </c>
      <c r="F4287" s="16" t="s">
        <v>92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62</v>
      </c>
      <c r="C4288" s="9">
        <v>46235</v>
      </c>
      <c r="D4288">
        <v>22</v>
      </c>
      <c r="E4288" s="16" t="s">
        <v>112</v>
      </c>
      <c r="F4288" s="16" t="s">
        <v>92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62</v>
      </c>
      <c r="C4289" s="9">
        <v>46266</v>
      </c>
      <c r="D4289">
        <v>22</v>
      </c>
      <c r="E4289" s="16" t="s">
        <v>112</v>
      </c>
      <c r="F4289" s="16" t="s">
        <v>92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62</v>
      </c>
      <c r="C4290" s="9">
        <v>45689</v>
      </c>
      <c r="D4290">
        <v>24</v>
      </c>
      <c r="E4290" s="16" t="s">
        <v>114</v>
      </c>
      <c r="F4290" s="16" t="s">
        <v>85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62</v>
      </c>
      <c r="C4291" s="9">
        <v>45717</v>
      </c>
      <c r="D4291">
        <v>24</v>
      </c>
      <c r="E4291" s="16" t="s">
        <v>114</v>
      </c>
      <c r="F4291" s="16" t="s">
        <v>85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62</v>
      </c>
      <c r="C4292" s="9">
        <v>45748</v>
      </c>
      <c r="D4292">
        <v>24</v>
      </c>
      <c r="E4292" s="16" t="s">
        <v>114</v>
      </c>
      <c r="F4292" s="16" t="s">
        <v>85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62</v>
      </c>
      <c r="C4293" s="9">
        <v>45778</v>
      </c>
      <c r="D4293">
        <v>24</v>
      </c>
      <c r="E4293" s="16" t="s">
        <v>114</v>
      </c>
      <c r="F4293" s="16" t="s">
        <v>85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62</v>
      </c>
      <c r="C4294" s="9">
        <v>45809</v>
      </c>
      <c r="D4294">
        <v>24</v>
      </c>
      <c r="E4294" s="16" t="s">
        <v>114</v>
      </c>
      <c r="F4294" s="16" t="s">
        <v>85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62</v>
      </c>
      <c r="C4295" s="9">
        <v>45839</v>
      </c>
      <c r="D4295">
        <v>24</v>
      </c>
      <c r="E4295" s="16" t="s">
        <v>114</v>
      </c>
      <c r="F4295" s="16" t="s">
        <v>85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62</v>
      </c>
      <c r="C4296" s="9">
        <v>45870</v>
      </c>
      <c r="D4296">
        <v>24</v>
      </c>
      <c r="E4296" s="16" t="s">
        <v>114</v>
      </c>
      <c r="F4296" s="16" t="s">
        <v>85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62</v>
      </c>
      <c r="C4297" s="9">
        <v>45901</v>
      </c>
      <c r="D4297">
        <v>24</v>
      </c>
      <c r="E4297" s="16" t="s">
        <v>114</v>
      </c>
      <c r="F4297" s="16" t="s">
        <v>85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62</v>
      </c>
      <c r="C4298" s="9">
        <v>45931</v>
      </c>
      <c r="D4298">
        <v>24</v>
      </c>
      <c r="E4298" s="16" t="s">
        <v>114</v>
      </c>
      <c r="F4298" s="16" t="s">
        <v>85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62</v>
      </c>
      <c r="C4299" s="9">
        <v>45962</v>
      </c>
      <c r="D4299">
        <v>24</v>
      </c>
      <c r="E4299" s="16" t="s">
        <v>114</v>
      </c>
      <c r="F4299" s="16" t="s">
        <v>85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62</v>
      </c>
      <c r="C4300" s="9">
        <v>45992</v>
      </c>
      <c r="D4300">
        <v>24</v>
      </c>
      <c r="E4300" s="16" t="s">
        <v>114</v>
      </c>
      <c r="F4300" s="16" t="s">
        <v>85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62</v>
      </c>
      <c r="C4301" s="9">
        <v>46023</v>
      </c>
      <c r="D4301">
        <v>24</v>
      </c>
      <c r="E4301" s="16" t="s">
        <v>114</v>
      </c>
      <c r="F4301" s="16" t="s">
        <v>85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62</v>
      </c>
      <c r="C4302" s="9">
        <v>46054</v>
      </c>
      <c r="D4302">
        <v>24</v>
      </c>
      <c r="E4302" s="16" t="s">
        <v>114</v>
      </c>
      <c r="F4302" s="16" t="s">
        <v>85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62</v>
      </c>
      <c r="C4303" s="9">
        <v>46082</v>
      </c>
      <c r="D4303">
        <v>24</v>
      </c>
      <c r="E4303" s="16" t="s">
        <v>114</v>
      </c>
      <c r="F4303" s="16" t="s">
        <v>85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62</v>
      </c>
      <c r="C4304" s="9">
        <v>46113</v>
      </c>
      <c r="D4304">
        <v>24</v>
      </c>
      <c r="E4304" s="16" t="s">
        <v>114</v>
      </c>
      <c r="F4304" s="16" t="s">
        <v>85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62</v>
      </c>
      <c r="C4305" s="9">
        <v>46143</v>
      </c>
      <c r="D4305">
        <v>24</v>
      </c>
      <c r="E4305" s="16" t="s">
        <v>114</v>
      </c>
      <c r="F4305" s="16" t="s">
        <v>85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62</v>
      </c>
      <c r="C4306" s="9">
        <v>46174</v>
      </c>
      <c r="D4306">
        <v>24</v>
      </c>
      <c r="E4306" s="16" t="s">
        <v>114</v>
      </c>
      <c r="F4306" s="16" t="s">
        <v>85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62</v>
      </c>
      <c r="C4307" s="9">
        <v>46204</v>
      </c>
      <c r="D4307">
        <v>24</v>
      </c>
      <c r="E4307" s="16" t="s">
        <v>114</v>
      </c>
      <c r="F4307" s="16" t="s">
        <v>85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62</v>
      </c>
      <c r="C4308" s="9">
        <v>46235</v>
      </c>
      <c r="D4308">
        <v>24</v>
      </c>
      <c r="E4308" s="16" t="s">
        <v>114</v>
      </c>
      <c r="F4308" s="16" t="s">
        <v>85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62</v>
      </c>
      <c r="C4309" s="9">
        <v>46266</v>
      </c>
      <c r="D4309">
        <v>24</v>
      </c>
      <c r="E4309" s="16" t="s">
        <v>114</v>
      </c>
      <c r="F4309" s="16" t="s">
        <v>85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62</v>
      </c>
      <c r="C4310" s="9">
        <v>45689</v>
      </c>
      <c r="D4310">
        <v>25</v>
      </c>
      <c r="E4310" s="16" t="s">
        <v>115</v>
      </c>
      <c r="F4310" s="16" t="s">
        <v>116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62</v>
      </c>
      <c r="C4311" s="9">
        <v>45717</v>
      </c>
      <c r="D4311">
        <v>25</v>
      </c>
      <c r="E4311" s="16" t="s">
        <v>115</v>
      </c>
      <c r="F4311" s="16" t="s">
        <v>116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62</v>
      </c>
      <c r="C4312" s="9">
        <v>45748</v>
      </c>
      <c r="D4312">
        <v>25</v>
      </c>
      <c r="E4312" s="16" t="s">
        <v>115</v>
      </c>
      <c r="F4312" s="16" t="s">
        <v>116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62</v>
      </c>
      <c r="C4313" s="9">
        <v>45778</v>
      </c>
      <c r="D4313">
        <v>25</v>
      </c>
      <c r="E4313" s="16" t="s">
        <v>115</v>
      </c>
      <c r="F4313" s="16" t="s">
        <v>116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62</v>
      </c>
      <c r="C4314" s="9">
        <v>45809</v>
      </c>
      <c r="D4314">
        <v>25</v>
      </c>
      <c r="E4314" s="16" t="s">
        <v>115</v>
      </c>
      <c r="F4314" s="16" t="s">
        <v>116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62</v>
      </c>
      <c r="C4315" s="9">
        <v>45839</v>
      </c>
      <c r="D4315">
        <v>25</v>
      </c>
      <c r="E4315" s="16" t="s">
        <v>115</v>
      </c>
      <c r="F4315" s="16" t="s">
        <v>116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62</v>
      </c>
      <c r="C4316" s="9">
        <v>45870</v>
      </c>
      <c r="D4316">
        <v>25</v>
      </c>
      <c r="E4316" s="16" t="s">
        <v>115</v>
      </c>
      <c r="F4316" s="16" t="s">
        <v>116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62</v>
      </c>
      <c r="C4317" s="9">
        <v>45901</v>
      </c>
      <c r="D4317">
        <v>25</v>
      </c>
      <c r="E4317" s="16" t="s">
        <v>115</v>
      </c>
      <c r="F4317" s="16" t="s">
        <v>116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62</v>
      </c>
      <c r="C4318" s="9">
        <v>45931</v>
      </c>
      <c r="D4318">
        <v>25</v>
      </c>
      <c r="E4318" s="16" t="s">
        <v>115</v>
      </c>
      <c r="F4318" s="16" t="s">
        <v>116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62</v>
      </c>
      <c r="C4319" s="9">
        <v>45962</v>
      </c>
      <c r="D4319">
        <v>25</v>
      </c>
      <c r="E4319" s="16" t="s">
        <v>115</v>
      </c>
      <c r="F4319" s="16" t="s">
        <v>116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62</v>
      </c>
      <c r="C4320" s="9">
        <v>45992</v>
      </c>
      <c r="D4320">
        <v>25</v>
      </c>
      <c r="E4320" s="16" t="s">
        <v>115</v>
      </c>
      <c r="F4320" s="16" t="s">
        <v>116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62</v>
      </c>
      <c r="C4321" s="9">
        <v>46023</v>
      </c>
      <c r="D4321">
        <v>25</v>
      </c>
      <c r="E4321" s="16" t="s">
        <v>115</v>
      </c>
      <c r="F4321" s="16" t="s">
        <v>116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62</v>
      </c>
      <c r="C4322" s="9">
        <v>46054</v>
      </c>
      <c r="D4322">
        <v>25</v>
      </c>
      <c r="E4322" s="16" t="s">
        <v>115</v>
      </c>
      <c r="F4322" s="16" t="s">
        <v>116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62</v>
      </c>
      <c r="C4323" s="9">
        <v>46082</v>
      </c>
      <c r="D4323">
        <v>25</v>
      </c>
      <c r="E4323" s="16" t="s">
        <v>115</v>
      </c>
      <c r="F4323" s="16" t="s">
        <v>116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62</v>
      </c>
      <c r="C4324" s="9">
        <v>46113</v>
      </c>
      <c r="D4324">
        <v>25</v>
      </c>
      <c r="E4324" s="16" t="s">
        <v>115</v>
      </c>
      <c r="F4324" s="16" t="s">
        <v>116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62</v>
      </c>
      <c r="C4325" s="9">
        <v>46143</v>
      </c>
      <c r="D4325">
        <v>25</v>
      </c>
      <c r="E4325" s="16" t="s">
        <v>115</v>
      </c>
      <c r="F4325" s="16" t="s">
        <v>116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62</v>
      </c>
      <c r="C4326" s="9">
        <v>46174</v>
      </c>
      <c r="D4326">
        <v>25</v>
      </c>
      <c r="E4326" s="16" t="s">
        <v>115</v>
      </c>
      <c r="F4326" s="16" t="s">
        <v>116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62</v>
      </c>
      <c r="C4327" s="9">
        <v>46204</v>
      </c>
      <c r="D4327">
        <v>25</v>
      </c>
      <c r="E4327" s="16" t="s">
        <v>115</v>
      </c>
      <c r="F4327" s="16" t="s">
        <v>116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62</v>
      </c>
      <c r="C4328" s="9">
        <v>46235</v>
      </c>
      <c r="D4328">
        <v>25</v>
      </c>
      <c r="E4328" s="16" t="s">
        <v>115</v>
      </c>
      <c r="F4328" s="16" t="s">
        <v>116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62</v>
      </c>
      <c r="C4329" s="9">
        <v>46266</v>
      </c>
      <c r="D4329">
        <v>25</v>
      </c>
      <c r="E4329" s="16" t="s">
        <v>115</v>
      </c>
      <c r="F4329" s="16" t="s">
        <v>116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62</v>
      </c>
      <c r="C4330" s="9">
        <v>45689</v>
      </c>
      <c r="D4330">
        <v>26</v>
      </c>
      <c r="E4330" s="16" t="s">
        <v>117</v>
      </c>
      <c r="F4330" s="16" t="s">
        <v>92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62</v>
      </c>
      <c r="C4331" s="9">
        <v>45717</v>
      </c>
      <c r="D4331">
        <v>26</v>
      </c>
      <c r="E4331" s="16" t="s">
        <v>117</v>
      </c>
      <c r="F4331" s="16" t="s">
        <v>92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62</v>
      </c>
      <c r="C4332" s="9">
        <v>45748</v>
      </c>
      <c r="D4332">
        <v>26</v>
      </c>
      <c r="E4332" s="16" t="s">
        <v>117</v>
      </c>
      <c r="F4332" s="16" t="s">
        <v>92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62</v>
      </c>
      <c r="C4333" s="9">
        <v>45778</v>
      </c>
      <c r="D4333">
        <v>26</v>
      </c>
      <c r="E4333" s="16" t="s">
        <v>117</v>
      </c>
      <c r="F4333" s="16" t="s">
        <v>92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62</v>
      </c>
      <c r="C4334" s="9">
        <v>45809</v>
      </c>
      <c r="D4334">
        <v>26</v>
      </c>
      <c r="E4334" s="16" t="s">
        <v>117</v>
      </c>
      <c r="F4334" s="16" t="s">
        <v>92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62</v>
      </c>
      <c r="C4335" s="9">
        <v>45839</v>
      </c>
      <c r="D4335">
        <v>26</v>
      </c>
      <c r="E4335" s="16" t="s">
        <v>117</v>
      </c>
      <c r="F4335" s="16" t="s">
        <v>92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62</v>
      </c>
      <c r="C4336" s="9">
        <v>45870</v>
      </c>
      <c r="D4336">
        <v>26</v>
      </c>
      <c r="E4336" s="16" t="s">
        <v>117</v>
      </c>
      <c r="F4336" s="16" t="s">
        <v>92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62</v>
      </c>
      <c r="C4337" s="9">
        <v>45901</v>
      </c>
      <c r="D4337">
        <v>26</v>
      </c>
      <c r="E4337" s="16" t="s">
        <v>117</v>
      </c>
      <c r="F4337" s="16" t="s">
        <v>92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62</v>
      </c>
      <c r="C4338" s="9">
        <v>45931</v>
      </c>
      <c r="D4338">
        <v>26</v>
      </c>
      <c r="E4338" s="16" t="s">
        <v>117</v>
      </c>
      <c r="F4338" s="16" t="s">
        <v>92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62</v>
      </c>
      <c r="C4339" s="9">
        <v>45962</v>
      </c>
      <c r="D4339">
        <v>26</v>
      </c>
      <c r="E4339" s="16" t="s">
        <v>117</v>
      </c>
      <c r="F4339" s="16" t="s">
        <v>92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62</v>
      </c>
      <c r="C4340" s="9">
        <v>45992</v>
      </c>
      <c r="D4340">
        <v>26</v>
      </c>
      <c r="E4340" s="16" t="s">
        <v>117</v>
      </c>
      <c r="F4340" s="16" t="s">
        <v>92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62</v>
      </c>
      <c r="C4341" s="9">
        <v>46023</v>
      </c>
      <c r="D4341">
        <v>26</v>
      </c>
      <c r="E4341" s="16" t="s">
        <v>117</v>
      </c>
      <c r="F4341" s="16" t="s">
        <v>92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62</v>
      </c>
      <c r="C4342" s="9">
        <v>46054</v>
      </c>
      <c r="D4342">
        <v>26</v>
      </c>
      <c r="E4342" s="16" t="s">
        <v>117</v>
      </c>
      <c r="F4342" s="16" t="s">
        <v>92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62</v>
      </c>
      <c r="C4343" s="9">
        <v>46082</v>
      </c>
      <c r="D4343">
        <v>26</v>
      </c>
      <c r="E4343" s="16" t="s">
        <v>117</v>
      </c>
      <c r="F4343" s="16" t="s">
        <v>92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62</v>
      </c>
      <c r="C4344" s="9">
        <v>46113</v>
      </c>
      <c r="D4344">
        <v>26</v>
      </c>
      <c r="E4344" s="16" t="s">
        <v>117</v>
      </c>
      <c r="F4344" s="16" t="s">
        <v>92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62</v>
      </c>
      <c r="C4345" s="9">
        <v>46143</v>
      </c>
      <c r="D4345">
        <v>26</v>
      </c>
      <c r="E4345" s="16" t="s">
        <v>117</v>
      </c>
      <c r="F4345" s="16" t="s">
        <v>92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62</v>
      </c>
      <c r="C4346" s="9">
        <v>46174</v>
      </c>
      <c r="D4346">
        <v>26</v>
      </c>
      <c r="E4346" s="16" t="s">
        <v>117</v>
      </c>
      <c r="F4346" s="16" t="s">
        <v>92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62</v>
      </c>
      <c r="C4347" s="9">
        <v>46204</v>
      </c>
      <c r="D4347">
        <v>26</v>
      </c>
      <c r="E4347" s="16" t="s">
        <v>117</v>
      </c>
      <c r="F4347" s="16" t="s">
        <v>92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62</v>
      </c>
      <c r="C4348" s="9">
        <v>46235</v>
      </c>
      <c r="D4348">
        <v>26</v>
      </c>
      <c r="E4348" s="16" t="s">
        <v>117</v>
      </c>
      <c r="F4348" s="16" t="s">
        <v>92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62</v>
      </c>
      <c r="C4349" s="9">
        <v>46266</v>
      </c>
      <c r="D4349">
        <v>26</v>
      </c>
      <c r="E4349" s="16" t="s">
        <v>117</v>
      </c>
      <c r="F4349" s="16" t="s">
        <v>92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62</v>
      </c>
      <c r="C4350" s="9">
        <v>45689</v>
      </c>
      <c r="D4350">
        <v>27</v>
      </c>
      <c r="E4350" s="16" t="s">
        <v>118</v>
      </c>
      <c r="F4350" s="16" t="s">
        <v>92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62</v>
      </c>
      <c r="C4351" s="9">
        <v>45717</v>
      </c>
      <c r="D4351">
        <v>27</v>
      </c>
      <c r="E4351" s="16" t="s">
        <v>118</v>
      </c>
      <c r="F4351" s="16" t="s">
        <v>92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62</v>
      </c>
      <c r="C4352" s="9">
        <v>45748</v>
      </c>
      <c r="D4352">
        <v>27</v>
      </c>
      <c r="E4352" s="16" t="s">
        <v>118</v>
      </c>
      <c r="F4352" s="16" t="s">
        <v>92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62</v>
      </c>
      <c r="C4353" s="9">
        <v>45778</v>
      </c>
      <c r="D4353">
        <v>27</v>
      </c>
      <c r="E4353" s="16" t="s">
        <v>118</v>
      </c>
      <c r="F4353" s="16" t="s">
        <v>92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62</v>
      </c>
      <c r="C4354" s="9">
        <v>45809</v>
      </c>
      <c r="D4354">
        <v>27</v>
      </c>
      <c r="E4354" s="16" t="s">
        <v>118</v>
      </c>
      <c r="F4354" s="16" t="s">
        <v>92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62</v>
      </c>
      <c r="C4355" s="9">
        <v>45839</v>
      </c>
      <c r="D4355">
        <v>27</v>
      </c>
      <c r="E4355" s="16" t="s">
        <v>118</v>
      </c>
      <c r="F4355" s="16" t="s">
        <v>92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62</v>
      </c>
      <c r="C4356" s="9">
        <v>45870</v>
      </c>
      <c r="D4356">
        <v>27</v>
      </c>
      <c r="E4356" s="16" t="s">
        <v>118</v>
      </c>
      <c r="F4356" s="16" t="s">
        <v>92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62</v>
      </c>
      <c r="C4357" s="9">
        <v>45901</v>
      </c>
      <c r="D4357">
        <v>27</v>
      </c>
      <c r="E4357" s="16" t="s">
        <v>118</v>
      </c>
      <c r="F4357" s="16" t="s">
        <v>92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62</v>
      </c>
      <c r="C4358" s="9">
        <v>45931</v>
      </c>
      <c r="D4358">
        <v>27</v>
      </c>
      <c r="E4358" s="16" t="s">
        <v>118</v>
      </c>
      <c r="F4358" s="16" t="s">
        <v>92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62</v>
      </c>
      <c r="C4359" s="9">
        <v>45962</v>
      </c>
      <c r="D4359">
        <v>27</v>
      </c>
      <c r="E4359" s="16" t="s">
        <v>118</v>
      </c>
      <c r="F4359" s="16" t="s">
        <v>92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62</v>
      </c>
      <c r="C4360" s="9">
        <v>45992</v>
      </c>
      <c r="D4360">
        <v>27</v>
      </c>
      <c r="E4360" s="16" t="s">
        <v>118</v>
      </c>
      <c r="F4360" s="16" t="s">
        <v>92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62</v>
      </c>
      <c r="C4361" s="9">
        <v>46023</v>
      </c>
      <c r="D4361">
        <v>27</v>
      </c>
      <c r="E4361" s="16" t="s">
        <v>118</v>
      </c>
      <c r="F4361" s="16" t="s">
        <v>92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62</v>
      </c>
      <c r="C4362" s="9">
        <v>46054</v>
      </c>
      <c r="D4362">
        <v>27</v>
      </c>
      <c r="E4362" s="16" t="s">
        <v>118</v>
      </c>
      <c r="F4362" s="16" t="s">
        <v>92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62</v>
      </c>
      <c r="C4363" s="9">
        <v>46082</v>
      </c>
      <c r="D4363">
        <v>27</v>
      </c>
      <c r="E4363" s="16" t="s">
        <v>118</v>
      </c>
      <c r="F4363" s="16" t="s">
        <v>92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62</v>
      </c>
      <c r="C4364" s="9">
        <v>46113</v>
      </c>
      <c r="D4364">
        <v>27</v>
      </c>
      <c r="E4364" s="16" t="s">
        <v>118</v>
      </c>
      <c r="F4364" s="16" t="s">
        <v>92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62</v>
      </c>
      <c r="C4365" s="9">
        <v>46143</v>
      </c>
      <c r="D4365">
        <v>27</v>
      </c>
      <c r="E4365" s="16" t="s">
        <v>118</v>
      </c>
      <c r="F4365" s="16" t="s">
        <v>92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62</v>
      </c>
      <c r="C4366" s="9">
        <v>46174</v>
      </c>
      <c r="D4366">
        <v>27</v>
      </c>
      <c r="E4366" s="16" t="s">
        <v>118</v>
      </c>
      <c r="F4366" s="16" t="s">
        <v>92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62</v>
      </c>
      <c r="C4367" s="9">
        <v>46204</v>
      </c>
      <c r="D4367">
        <v>27</v>
      </c>
      <c r="E4367" s="16" t="s">
        <v>118</v>
      </c>
      <c r="F4367" s="16" t="s">
        <v>92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62</v>
      </c>
      <c r="C4368" s="9">
        <v>46235</v>
      </c>
      <c r="D4368">
        <v>27</v>
      </c>
      <c r="E4368" s="16" t="s">
        <v>118</v>
      </c>
      <c r="F4368" s="16" t="s">
        <v>92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62</v>
      </c>
      <c r="C4369" s="9">
        <v>46266</v>
      </c>
      <c r="D4369">
        <v>27</v>
      </c>
      <c r="E4369" s="16" t="s">
        <v>118</v>
      </c>
      <c r="F4369" s="16" t="s">
        <v>92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62</v>
      </c>
      <c r="C4370" s="9">
        <v>45689</v>
      </c>
      <c r="D4370">
        <v>28</v>
      </c>
      <c r="E4370" s="16" t="s">
        <v>119</v>
      </c>
      <c r="F4370" s="16" t="s">
        <v>94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62</v>
      </c>
      <c r="C4371" s="9">
        <v>45717</v>
      </c>
      <c r="D4371">
        <v>28</v>
      </c>
      <c r="E4371" s="16" t="s">
        <v>119</v>
      </c>
      <c r="F4371" s="16" t="s">
        <v>94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62</v>
      </c>
      <c r="C4372" s="9">
        <v>45748</v>
      </c>
      <c r="D4372">
        <v>28</v>
      </c>
      <c r="E4372" s="16" t="s">
        <v>119</v>
      </c>
      <c r="F4372" s="16" t="s">
        <v>94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62</v>
      </c>
      <c r="C4373" s="9">
        <v>45778</v>
      </c>
      <c r="D4373">
        <v>28</v>
      </c>
      <c r="E4373" s="16" t="s">
        <v>119</v>
      </c>
      <c r="F4373" s="16" t="s">
        <v>94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62</v>
      </c>
      <c r="C4374" s="9">
        <v>45809</v>
      </c>
      <c r="D4374">
        <v>28</v>
      </c>
      <c r="E4374" s="16" t="s">
        <v>119</v>
      </c>
      <c r="F4374" s="16" t="s">
        <v>94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62</v>
      </c>
      <c r="C4375" s="9">
        <v>45839</v>
      </c>
      <c r="D4375">
        <v>28</v>
      </c>
      <c r="E4375" s="16" t="s">
        <v>119</v>
      </c>
      <c r="F4375" s="16" t="s">
        <v>94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62</v>
      </c>
      <c r="C4376" s="9">
        <v>45870</v>
      </c>
      <c r="D4376">
        <v>28</v>
      </c>
      <c r="E4376" s="16" t="s">
        <v>119</v>
      </c>
      <c r="F4376" s="16" t="s">
        <v>94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62</v>
      </c>
      <c r="C4377" s="9">
        <v>45901</v>
      </c>
      <c r="D4377">
        <v>28</v>
      </c>
      <c r="E4377" s="16" t="s">
        <v>119</v>
      </c>
      <c r="F4377" s="16" t="s">
        <v>94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62</v>
      </c>
      <c r="C4378" s="9">
        <v>45931</v>
      </c>
      <c r="D4378">
        <v>28</v>
      </c>
      <c r="E4378" s="16" t="s">
        <v>119</v>
      </c>
      <c r="F4378" s="16" t="s">
        <v>94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62</v>
      </c>
      <c r="C4379" s="9">
        <v>45962</v>
      </c>
      <c r="D4379">
        <v>28</v>
      </c>
      <c r="E4379" s="16" t="s">
        <v>119</v>
      </c>
      <c r="F4379" s="16" t="s">
        <v>94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62</v>
      </c>
      <c r="C4380" s="9">
        <v>45992</v>
      </c>
      <c r="D4380">
        <v>28</v>
      </c>
      <c r="E4380" s="16" t="s">
        <v>119</v>
      </c>
      <c r="F4380" s="16" t="s">
        <v>94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62</v>
      </c>
      <c r="C4381" s="9">
        <v>46023</v>
      </c>
      <c r="D4381">
        <v>28</v>
      </c>
      <c r="E4381" s="16" t="s">
        <v>119</v>
      </c>
      <c r="F4381" s="16" t="s">
        <v>94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62</v>
      </c>
      <c r="C4382" s="9">
        <v>46054</v>
      </c>
      <c r="D4382">
        <v>28</v>
      </c>
      <c r="E4382" s="16" t="s">
        <v>119</v>
      </c>
      <c r="F4382" s="16" t="s">
        <v>94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62</v>
      </c>
      <c r="C4383" s="9">
        <v>46082</v>
      </c>
      <c r="D4383">
        <v>28</v>
      </c>
      <c r="E4383" s="16" t="s">
        <v>119</v>
      </c>
      <c r="F4383" s="16" t="s">
        <v>94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62</v>
      </c>
      <c r="C4384" s="9">
        <v>46113</v>
      </c>
      <c r="D4384">
        <v>28</v>
      </c>
      <c r="E4384" s="16" t="s">
        <v>119</v>
      </c>
      <c r="F4384" s="16" t="s">
        <v>94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62</v>
      </c>
      <c r="C4385" s="9">
        <v>46143</v>
      </c>
      <c r="D4385">
        <v>28</v>
      </c>
      <c r="E4385" s="16" t="s">
        <v>119</v>
      </c>
      <c r="F4385" s="16" t="s">
        <v>94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62</v>
      </c>
      <c r="C4386" s="9">
        <v>46174</v>
      </c>
      <c r="D4386">
        <v>28</v>
      </c>
      <c r="E4386" s="16" t="s">
        <v>119</v>
      </c>
      <c r="F4386" s="16" t="s">
        <v>94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62</v>
      </c>
      <c r="C4387" s="9">
        <v>46204</v>
      </c>
      <c r="D4387">
        <v>28</v>
      </c>
      <c r="E4387" s="16" t="s">
        <v>119</v>
      </c>
      <c r="F4387" s="16" t="s">
        <v>94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62</v>
      </c>
      <c r="C4388" s="9">
        <v>46235</v>
      </c>
      <c r="D4388">
        <v>28</v>
      </c>
      <c r="E4388" s="16" t="s">
        <v>119</v>
      </c>
      <c r="F4388" s="16" t="s">
        <v>94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62</v>
      </c>
      <c r="C4389" s="9">
        <v>46266</v>
      </c>
      <c r="D4389">
        <v>28</v>
      </c>
      <c r="E4389" s="16" t="s">
        <v>119</v>
      </c>
      <c r="F4389" s="16" t="s">
        <v>94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62</v>
      </c>
      <c r="C4390" s="9">
        <v>45689</v>
      </c>
      <c r="D4390">
        <v>31</v>
      </c>
      <c r="E4390" s="16" t="s">
        <v>122</v>
      </c>
      <c r="F4390" s="16" t="s">
        <v>94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62</v>
      </c>
      <c r="C4391" s="9">
        <v>45717</v>
      </c>
      <c r="D4391">
        <v>31</v>
      </c>
      <c r="E4391" s="16" t="s">
        <v>122</v>
      </c>
      <c r="F4391" s="16" t="s">
        <v>94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62</v>
      </c>
      <c r="C4392" s="9">
        <v>45748</v>
      </c>
      <c r="D4392">
        <v>31</v>
      </c>
      <c r="E4392" s="16" t="s">
        <v>122</v>
      </c>
      <c r="F4392" s="16" t="s">
        <v>94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62</v>
      </c>
      <c r="C4393" s="9">
        <v>45778</v>
      </c>
      <c r="D4393">
        <v>31</v>
      </c>
      <c r="E4393" s="16" t="s">
        <v>122</v>
      </c>
      <c r="F4393" s="16" t="s">
        <v>94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62</v>
      </c>
      <c r="C4394" s="9">
        <v>45809</v>
      </c>
      <c r="D4394">
        <v>31</v>
      </c>
      <c r="E4394" s="16" t="s">
        <v>122</v>
      </c>
      <c r="F4394" s="16" t="s">
        <v>94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62</v>
      </c>
      <c r="C4395" s="9">
        <v>45839</v>
      </c>
      <c r="D4395">
        <v>31</v>
      </c>
      <c r="E4395" s="16" t="s">
        <v>122</v>
      </c>
      <c r="F4395" s="16" t="s">
        <v>94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62</v>
      </c>
      <c r="C4396" s="9">
        <v>45870</v>
      </c>
      <c r="D4396">
        <v>31</v>
      </c>
      <c r="E4396" s="16" t="s">
        <v>122</v>
      </c>
      <c r="F4396" s="16" t="s">
        <v>94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62</v>
      </c>
      <c r="C4397" s="9">
        <v>45901</v>
      </c>
      <c r="D4397">
        <v>31</v>
      </c>
      <c r="E4397" s="16" t="s">
        <v>122</v>
      </c>
      <c r="F4397" s="16" t="s">
        <v>94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62</v>
      </c>
      <c r="C4398" s="9">
        <v>45931</v>
      </c>
      <c r="D4398">
        <v>31</v>
      </c>
      <c r="E4398" s="16" t="s">
        <v>122</v>
      </c>
      <c r="F4398" s="16" t="s">
        <v>94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62</v>
      </c>
      <c r="C4399" s="9">
        <v>45962</v>
      </c>
      <c r="D4399">
        <v>31</v>
      </c>
      <c r="E4399" s="16" t="s">
        <v>122</v>
      </c>
      <c r="F4399" s="16" t="s">
        <v>94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62</v>
      </c>
      <c r="C4400" s="9">
        <v>45992</v>
      </c>
      <c r="D4400">
        <v>31</v>
      </c>
      <c r="E4400" s="16" t="s">
        <v>122</v>
      </c>
      <c r="F4400" s="16" t="s">
        <v>94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62</v>
      </c>
      <c r="C4401" s="9">
        <v>46023</v>
      </c>
      <c r="D4401">
        <v>31</v>
      </c>
      <c r="E4401" s="16" t="s">
        <v>122</v>
      </c>
      <c r="F4401" s="16" t="s">
        <v>94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62</v>
      </c>
      <c r="C4402" s="9">
        <v>46054</v>
      </c>
      <c r="D4402">
        <v>31</v>
      </c>
      <c r="E4402" s="16" t="s">
        <v>122</v>
      </c>
      <c r="F4402" s="16" t="s">
        <v>94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62</v>
      </c>
      <c r="C4403" s="9">
        <v>46082</v>
      </c>
      <c r="D4403">
        <v>31</v>
      </c>
      <c r="E4403" s="16" t="s">
        <v>122</v>
      </c>
      <c r="F4403" s="16" t="s">
        <v>94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62</v>
      </c>
      <c r="C4404" s="9">
        <v>46113</v>
      </c>
      <c r="D4404">
        <v>31</v>
      </c>
      <c r="E4404" s="16" t="s">
        <v>122</v>
      </c>
      <c r="F4404" s="16" t="s">
        <v>94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62</v>
      </c>
      <c r="C4405" s="9">
        <v>46143</v>
      </c>
      <c r="D4405">
        <v>31</v>
      </c>
      <c r="E4405" s="16" t="s">
        <v>122</v>
      </c>
      <c r="F4405" s="16" t="s">
        <v>94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62</v>
      </c>
      <c r="C4406" s="9">
        <v>46174</v>
      </c>
      <c r="D4406">
        <v>31</v>
      </c>
      <c r="E4406" s="16" t="s">
        <v>122</v>
      </c>
      <c r="F4406" s="16" t="s">
        <v>94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62</v>
      </c>
      <c r="C4407" s="9">
        <v>46204</v>
      </c>
      <c r="D4407">
        <v>31</v>
      </c>
      <c r="E4407" s="16" t="s">
        <v>122</v>
      </c>
      <c r="F4407" s="16" t="s">
        <v>94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62</v>
      </c>
      <c r="C4408" s="9">
        <v>46235</v>
      </c>
      <c r="D4408">
        <v>31</v>
      </c>
      <c r="E4408" s="16" t="s">
        <v>122</v>
      </c>
      <c r="F4408" s="16" t="s">
        <v>94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62</v>
      </c>
      <c r="C4409" s="9">
        <v>46266</v>
      </c>
      <c r="D4409">
        <v>31</v>
      </c>
      <c r="E4409" s="16" t="s">
        <v>122</v>
      </c>
      <c r="F4409" s="16" t="s">
        <v>94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62</v>
      </c>
      <c r="C4410" s="9">
        <v>45689</v>
      </c>
      <c r="D4410">
        <v>32</v>
      </c>
      <c r="E4410" s="16" t="s">
        <v>123</v>
      </c>
      <c r="F4410" s="16" t="s">
        <v>94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62</v>
      </c>
      <c r="C4411" s="9">
        <v>45717</v>
      </c>
      <c r="D4411">
        <v>32</v>
      </c>
      <c r="E4411" s="16" t="s">
        <v>123</v>
      </c>
      <c r="F4411" s="16" t="s">
        <v>94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62</v>
      </c>
      <c r="C4412" s="9">
        <v>45748</v>
      </c>
      <c r="D4412">
        <v>32</v>
      </c>
      <c r="E4412" s="16" t="s">
        <v>123</v>
      </c>
      <c r="F4412" s="16" t="s">
        <v>94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62</v>
      </c>
      <c r="C4413" s="9">
        <v>45778</v>
      </c>
      <c r="D4413">
        <v>32</v>
      </c>
      <c r="E4413" s="16" t="s">
        <v>123</v>
      </c>
      <c r="F4413" s="16" t="s">
        <v>94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62</v>
      </c>
      <c r="C4414" s="9">
        <v>45809</v>
      </c>
      <c r="D4414">
        <v>32</v>
      </c>
      <c r="E4414" s="16" t="s">
        <v>123</v>
      </c>
      <c r="F4414" s="16" t="s">
        <v>94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62</v>
      </c>
      <c r="C4415" s="9">
        <v>45839</v>
      </c>
      <c r="D4415">
        <v>32</v>
      </c>
      <c r="E4415" s="16" t="s">
        <v>123</v>
      </c>
      <c r="F4415" s="16" t="s">
        <v>94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62</v>
      </c>
      <c r="C4416" s="9">
        <v>45870</v>
      </c>
      <c r="D4416">
        <v>32</v>
      </c>
      <c r="E4416" s="16" t="s">
        <v>123</v>
      </c>
      <c r="F4416" s="16" t="s">
        <v>94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62</v>
      </c>
      <c r="C4417" s="9">
        <v>45901</v>
      </c>
      <c r="D4417">
        <v>32</v>
      </c>
      <c r="E4417" s="16" t="s">
        <v>123</v>
      </c>
      <c r="F4417" s="16" t="s">
        <v>94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62</v>
      </c>
      <c r="C4418" s="9">
        <v>45931</v>
      </c>
      <c r="D4418">
        <v>32</v>
      </c>
      <c r="E4418" s="16" t="s">
        <v>123</v>
      </c>
      <c r="F4418" s="16" t="s">
        <v>94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62</v>
      </c>
      <c r="C4419" s="9">
        <v>45962</v>
      </c>
      <c r="D4419">
        <v>32</v>
      </c>
      <c r="E4419" s="16" t="s">
        <v>123</v>
      </c>
      <c r="F4419" s="16" t="s">
        <v>94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62</v>
      </c>
      <c r="C4420" s="9">
        <v>45992</v>
      </c>
      <c r="D4420">
        <v>32</v>
      </c>
      <c r="E4420" s="16" t="s">
        <v>123</v>
      </c>
      <c r="F4420" s="16" t="s">
        <v>94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62</v>
      </c>
      <c r="C4421" s="9">
        <v>46023</v>
      </c>
      <c r="D4421">
        <v>32</v>
      </c>
      <c r="E4421" s="16" t="s">
        <v>123</v>
      </c>
      <c r="F4421" s="16" t="s">
        <v>94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62</v>
      </c>
      <c r="C4422" s="9">
        <v>46054</v>
      </c>
      <c r="D4422">
        <v>32</v>
      </c>
      <c r="E4422" s="16" t="s">
        <v>123</v>
      </c>
      <c r="F4422" s="16" t="s">
        <v>94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62</v>
      </c>
      <c r="C4423" s="9">
        <v>46082</v>
      </c>
      <c r="D4423">
        <v>32</v>
      </c>
      <c r="E4423" s="16" t="s">
        <v>123</v>
      </c>
      <c r="F4423" s="16" t="s">
        <v>94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62</v>
      </c>
      <c r="C4424" s="9">
        <v>46113</v>
      </c>
      <c r="D4424">
        <v>32</v>
      </c>
      <c r="E4424" s="16" t="s">
        <v>123</v>
      </c>
      <c r="F4424" s="16" t="s">
        <v>94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62</v>
      </c>
      <c r="C4425" s="9">
        <v>46143</v>
      </c>
      <c r="D4425">
        <v>32</v>
      </c>
      <c r="E4425" s="16" t="s">
        <v>123</v>
      </c>
      <c r="F4425" s="16" t="s">
        <v>94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62</v>
      </c>
      <c r="C4426" s="9">
        <v>46174</v>
      </c>
      <c r="D4426">
        <v>32</v>
      </c>
      <c r="E4426" s="16" t="s">
        <v>123</v>
      </c>
      <c r="F4426" s="16" t="s">
        <v>94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62</v>
      </c>
      <c r="C4427" s="9">
        <v>46204</v>
      </c>
      <c r="D4427">
        <v>32</v>
      </c>
      <c r="E4427" s="16" t="s">
        <v>123</v>
      </c>
      <c r="F4427" s="16" t="s">
        <v>94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62</v>
      </c>
      <c r="C4428" s="9">
        <v>46235</v>
      </c>
      <c r="D4428">
        <v>32</v>
      </c>
      <c r="E4428" s="16" t="s">
        <v>123</v>
      </c>
      <c r="F4428" s="16" t="s">
        <v>94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62</v>
      </c>
      <c r="C4429" s="9">
        <v>46266</v>
      </c>
      <c r="D4429">
        <v>32</v>
      </c>
      <c r="E4429" s="16" t="s">
        <v>123</v>
      </c>
      <c r="F4429" s="16" t="s">
        <v>94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62</v>
      </c>
      <c r="C4430" s="9">
        <v>45689</v>
      </c>
      <c r="D4430">
        <v>33</v>
      </c>
      <c r="E4430" s="16" t="s">
        <v>124</v>
      </c>
      <c r="F4430" s="16" t="s">
        <v>94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62</v>
      </c>
      <c r="C4431" s="9">
        <v>45717</v>
      </c>
      <c r="D4431">
        <v>33</v>
      </c>
      <c r="E4431" s="16" t="s">
        <v>124</v>
      </c>
      <c r="F4431" s="16" t="s">
        <v>94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62</v>
      </c>
      <c r="C4432" s="9">
        <v>45748</v>
      </c>
      <c r="D4432">
        <v>33</v>
      </c>
      <c r="E4432" s="16" t="s">
        <v>124</v>
      </c>
      <c r="F4432" s="16" t="s">
        <v>94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62</v>
      </c>
      <c r="C4433" s="9">
        <v>45778</v>
      </c>
      <c r="D4433">
        <v>33</v>
      </c>
      <c r="E4433" s="16" t="s">
        <v>124</v>
      </c>
      <c r="F4433" s="16" t="s">
        <v>94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62</v>
      </c>
      <c r="C4434" s="9">
        <v>45809</v>
      </c>
      <c r="D4434">
        <v>33</v>
      </c>
      <c r="E4434" s="16" t="s">
        <v>124</v>
      </c>
      <c r="F4434" s="16" t="s">
        <v>94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62</v>
      </c>
      <c r="C4435" s="9">
        <v>45839</v>
      </c>
      <c r="D4435">
        <v>33</v>
      </c>
      <c r="E4435" s="16" t="s">
        <v>124</v>
      </c>
      <c r="F4435" s="16" t="s">
        <v>94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62</v>
      </c>
      <c r="C4436" s="9">
        <v>45870</v>
      </c>
      <c r="D4436">
        <v>33</v>
      </c>
      <c r="E4436" s="16" t="s">
        <v>124</v>
      </c>
      <c r="F4436" s="16" t="s">
        <v>94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62</v>
      </c>
      <c r="C4437" s="9">
        <v>45901</v>
      </c>
      <c r="D4437">
        <v>33</v>
      </c>
      <c r="E4437" s="16" t="s">
        <v>124</v>
      </c>
      <c r="F4437" s="16" t="s">
        <v>94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62</v>
      </c>
      <c r="C4438" s="9">
        <v>45931</v>
      </c>
      <c r="D4438">
        <v>33</v>
      </c>
      <c r="E4438" s="16" t="s">
        <v>124</v>
      </c>
      <c r="F4438" s="16" t="s">
        <v>94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62</v>
      </c>
      <c r="C4439" s="9">
        <v>45962</v>
      </c>
      <c r="D4439">
        <v>33</v>
      </c>
      <c r="E4439" s="16" t="s">
        <v>124</v>
      </c>
      <c r="F4439" s="16" t="s">
        <v>94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62</v>
      </c>
      <c r="C4440" s="9">
        <v>45992</v>
      </c>
      <c r="D4440">
        <v>33</v>
      </c>
      <c r="E4440" s="16" t="s">
        <v>124</v>
      </c>
      <c r="F4440" s="16" t="s">
        <v>94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62</v>
      </c>
      <c r="C4441" s="9">
        <v>46023</v>
      </c>
      <c r="D4441">
        <v>33</v>
      </c>
      <c r="E4441" s="16" t="s">
        <v>124</v>
      </c>
      <c r="F4441" s="16" t="s">
        <v>94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62</v>
      </c>
      <c r="C4442" s="9">
        <v>46054</v>
      </c>
      <c r="D4442">
        <v>33</v>
      </c>
      <c r="E4442" s="16" t="s">
        <v>124</v>
      </c>
      <c r="F4442" s="16" t="s">
        <v>94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62</v>
      </c>
      <c r="C4443" s="9">
        <v>46082</v>
      </c>
      <c r="D4443">
        <v>33</v>
      </c>
      <c r="E4443" s="16" t="s">
        <v>124</v>
      </c>
      <c r="F4443" s="16" t="s">
        <v>94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62</v>
      </c>
      <c r="C4444" s="9">
        <v>46113</v>
      </c>
      <c r="D4444">
        <v>33</v>
      </c>
      <c r="E4444" s="16" t="s">
        <v>124</v>
      </c>
      <c r="F4444" s="16" t="s">
        <v>94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62</v>
      </c>
      <c r="C4445" s="9">
        <v>46143</v>
      </c>
      <c r="D4445">
        <v>33</v>
      </c>
      <c r="E4445" s="16" t="s">
        <v>124</v>
      </c>
      <c r="F4445" s="16" t="s">
        <v>94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62</v>
      </c>
      <c r="C4446" s="9">
        <v>46174</v>
      </c>
      <c r="D4446">
        <v>33</v>
      </c>
      <c r="E4446" s="16" t="s">
        <v>124</v>
      </c>
      <c r="F4446" s="16" t="s">
        <v>94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62</v>
      </c>
      <c r="C4447" s="9">
        <v>46204</v>
      </c>
      <c r="D4447">
        <v>33</v>
      </c>
      <c r="E4447" s="16" t="s">
        <v>124</v>
      </c>
      <c r="F4447" s="16" t="s">
        <v>94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62</v>
      </c>
      <c r="C4448" s="9">
        <v>46235</v>
      </c>
      <c r="D4448">
        <v>33</v>
      </c>
      <c r="E4448" s="16" t="s">
        <v>124</v>
      </c>
      <c r="F4448" s="16" t="s">
        <v>94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62</v>
      </c>
      <c r="C4449" s="9">
        <v>46266</v>
      </c>
      <c r="D4449">
        <v>33</v>
      </c>
      <c r="E4449" s="16" t="s">
        <v>124</v>
      </c>
      <c r="F4449" s="16" t="s">
        <v>94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62</v>
      </c>
      <c r="C4450" s="9">
        <v>45689</v>
      </c>
      <c r="D4450">
        <v>34</v>
      </c>
      <c r="E4450" s="16" t="s">
        <v>125</v>
      </c>
      <c r="F4450" s="16" t="s">
        <v>116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62</v>
      </c>
      <c r="C4451" s="9">
        <v>45717</v>
      </c>
      <c r="D4451">
        <v>34</v>
      </c>
      <c r="E4451" s="16" t="s">
        <v>125</v>
      </c>
      <c r="F4451" s="16" t="s">
        <v>116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62</v>
      </c>
      <c r="C4452" s="9">
        <v>45748</v>
      </c>
      <c r="D4452">
        <v>34</v>
      </c>
      <c r="E4452" s="16" t="s">
        <v>125</v>
      </c>
      <c r="F4452" s="16" t="s">
        <v>116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62</v>
      </c>
      <c r="C4453" s="9">
        <v>45778</v>
      </c>
      <c r="D4453">
        <v>34</v>
      </c>
      <c r="E4453" s="16" t="s">
        <v>125</v>
      </c>
      <c r="F4453" s="16" t="s">
        <v>116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62</v>
      </c>
      <c r="C4454" s="9">
        <v>45809</v>
      </c>
      <c r="D4454">
        <v>34</v>
      </c>
      <c r="E4454" s="16" t="s">
        <v>125</v>
      </c>
      <c r="F4454" s="16" t="s">
        <v>116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62</v>
      </c>
      <c r="C4455" s="9">
        <v>45839</v>
      </c>
      <c r="D4455">
        <v>34</v>
      </c>
      <c r="E4455" s="16" t="s">
        <v>125</v>
      </c>
      <c r="F4455" s="16" t="s">
        <v>116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62</v>
      </c>
      <c r="C4456" s="9">
        <v>45870</v>
      </c>
      <c r="D4456">
        <v>34</v>
      </c>
      <c r="E4456" s="16" t="s">
        <v>125</v>
      </c>
      <c r="F4456" s="16" t="s">
        <v>116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62</v>
      </c>
      <c r="C4457" s="9">
        <v>45901</v>
      </c>
      <c r="D4457">
        <v>34</v>
      </c>
      <c r="E4457" s="16" t="s">
        <v>125</v>
      </c>
      <c r="F4457" s="16" t="s">
        <v>116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62</v>
      </c>
      <c r="C4458" s="9">
        <v>45931</v>
      </c>
      <c r="D4458">
        <v>34</v>
      </c>
      <c r="E4458" s="16" t="s">
        <v>125</v>
      </c>
      <c r="F4458" s="16" t="s">
        <v>116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62</v>
      </c>
      <c r="C4459" s="9">
        <v>45962</v>
      </c>
      <c r="D4459">
        <v>34</v>
      </c>
      <c r="E4459" s="16" t="s">
        <v>125</v>
      </c>
      <c r="F4459" s="16" t="s">
        <v>116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62</v>
      </c>
      <c r="C4460" s="9">
        <v>45992</v>
      </c>
      <c r="D4460">
        <v>34</v>
      </c>
      <c r="E4460" s="16" t="s">
        <v>125</v>
      </c>
      <c r="F4460" s="16" t="s">
        <v>116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62</v>
      </c>
      <c r="C4461" s="9">
        <v>46023</v>
      </c>
      <c r="D4461">
        <v>34</v>
      </c>
      <c r="E4461" s="16" t="s">
        <v>125</v>
      </c>
      <c r="F4461" s="16" t="s">
        <v>116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62</v>
      </c>
      <c r="C4462" s="9">
        <v>46054</v>
      </c>
      <c r="D4462">
        <v>34</v>
      </c>
      <c r="E4462" s="16" t="s">
        <v>125</v>
      </c>
      <c r="F4462" s="16" t="s">
        <v>116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62</v>
      </c>
      <c r="C4463" s="9">
        <v>46082</v>
      </c>
      <c r="D4463">
        <v>34</v>
      </c>
      <c r="E4463" s="16" t="s">
        <v>125</v>
      </c>
      <c r="F4463" s="16" t="s">
        <v>116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62</v>
      </c>
      <c r="C4464" s="9">
        <v>46113</v>
      </c>
      <c r="D4464">
        <v>34</v>
      </c>
      <c r="E4464" s="16" t="s">
        <v>125</v>
      </c>
      <c r="F4464" s="16" t="s">
        <v>116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62</v>
      </c>
      <c r="C4465" s="9">
        <v>46143</v>
      </c>
      <c r="D4465">
        <v>34</v>
      </c>
      <c r="E4465" s="16" t="s">
        <v>125</v>
      </c>
      <c r="F4465" s="16" t="s">
        <v>116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62</v>
      </c>
      <c r="C4466" s="9">
        <v>46174</v>
      </c>
      <c r="D4466">
        <v>34</v>
      </c>
      <c r="E4466" s="16" t="s">
        <v>125</v>
      </c>
      <c r="F4466" s="16" t="s">
        <v>116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62</v>
      </c>
      <c r="C4467" s="9">
        <v>46204</v>
      </c>
      <c r="D4467">
        <v>34</v>
      </c>
      <c r="E4467" s="16" t="s">
        <v>125</v>
      </c>
      <c r="F4467" s="16" t="s">
        <v>116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62</v>
      </c>
      <c r="C4468" s="9">
        <v>46235</v>
      </c>
      <c r="D4468">
        <v>34</v>
      </c>
      <c r="E4468" s="16" t="s">
        <v>125</v>
      </c>
      <c r="F4468" s="16" t="s">
        <v>116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62</v>
      </c>
      <c r="C4469" s="9">
        <v>46266</v>
      </c>
      <c r="D4469">
        <v>34</v>
      </c>
      <c r="E4469" s="16" t="s">
        <v>125</v>
      </c>
      <c r="F4469" s="16" t="s">
        <v>116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62</v>
      </c>
      <c r="C4470" s="9">
        <v>45717</v>
      </c>
      <c r="D4470">
        <v>35</v>
      </c>
      <c r="E4470" s="16" t="s">
        <v>126</v>
      </c>
      <c r="F4470" s="16" t="s">
        <v>92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62</v>
      </c>
      <c r="C4471" s="9">
        <v>45748</v>
      </c>
      <c r="D4471">
        <v>35</v>
      </c>
      <c r="E4471" s="16" t="s">
        <v>126</v>
      </c>
      <c r="F4471" s="16" t="s">
        <v>92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62</v>
      </c>
      <c r="C4472" s="9">
        <v>45809</v>
      </c>
      <c r="D4472">
        <v>35</v>
      </c>
      <c r="E4472" s="16" t="s">
        <v>126</v>
      </c>
      <c r="F4472" s="16" t="s">
        <v>92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62</v>
      </c>
      <c r="C4473" s="9">
        <v>45839</v>
      </c>
      <c r="D4473">
        <v>35</v>
      </c>
      <c r="E4473" s="16" t="s">
        <v>126</v>
      </c>
      <c r="F4473" s="16" t="s">
        <v>92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62</v>
      </c>
      <c r="C4474" s="9">
        <v>45870</v>
      </c>
      <c r="D4474">
        <v>35</v>
      </c>
      <c r="E4474" s="16" t="s">
        <v>126</v>
      </c>
      <c r="F4474" s="16" t="s">
        <v>92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62</v>
      </c>
      <c r="C4475" s="9">
        <v>45931</v>
      </c>
      <c r="D4475">
        <v>35</v>
      </c>
      <c r="E4475" s="16" t="s">
        <v>126</v>
      </c>
      <c r="F4475" s="16" t="s">
        <v>92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62</v>
      </c>
      <c r="C4476" s="9">
        <v>45962</v>
      </c>
      <c r="D4476">
        <v>35</v>
      </c>
      <c r="E4476" s="16" t="s">
        <v>126</v>
      </c>
      <c r="F4476" s="16" t="s">
        <v>92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62</v>
      </c>
      <c r="C4477" s="9">
        <v>45992</v>
      </c>
      <c r="D4477">
        <v>35</v>
      </c>
      <c r="E4477" s="16" t="s">
        <v>126</v>
      </c>
      <c r="F4477" s="16" t="s">
        <v>92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62</v>
      </c>
      <c r="C4478" s="9">
        <v>46054</v>
      </c>
      <c r="D4478">
        <v>35</v>
      </c>
      <c r="E4478" s="16" t="s">
        <v>126</v>
      </c>
      <c r="F4478" s="16" t="s">
        <v>92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62</v>
      </c>
      <c r="C4479" s="9">
        <v>46113</v>
      </c>
      <c r="D4479">
        <v>35</v>
      </c>
      <c r="E4479" s="16" t="s">
        <v>126</v>
      </c>
      <c r="F4479" s="16" t="s">
        <v>92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62</v>
      </c>
      <c r="C4480" s="9">
        <v>46143</v>
      </c>
      <c r="D4480">
        <v>35</v>
      </c>
      <c r="E4480" s="16" t="s">
        <v>126</v>
      </c>
      <c r="F4480" s="16" t="s">
        <v>92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62</v>
      </c>
      <c r="C4481" s="9">
        <v>46174</v>
      </c>
      <c r="D4481">
        <v>35</v>
      </c>
      <c r="E4481" s="16" t="s">
        <v>126</v>
      </c>
      <c r="F4481" s="16" t="s">
        <v>92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62</v>
      </c>
      <c r="C4482" s="9">
        <v>46204</v>
      </c>
      <c r="D4482">
        <v>35</v>
      </c>
      <c r="E4482" s="16" t="s">
        <v>126</v>
      </c>
      <c r="F4482" s="16" t="s">
        <v>92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62</v>
      </c>
      <c r="C4483" s="9">
        <v>46266</v>
      </c>
      <c r="D4483">
        <v>35</v>
      </c>
      <c r="E4483" s="16" t="s">
        <v>126</v>
      </c>
      <c r="F4483" s="16" t="s">
        <v>92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62</v>
      </c>
      <c r="C4484" s="9">
        <v>45689</v>
      </c>
      <c r="D4484">
        <v>37</v>
      </c>
      <c r="E4484" s="16" t="s">
        <v>128</v>
      </c>
      <c r="F4484" s="16" t="s">
        <v>92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62</v>
      </c>
      <c r="C4485" s="9">
        <v>45717</v>
      </c>
      <c r="D4485">
        <v>37</v>
      </c>
      <c r="E4485" s="16" t="s">
        <v>128</v>
      </c>
      <c r="F4485" s="16" t="s">
        <v>92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62</v>
      </c>
      <c r="C4486" s="9">
        <v>45748</v>
      </c>
      <c r="D4486">
        <v>37</v>
      </c>
      <c r="E4486" s="16" t="s">
        <v>128</v>
      </c>
      <c r="F4486" s="16" t="s">
        <v>92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62</v>
      </c>
      <c r="C4487" s="9">
        <v>45778</v>
      </c>
      <c r="D4487">
        <v>37</v>
      </c>
      <c r="E4487" s="16" t="s">
        <v>128</v>
      </c>
      <c r="F4487" s="16" t="s">
        <v>92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62</v>
      </c>
      <c r="C4488" s="9">
        <v>45809</v>
      </c>
      <c r="D4488">
        <v>37</v>
      </c>
      <c r="E4488" s="16" t="s">
        <v>128</v>
      </c>
      <c r="F4488" s="16" t="s">
        <v>92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62</v>
      </c>
      <c r="C4489" s="9">
        <v>45839</v>
      </c>
      <c r="D4489">
        <v>37</v>
      </c>
      <c r="E4489" s="16" t="s">
        <v>128</v>
      </c>
      <c r="F4489" s="16" t="s">
        <v>92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62</v>
      </c>
      <c r="C4490" s="9">
        <v>45870</v>
      </c>
      <c r="D4490">
        <v>37</v>
      </c>
      <c r="E4490" s="16" t="s">
        <v>128</v>
      </c>
      <c r="F4490" s="16" t="s">
        <v>92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62</v>
      </c>
      <c r="C4491" s="9">
        <v>45901</v>
      </c>
      <c r="D4491">
        <v>37</v>
      </c>
      <c r="E4491" s="16" t="s">
        <v>128</v>
      </c>
      <c r="F4491" s="16" t="s">
        <v>92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62</v>
      </c>
      <c r="C4492" s="9">
        <v>45931</v>
      </c>
      <c r="D4492">
        <v>37</v>
      </c>
      <c r="E4492" s="16" t="s">
        <v>128</v>
      </c>
      <c r="F4492" s="16" t="s">
        <v>92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62</v>
      </c>
      <c r="C4493" s="9">
        <v>45962</v>
      </c>
      <c r="D4493">
        <v>37</v>
      </c>
      <c r="E4493" s="16" t="s">
        <v>128</v>
      </c>
      <c r="F4493" s="16" t="s">
        <v>92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62</v>
      </c>
      <c r="C4494" s="9">
        <v>45992</v>
      </c>
      <c r="D4494">
        <v>37</v>
      </c>
      <c r="E4494" s="16" t="s">
        <v>128</v>
      </c>
      <c r="F4494" s="16" t="s">
        <v>92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62</v>
      </c>
      <c r="C4495" s="9">
        <v>46023</v>
      </c>
      <c r="D4495">
        <v>37</v>
      </c>
      <c r="E4495" s="16" t="s">
        <v>128</v>
      </c>
      <c r="F4495" s="16" t="s">
        <v>92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62</v>
      </c>
      <c r="C4496" s="9">
        <v>46054</v>
      </c>
      <c r="D4496">
        <v>37</v>
      </c>
      <c r="E4496" s="16" t="s">
        <v>128</v>
      </c>
      <c r="F4496" s="16" t="s">
        <v>92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62</v>
      </c>
      <c r="C4497" s="9">
        <v>46082</v>
      </c>
      <c r="D4497">
        <v>37</v>
      </c>
      <c r="E4497" s="16" t="s">
        <v>128</v>
      </c>
      <c r="F4497" s="16" t="s">
        <v>92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62</v>
      </c>
      <c r="C4498" s="9">
        <v>46113</v>
      </c>
      <c r="D4498">
        <v>37</v>
      </c>
      <c r="E4498" s="16" t="s">
        <v>128</v>
      </c>
      <c r="F4498" s="16" t="s">
        <v>92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62</v>
      </c>
      <c r="C4499" s="9">
        <v>46143</v>
      </c>
      <c r="D4499">
        <v>37</v>
      </c>
      <c r="E4499" s="16" t="s">
        <v>128</v>
      </c>
      <c r="F4499" s="16" t="s">
        <v>92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62</v>
      </c>
      <c r="C4500" s="9">
        <v>46174</v>
      </c>
      <c r="D4500">
        <v>37</v>
      </c>
      <c r="E4500" s="16" t="s">
        <v>128</v>
      </c>
      <c r="F4500" s="16" t="s">
        <v>92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62</v>
      </c>
      <c r="C4501" s="9">
        <v>46204</v>
      </c>
      <c r="D4501">
        <v>37</v>
      </c>
      <c r="E4501" s="16" t="s">
        <v>128</v>
      </c>
      <c r="F4501" s="16" t="s">
        <v>92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62</v>
      </c>
      <c r="C4502" s="9">
        <v>46235</v>
      </c>
      <c r="D4502">
        <v>37</v>
      </c>
      <c r="E4502" s="16" t="s">
        <v>128</v>
      </c>
      <c r="F4502" s="16" t="s">
        <v>92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62</v>
      </c>
      <c r="C4503" s="9">
        <v>46266</v>
      </c>
      <c r="D4503">
        <v>37</v>
      </c>
      <c r="E4503" s="16" t="s">
        <v>128</v>
      </c>
      <c r="F4503" s="16" t="s">
        <v>92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62</v>
      </c>
      <c r="C4504" s="9">
        <v>45689</v>
      </c>
      <c r="D4504">
        <v>38</v>
      </c>
      <c r="E4504" s="16" t="s">
        <v>129</v>
      </c>
      <c r="F4504" s="16" t="s">
        <v>85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62</v>
      </c>
      <c r="C4505" s="9">
        <v>45717</v>
      </c>
      <c r="D4505">
        <v>38</v>
      </c>
      <c r="E4505" s="16" t="s">
        <v>129</v>
      </c>
      <c r="F4505" s="16" t="s">
        <v>85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62</v>
      </c>
      <c r="C4506" s="9">
        <v>45748</v>
      </c>
      <c r="D4506">
        <v>38</v>
      </c>
      <c r="E4506" s="16" t="s">
        <v>129</v>
      </c>
      <c r="F4506" s="16" t="s">
        <v>85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62</v>
      </c>
      <c r="C4507" s="9">
        <v>45778</v>
      </c>
      <c r="D4507">
        <v>38</v>
      </c>
      <c r="E4507" s="16" t="s">
        <v>129</v>
      </c>
      <c r="F4507" s="16" t="s">
        <v>85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62</v>
      </c>
      <c r="C4508" s="9">
        <v>45809</v>
      </c>
      <c r="D4508">
        <v>38</v>
      </c>
      <c r="E4508" s="16" t="s">
        <v>129</v>
      </c>
      <c r="F4508" s="16" t="s">
        <v>85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62</v>
      </c>
      <c r="C4509" s="9">
        <v>45839</v>
      </c>
      <c r="D4509">
        <v>38</v>
      </c>
      <c r="E4509" s="16" t="s">
        <v>129</v>
      </c>
      <c r="F4509" s="16" t="s">
        <v>85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62</v>
      </c>
      <c r="C4510" s="9">
        <v>45870</v>
      </c>
      <c r="D4510">
        <v>38</v>
      </c>
      <c r="E4510" s="16" t="s">
        <v>129</v>
      </c>
      <c r="F4510" s="16" t="s">
        <v>85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62</v>
      </c>
      <c r="C4511" s="9">
        <v>45901</v>
      </c>
      <c r="D4511">
        <v>38</v>
      </c>
      <c r="E4511" s="16" t="s">
        <v>129</v>
      </c>
      <c r="F4511" s="16" t="s">
        <v>85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62</v>
      </c>
      <c r="C4512" s="9">
        <v>45931</v>
      </c>
      <c r="D4512">
        <v>38</v>
      </c>
      <c r="E4512" s="16" t="s">
        <v>129</v>
      </c>
      <c r="F4512" s="16" t="s">
        <v>85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62</v>
      </c>
      <c r="C4513" s="9">
        <v>45962</v>
      </c>
      <c r="D4513">
        <v>38</v>
      </c>
      <c r="E4513" s="16" t="s">
        <v>129</v>
      </c>
      <c r="F4513" s="16" t="s">
        <v>85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62</v>
      </c>
      <c r="C4514" s="9">
        <v>45992</v>
      </c>
      <c r="D4514">
        <v>38</v>
      </c>
      <c r="E4514" s="16" t="s">
        <v>129</v>
      </c>
      <c r="F4514" s="16" t="s">
        <v>85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62</v>
      </c>
      <c r="C4515" s="9">
        <v>46023</v>
      </c>
      <c r="D4515">
        <v>38</v>
      </c>
      <c r="E4515" s="16" t="s">
        <v>129</v>
      </c>
      <c r="F4515" s="16" t="s">
        <v>85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62</v>
      </c>
      <c r="C4516" s="9">
        <v>46054</v>
      </c>
      <c r="D4516">
        <v>38</v>
      </c>
      <c r="E4516" s="16" t="s">
        <v>129</v>
      </c>
      <c r="F4516" s="16" t="s">
        <v>85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62</v>
      </c>
      <c r="C4517" s="9">
        <v>46082</v>
      </c>
      <c r="D4517">
        <v>38</v>
      </c>
      <c r="E4517" s="16" t="s">
        <v>129</v>
      </c>
      <c r="F4517" s="16" t="s">
        <v>85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62</v>
      </c>
      <c r="C4518" s="9">
        <v>46113</v>
      </c>
      <c r="D4518">
        <v>38</v>
      </c>
      <c r="E4518" s="16" t="s">
        <v>129</v>
      </c>
      <c r="F4518" s="16" t="s">
        <v>85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62</v>
      </c>
      <c r="C4519" s="9">
        <v>46143</v>
      </c>
      <c r="D4519">
        <v>38</v>
      </c>
      <c r="E4519" s="16" t="s">
        <v>129</v>
      </c>
      <c r="F4519" s="16" t="s">
        <v>85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62</v>
      </c>
      <c r="C4520" s="9">
        <v>46174</v>
      </c>
      <c r="D4520">
        <v>38</v>
      </c>
      <c r="E4520" s="16" t="s">
        <v>129</v>
      </c>
      <c r="F4520" s="16" t="s">
        <v>85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62</v>
      </c>
      <c r="C4521" s="9">
        <v>46204</v>
      </c>
      <c r="D4521">
        <v>38</v>
      </c>
      <c r="E4521" s="16" t="s">
        <v>129</v>
      </c>
      <c r="F4521" s="16" t="s">
        <v>85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62</v>
      </c>
      <c r="C4522" s="9">
        <v>46235</v>
      </c>
      <c r="D4522">
        <v>38</v>
      </c>
      <c r="E4522" s="16" t="s">
        <v>129</v>
      </c>
      <c r="F4522" s="16" t="s">
        <v>85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62</v>
      </c>
      <c r="C4523" s="9">
        <v>46266</v>
      </c>
      <c r="D4523">
        <v>38</v>
      </c>
      <c r="E4523" s="16" t="s">
        <v>129</v>
      </c>
      <c r="F4523" s="16" t="s">
        <v>85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62</v>
      </c>
      <c r="C4524" s="9">
        <v>45689</v>
      </c>
      <c r="D4524">
        <v>39</v>
      </c>
      <c r="E4524" s="16" t="s">
        <v>130</v>
      </c>
      <c r="F4524" s="16" t="s">
        <v>89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62</v>
      </c>
      <c r="C4525" s="9">
        <v>45717</v>
      </c>
      <c r="D4525">
        <v>39</v>
      </c>
      <c r="E4525" s="16" t="s">
        <v>130</v>
      </c>
      <c r="F4525" s="16" t="s">
        <v>89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62</v>
      </c>
      <c r="C4526" s="9">
        <v>45748</v>
      </c>
      <c r="D4526">
        <v>39</v>
      </c>
      <c r="E4526" s="16" t="s">
        <v>130</v>
      </c>
      <c r="F4526" s="16" t="s">
        <v>89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62</v>
      </c>
      <c r="C4527" s="9">
        <v>45778</v>
      </c>
      <c r="D4527">
        <v>39</v>
      </c>
      <c r="E4527" s="16" t="s">
        <v>130</v>
      </c>
      <c r="F4527" s="16" t="s">
        <v>89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62</v>
      </c>
      <c r="C4528" s="9">
        <v>45809</v>
      </c>
      <c r="D4528">
        <v>39</v>
      </c>
      <c r="E4528" s="16" t="s">
        <v>130</v>
      </c>
      <c r="F4528" s="16" t="s">
        <v>89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62</v>
      </c>
      <c r="C4529" s="9">
        <v>45839</v>
      </c>
      <c r="D4529">
        <v>39</v>
      </c>
      <c r="E4529" s="16" t="s">
        <v>130</v>
      </c>
      <c r="F4529" s="16" t="s">
        <v>89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62</v>
      </c>
      <c r="C4530" s="9">
        <v>45870</v>
      </c>
      <c r="D4530">
        <v>39</v>
      </c>
      <c r="E4530" s="16" t="s">
        <v>130</v>
      </c>
      <c r="F4530" s="16" t="s">
        <v>89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62</v>
      </c>
      <c r="C4531" s="9">
        <v>45901</v>
      </c>
      <c r="D4531">
        <v>39</v>
      </c>
      <c r="E4531" s="16" t="s">
        <v>130</v>
      </c>
      <c r="F4531" s="16" t="s">
        <v>89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62</v>
      </c>
      <c r="C4532" s="9">
        <v>45931</v>
      </c>
      <c r="D4532">
        <v>39</v>
      </c>
      <c r="E4532" s="16" t="s">
        <v>130</v>
      </c>
      <c r="F4532" s="16" t="s">
        <v>89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62</v>
      </c>
      <c r="C4533" s="9">
        <v>45962</v>
      </c>
      <c r="D4533">
        <v>39</v>
      </c>
      <c r="E4533" s="16" t="s">
        <v>130</v>
      </c>
      <c r="F4533" s="16" t="s">
        <v>89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62</v>
      </c>
      <c r="C4534" s="9">
        <v>45992</v>
      </c>
      <c r="D4534">
        <v>39</v>
      </c>
      <c r="E4534" s="16" t="s">
        <v>130</v>
      </c>
      <c r="F4534" s="16" t="s">
        <v>89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62</v>
      </c>
      <c r="C4535" s="9">
        <v>46023</v>
      </c>
      <c r="D4535">
        <v>39</v>
      </c>
      <c r="E4535" s="16" t="s">
        <v>130</v>
      </c>
      <c r="F4535" s="16" t="s">
        <v>89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62</v>
      </c>
      <c r="C4536" s="9">
        <v>46054</v>
      </c>
      <c r="D4536">
        <v>39</v>
      </c>
      <c r="E4536" s="16" t="s">
        <v>130</v>
      </c>
      <c r="F4536" s="16" t="s">
        <v>89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62</v>
      </c>
      <c r="C4537" s="9">
        <v>46082</v>
      </c>
      <c r="D4537">
        <v>39</v>
      </c>
      <c r="E4537" s="16" t="s">
        <v>130</v>
      </c>
      <c r="F4537" s="16" t="s">
        <v>89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62</v>
      </c>
      <c r="C4538" s="9">
        <v>46113</v>
      </c>
      <c r="D4538">
        <v>39</v>
      </c>
      <c r="E4538" s="16" t="s">
        <v>130</v>
      </c>
      <c r="F4538" s="16" t="s">
        <v>89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62</v>
      </c>
      <c r="C4539" s="9">
        <v>46143</v>
      </c>
      <c r="D4539">
        <v>39</v>
      </c>
      <c r="E4539" s="16" t="s">
        <v>130</v>
      </c>
      <c r="F4539" s="16" t="s">
        <v>89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62</v>
      </c>
      <c r="C4540" s="9">
        <v>46174</v>
      </c>
      <c r="D4540">
        <v>39</v>
      </c>
      <c r="E4540" s="16" t="s">
        <v>130</v>
      </c>
      <c r="F4540" s="16" t="s">
        <v>89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62</v>
      </c>
      <c r="C4541" s="9">
        <v>46204</v>
      </c>
      <c r="D4541">
        <v>39</v>
      </c>
      <c r="E4541" s="16" t="s">
        <v>130</v>
      </c>
      <c r="F4541" s="16" t="s">
        <v>89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62</v>
      </c>
      <c r="C4542" s="9">
        <v>46235</v>
      </c>
      <c r="D4542">
        <v>39</v>
      </c>
      <c r="E4542" s="16" t="s">
        <v>130</v>
      </c>
      <c r="F4542" s="16" t="s">
        <v>89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62</v>
      </c>
      <c r="C4543" s="9">
        <v>46266</v>
      </c>
      <c r="D4543">
        <v>39</v>
      </c>
      <c r="E4543" s="16" t="s">
        <v>130</v>
      </c>
      <c r="F4543" s="16" t="s">
        <v>89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62</v>
      </c>
      <c r="C4544" s="9">
        <v>45689</v>
      </c>
      <c r="D4544">
        <v>40</v>
      </c>
      <c r="E4544" s="16" t="s">
        <v>131</v>
      </c>
      <c r="F4544" s="16" t="s">
        <v>110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62</v>
      </c>
      <c r="C4545" s="9">
        <v>45748</v>
      </c>
      <c r="D4545">
        <v>40</v>
      </c>
      <c r="E4545" s="16" t="s">
        <v>131</v>
      </c>
      <c r="F4545" s="16" t="s">
        <v>110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62</v>
      </c>
      <c r="C4546" s="9">
        <v>45809</v>
      </c>
      <c r="D4546">
        <v>40</v>
      </c>
      <c r="E4546" s="16" t="s">
        <v>131</v>
      </c>
      <c r="F4546" s="16" t="s">
        <v>110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62</v>
      </c>
      <c r="C4547" s="9">
        <v>45870</v>
      </c>
      <c r="D4547">
        <v>40</v>
      </c>
      <c r="E4547" s="16" t="s">
        <v>131</v>
      </c>
      <c r="F4547" s="16" t="s">
        <v>110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62</v>
      </c>
      <c r="C4548" s="9">
        <v>45931</v>
      </c>
      <c r="D4548">
        <v>40</v>
      </c>
      <c r="E4548" s="16" t="s">
        <v>131</v>
      </c>
      <c r="F4548" s="16" t="s">
        <v>110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62</v>
      </c>
      <c r="C4549" s="9">
        <v>45962</v>
      </c>
      <c r="D4549">
        <v>40</v>
      </c>
      <c r="E4549" s="16" t="s">
        <v>131</v>
      </c>
      <c r="F4549" s="16" t="s">
        <v>110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62</v>
      </c>
      <c r="C4550" s="9">
        <v>45992</v>
      </c>
      <c r="D4550">
        <v>40</v>
      </c>
      <c r="E4550" s="16" t="s">
        <v>131</v>
      </c>
      <c r="F4550" s="16" t="s">
        <v>110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62</v>
      </c>
      <c r="C4551" s="9">
        <v>46023</v>
      </c>
      <c r="D4551">
        <v>40</v>
      </c>
      <c r="E4551" s="16" t="s">
        <v>131</v>
      </c>
      <c r="F4551" s="16" t="s">
        <v>110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62</v>
      </c>
      <c r="C4552" s="9">
        <v>46082</v>
      </c>
      <c r="D4552">
        <v>40</v>
      </c>
      <c r="E4552" s="16" t="s">
        <v>131</v>
      </c>
      <c r="F4552" s="16" t="s">
        <v>110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62</v>
      </c>
      <c r="C4553" s="9">
        <v>46143</v>
      </c>
      <c r="D4553">
        <v>40</v>
      </c>
      <c r="E4553" s="16" t="s">
        <v>131</v>
      </c>
      <c r="F4553" s="16" t="s">
        <v>110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62</v>
      </c>
      <c r="C4554" s="9">
        <v>46204</v>
      </c>
      <c r="D4554">
        <v>40</v>
      </c>
      <c r="E4554" s="16" t="s">
        <v>131</v>
      </c>
      <c r="F4554" s="16" t="s">
        <v>110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62</v>
      </c>
      <c r="C4555" s="9">
        <v>46266</v>
      </c>
      <c r="D4555">
        <v>40</v>
      </c>
      <c r="E4555" s="16" t="s">
        <v>131</v>
      </c>
      <c r="F4555" s="16" t="s">
        <v>110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62</v>
      </c>
      <c r="C4556" s="9">
        <v>45689</v>
      </c>
      <c r="D4556">
        <v>41</v>
      </c>
      <c r="E4556" s="16" t="s">
        <v>132</v>
      </c>
      <c r="F4556" s="16" t="s">
        <v>89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62</v>
      </c>
      <c r="C4557" s="9">
        <v>45717</v>
      </c>
      <c r="D4557">
        <v>41</v>
      </c>
      <c r="E4557" s="16" t="s">
        <v>132</v>
      </c>
      <c r="F4557" s="16" t="s">
        <v>89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62</v>
      </c>
      <c r="C4558" s="9">
        <v>45748</v>
      </c>
      <c r="D4558">
        <v>41</v>
      </c>
      <c r="E4558" s="16" t="s">
        <v>132</v>
      </c>
      <c r="F4558" s="16" t="s">
        <v>89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62</v>
      </c>
      <c r="C4559" s="9">
        <v>45778</v>
      </c>
      <c r="D4559">
        <v>41</v>
      </c>
      <c r="E4559" s="16" t="s">
        <v>132</v>
      </c>
      <c r="F4559" s="16" t="s">
        <v>89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62</v>
      </c>
      <c r="C4560" s="9">
        <v>45809</v>
      </c>
      <c r="D4560">
        <v>41</v>
      </c>
      <c r="E4560" s="16" t="s">
        <v>132</v>
      </c>
      <c r="F4560" s="16" t="s">
        <v>89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62</v>
      </c>
      <c r="C4561" s="9">
        <v>45839</v>
      </c>
      <c r="D4561">
        <v>41</v>
      </c>
      <c r="E4561" s="16" t="s">
        <v>132</v>
      </c>
      <c r="F4561" s="16" t="s">
        <v>89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62</v>
      </c>
      <c r="C4562" s="9">
        <v>45870</v>
      </c>
      <c r="D4562">
        <v>41</v>
      </c>
      <c r="E4562" s="16" t="s">
        <v>132</v>
      </c>
      <c r="F4562" s="16" t="s">
        <v>89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62</v>
      </c>
      <c r="C4563" s="9">
        <v>45901</v>
      </c>
      <c r="D4563">
        <v>41</v>
      </c>
      <c r="E4563" s="16" t="s">
        <v>132</v>
      </c>
      <c r="F4563" s="16" t="s">
        <v>89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62</v>
      </c>
      <c r="C4564" s="9">
        <v>45931</v>
      </c>
      <c r="D4564">
        <v>41</v>
      </c>
      <c r="E4564" s="16" t="s">
        <v>132</v>
      </c>
      <c r="F4564" s="16" t="s">
        <v>89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62</v>
      </c>
      <c r="C4565" s="9">
        <v>45962</v>
      </c>
      <c r="D4565">
        <v>41</v>
      </c>
      <c r="E4565" s="16" t="s">
        <v>132</v>
      </c>
      <c r="F4565" s="16" t="s">
        <v>89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62</v>
      </c>
      <c r="C4566" s="9">
        <v>45992</v>
      </c>
      <c r="D4566">
        <v>41</v>
      </c>
      <c r="E4566" s="16" t="s">
        <v>132</v>
      </c>
      <c r="F4566" s="16" t="s">
        <v>89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62</v>
      </c>
      <c r="C4567" s="9">
        <v>46023</v>
      </c>
      <c r="D4567">
        <v>41</v>
      </c>
      <c r="E4567" s="16" t="s">
        <v>132</v>
      </c>
      <c r="F4567" s="16" t="s">
        <v>89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62</v>
      </c>
      <c r="C4568" s="9">
        <v>46054</v>
      </c>
      <c r="D4568">
        <v>41</v>
      </c>
      <c r="E4568" s="16" t="s">
        <v>132</v>
      </c>
      <c r="F4568" s="16" t="s">
        <v>89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62</v>
      </c>
      <c r="C4569" s="9">
        <v>46082</v>
      </c>
      <c r="D4569">
        <v>41</v>
      </c>
      <c r="E4569" s="16" t="s">
        <v>132</v>
      </c>
      <c r="F4569" s="16" t="s">
        <v>89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62</v>
      </c>
      <c r="C4570" s="9">
        <v>46113</v>
      </c>
      <c r="D4570">
        <v>41</v>
      </c>
      <c r="E4570" s="16" t="s">
        <v>132</v>
      </c>
      <c r="F4570" s="16" t="s">
        <v>89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62</v>
      </c>
      <c r="C4571" s="9">
        <v>46143</v>
      </c>
      <c r="D4571">
        <v>41</v>
      </c>
      <c r="E4571" s="16" t="s">
        <v>132</v>
      </c>
      <c r="F4571" s="16" t="s">
        <v>89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62</v>
      </c>
      <c r="C4572" s="9">
        <v>46174</v>
      </c>
      <c r="D4572">
        <v>41</v>
      </c>
      <c r="E4572" s="16" t="s">
        <v>132</v>
      </c>
      <c r="F4572" s="16" t="s">
        <v>89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62</v>
      </c>
      <c r="C4573" s="9">
        <v>46204</v>
      </c>
      <c r="D4573">
        <v>41</v>
      </c>
      <c r="E4573" s="16" t="s">
        <v>132</v>
      </c>
      <c r="F4573" s="16" t="s">
        <v>89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62</v>
      </c>
      <c r="C4574" s="9">
        <v>46235</v>
      </c>
      <c r="D4574">
        <v>41</v>
      </c>
      <c r="E4574" s="16" t="s">
        <v>132</v>
      </c>
      <c r="F4574" s="16" t="s">
        <v>89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62</v>
      </c>
      <c r="C4575" s="9">
        <v>46266</v>
      </c>
      <c r="D4575">
        <v>41</v>
      </c>
      <c r="E4575" s="16" t="s">
        <v>132</v>
      </c>
      <c r="F4575" s="16" t="s">
        <v>89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62</v>
      </c>
      <c r="C4576" s="9">
        <v>45689</v>
      </c>
      <c r="D4576">
        <v>42</v>
      </c>
      <c r="E4576" s="16" t="s">
        <v>133</v>
      </c>
      <c r="F4576" s="16" t="s">
        <v>85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62</v>
      </c>
      <c r="C4577" s="9">
        <v>45717</v>
      </c>
      <c r="D4577">
        <v>42</v>
      </c>
      <c r="E4577" s="16" t="s">
        <v>133</v>
      </c>
      <c r="F4577" s="16" t="s">
        <v>85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62</v>
      </c>
      <c r="C4578" s="9">
        <v>45748</v>
      </c>
      <c r="D4578">
        <v>42</v>
      </c>
      <c r="E4578" s="16" t="s">
        <v>133</v>
      </c>
      <c r="F4578" s="16" t="s">
        <v>85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62</v>
      </c>
      <c r="C4579" s="9">
        <v>45778</v>
      </c>
      <c r="D4579">
        <v>42</v>
      </c>
      <c r="E4579" s="16" t="s">
        <v>133</v>
      </c>
      <c r="F4579" s="16" t="s">
        <v>85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62</v>
      </c>
      <c r="C4580" s="9">
        <v>45809</v>
      </c>
      <c r="D4580">
        <v>42</v>
      </c>
      <c r="E4580" s="16" t="s">
        <v>133</v>
      </c>
      <c r="F4580" s="16" t="s">
        <v>85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62</v>
      </c>
      <c r="C4581" s="9">
        <v>45839</v>
      </c>
      <c r="D4581">
        <v>42</v>
      </c>
      <c r="E4581" s="16" t="s">
        <v>133</v>
      </c>
      <c r="F4581" s="16" t="s">
        <v>85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62</v>
      </c>
      <c r="C4582" s="9">
        <v>45870</v>
      </c>
      <c r="D4582">
        <v>42</v>
      </c>
      <c r="E4582" s="16" t="s">
        <v>133</v>
      </c>
      <c r="F4582" s="16" t="s">
        <v>85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62</v>
      </c>
      <c r="C4583" s="9">
        <v>45901</v>
      </c>
      <c r="D4583">
        <v>42</v>
      </c>
      <c r="E4583" s="16" t="s">
        <v>133</v>
      </c>
      <c r="F4583" s="16" t="s">
        <v>85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62</v>
      </c>
      <c r="C4584" s="9">
        <v>45931</v>
      </c>
      <c r="D4584">
        <v>42</v>
      </c>
      <c r="E4584" s="16" t="s">
        <v>133</v>
      </c>
      <c r="F4584" s="16" t="s">
        <v>85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62</v>
      </c>
      <c r="C4585" s="9">
        <v>45962</v>
      </c>
      <c r="D4585">
        <v>42</v>
      </c>
      <c r="E4585" s="16" t="s">
        <v>133</v>
      </c>
      <c r="F4585" s="16" t="s">
        <v>85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62</v>
      </c>
      <c r="C4586" s="9">
        <v>45992</v>
      </c>
      <c r="D4586">
        <v>42</v>
      </c>
      <c r="E4586" s="16" t="s">
        <v>133</v>
      </c>
      <c r="F4586" s="16" t="s">
        <v>85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62</v>
      </c>
      <c r="C4587" s="9">
        <v>46023</v>
      </c>
      <c r="D4587">
        <v>42</v>
      </c>
      <c r="E4587" s="16" t="s">
        <v>133</v>
      </c>
      <c r="F4587" s="16" t="s">
        <v>85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62</v>
      </c>
      <c r="C4588" s="9">
        <v>46054</v>
      </c>
      <c r="D4588">
        <v>42</v>
      </c>
      <c r="E4588" s="16" t="s">
        <v>133</v>
      </c>
      <c r="F4588" s="16" t="s">
        <v>85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62</v>
      </c>
      <c r="C4589" s="9">
        <v>46082</v>
      </c>
      <c r="D4589">
        <v>42</v>
      </c>
      <c r="E4589" s="16" t="s">
        <v>133</v>
      </c>
      <c r="F4589" s="16" t="s">
        <v>85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62</v>
      </c>
      <c r="C4590" s="9">
        <v>46113</v>
      </c>
      <c r="D4590">
        <v>42</v>
      </c>
      <c r="E4590" s="16" t="s">
        <v>133</v>
      </c>
      <c r="F4590" s="16" t="s">
        <v>85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62</v>
      </c>
      <c r="C4591" s="9">
        <v>46143</v>
      </c>
      <c r="D4591">
        <v>42</v>
      </c>
      <c r="E4591" s="16" t="s">
        <v>133</v>
      </c>
      <c r="F4591" s="16" t="s">
        <v>85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62</v>
      </c>
      <c r="C4592" s="9">
        <v>46174</v>
      </c>
      <c r="D4592">
        <v>42</v>
      </c>
      <c r="E4592" s="16" t="s">
        <v>133</v>
      </c>
      <c r="F4592" s="16" t="s">
        <v>85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62</v>
      </c>
      <c r="C4593" s="9">
        <v>46204</v>
      </c>
      <c r="D4593">
        <v>42</v>
      </c>
      <c r="E4593" s="16" t="s">
        <v>133</v>
      </c>
      <c r="F4593" s="16" t="s">
        <v>85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62</v>
      </c>
      <c r="C4594" s="9">
        <v>46235</v>
      </c>
      <c r="D4594">
        <v>42</v>
      </c>
      <c r="E4594" s="16" t="s">
        <v>133</v>
      </c>
      <c r="F4594" s="16" t="s">
        <v>85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62</v>
      </c>
      <c r="C4595" s="9">
        <v>46266</v>
      </c>
      <c r="D4595">
        <v>42</v>
      </c>
      <c r="E4595" s="16" t="s">
        <v>133</v>
      </c>
      <c r="F4595" s="16" t="s">
        <v>85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62</v>
      </c>
      <c r="C4596" s="9">
        <v>45717</v>
      </c>
      <c r="D4596">
        <v>43</v>
      </c>
      <c r="E4596" s="16" t="s">
        <v>134</v>
      </c>
      <c r="F4596" s="16" t="s">
        <v>92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62</v>
      </c>
      <c r="C4597" s="9">
        <v>45748</v>
      </c>
      <c r="D4597">
        <v>43</v>
      </c>
      <c r="E4597" s="16" t="s">
        <v>134</v>
      </c>
      <c r="F4597" s="16" t="s">
        <v>92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62</v>
      </c>
      <c r="C4598" s="9">
        <v>45778</v>
      </c>
      <c r="D4598">
        <v>43</v>
      </c>
      <c r="E4598" s="16" t="s">
        <v>134</v>
      </c>
      <c r="F4598" s="16" t="s">
        <v>92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62</v>
      </c>
      <c r="C4599" s="9">
        <v>45839</v>
      </c>
      <c r="D4599">
        <v>43</v>
      </c>
      <c r="E4599" s="16" t="s">
        <v>134</v>
      </c>
      <c r="F4599" s="16" t="s">
        <v>92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62</v>
      </c>
      <c r="C4600" s="9">
        <v>45870</v>
      </c>
      <c r="D4600">
        <v>43</v>
      </c>
      <c r="E4600" s="16" t="s">
        <v>134</v>
      </c>
      <c r="F4600" s="16" t="s">
        <v>92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62</v>
      </c>
      <c r="C4601" s="9">
        <v>45931</v>
      </c>
      <c r="D4601">
        <v>43</v>
      </c>
      <c r="E4601" s="16" t="s">
        <v>134</v>
      </c>
      <c r="F4601" s="16" t="s">
        <v>92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62</v>
      </c>
      <c r="C4602" s="9">
        <v>45962</v>
      </c>
      <c r="D4602">
        <v>43</v>
      </c>
      <c r="E4602" s="16" t="s">
        <v>134</v>
      </c>
      <c r="F4602" s="16" t="s">
        <v>92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62</v>
      </c>
      <c r="C4603" s="9">
        <v>46023</v>
      </c>
      <c r="D4603">
        <v>43</v>
      </c>
      <c r="E4603" s="16" t="s">
        <v>134</v>
      </c>
      <c r="F4603" s="16" t="s">
        <v>92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62</v>
      </c>
      <c r="C4604" s="9">
        <v>46054</v>
      </c>
      <c r="D4604">
        <v>43</v>
      </c>
      <c r="E4604" s="16" t="s">
        <v>134</v>
      </c>
      <c r="F4604" s="16" t="s">
        <v>92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62</v>
      </c>
      <c r="C4605" s="9">
        <v>46113</v>
      </c>
      <c r="D4605">
        <v>43</v>
      </c>
      <c r="E4605" s="16" t="s">
        <v>134</v>
      </c>
      <c r="F4605" s="16" t="s">
        <v>92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62</v>
      </c>
      <c r="C4606" s="9">
        <v>46174</v>
      </c>
      <c r="D4606">
        <v>43</v>
      </c>
      <c r="E4606" s="16" t="s">
        <v>134</v>
      </c>
      <c r="F4606" s="16" t="s">
        <v>92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62</v>
      </c>
      <c r="C4607" s="9">
        <v>46235</v>
      </c>
      <c r="D4607">
        <v>43</v>
      </c>
      <c r="E4607" s="16" t="s">
        <v>134</v>
      </c>
      <c r="F4607" s="16" t="s">
        <v>92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62</v>
      </c>
      <c r="C4608" s="9">
        <v>45689</v>
      </c>
      <c r="D4608">
        <v>44</v>
      </c>
      <c r="E4608" s="16" t="s">
        <v>135</v>
      </c>
      <c r="F4608" s="16" t="s">
        <v>92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62</v>
      </c>
      <c r="C4609" s="9">
        <v>45717</v>
      </c>
      <c r="D4609">
        <v>44</v>
      </c>
      <c r="E4609" s="16" t="s">
        <v>135</v>
      </c>
      <c r="F4609" s="16" t="s">
        <v>92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62</v>
      </c>
      <c r="C4610" s="9">
        <v>45748</v>
      </c>
      <c r="D4610">
        <v>44</v>
      </c>
      <c r="E4610" s="16" t="s">
        <v>135</v>
      </c>
      <c r="F4610" s="16" t="s">
        <v>92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62</v>
      </c>
      <c r="C4611" s="9">
        <v>45778</v>
      </c>
      <c r="D4611">
        <v>44</v>
      </c>
      <c r="E4611" s="16" t="s">
        <v>135</v>
      </c>
      <c r="F4611" s="16" t="s">
        <v>92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62</v>
      </c>
      <c r="C4612" s="9">
        <v>45809</v>
      </c>
      <c r="D4612">
        <v>44</v>
      </c>
      <c r="E4612" s="16" t="s">
        <v>135</v>
      </c>
      <c r="F4612" s="16" t="s">
        <v>92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62</v>
      </c>
      <c r="C4613" s="9">
        <v>45839</v>
      </c>
      <c r="D4613">
        <v>44</v>
      </c>
      <c r="E4613" s="16" t="s">
        <v>135</v>
      </c>
      <c r="F4613" s="16" t="s">
        <v>92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62</v>
      </c>
      <c r="C4614" s="9">
        <v>45870</v>
      </c>
      <c r="D4614">
        <v>44</v>
      </c>
      <c r="E4614" s="16" t="s">
        <v>135</v>
      </c>
      <c r="F4614" s="16" t="s">
        <v>92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62</v>
      </c>
      <c r="C4615" s="9">
        <v>45901</v>
      </c>
      <c r="D4615">
        <v>44</v>
      </c>
      <c r="E4615" s="16" t="s">
        <v>135</v>
      </c>
      <c r="F4615" s="16" t="s">
        <v>92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62</v>
      </c>
      <c r="C4616" s="9">
        <v>45931</v>
      </c>
      <c r="D4616">
        <v>44</v>
      </c>
      <c r="E4616" s="16" t="s">
        <v>135</v>
      </c>
      <c r="F4616" s="16" t="s">
        <v>92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62</v>
      </c>
      <c r="C4617" s="9">
        <v>45962</v>
      </c>
      <c r="D4617">
        <v>44</v>
      </c>
      <c r="E4617" s="16" t="s">
        <v>135</v>
      </c>
      <c r="F4617" s="16" t="s">
        <v>92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62</v>
      </c>
      <c r="C4618" s="9">
        <v>45992</v>
      </c>
      <c r="D4618">
        <v>44</v>
      </c>
      <c r="E4618" s="16" t="s">
        <v>135</v>
      </c>
      <c r="F4618" s="16" t="s">
        <v>92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62</v>
      </c>
      <c r="C4619" s="9">
        <v>46023</v>
      </c>
      <c r="D4619">
        <v>44</v>
      </c>
      <c r="E4619" s="16" t="s">
        <v>135</v>
      </c>
      <c r="F4619" s="16" t="s">
        <v>92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62</v>
      </c>
      <c r="C4620" s="9">
        <v>46054</v>
      </c>
      <c r="D4620">
        <v>44</v>
      </c>
      <c r="E4620" s="16" t="s">
        <v>135</v>
      </c>
      <c r="F4620" s="16" t="s">
        <v>92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62</v>
      </c>
      <c r="C4621" s="9">
        <v>46082</v>
      </c>
      <c r="D4621">
        <v>44</v>
      </c>
      <c r="E4621" s="16" t="s">
        <v>135</v>
      </c>
      <c r="F4621" s="16" t="s">
        <v>92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62</v>
      </c>
      <c r="C4622" s="9">
        <v>46113</v>
      </c>
      <c r="D4622">
        <v>44</v>
      </c>
      <c r="E4622" s="16" t="s">
        <v>135</v>
      </c>
      <c r="F4622" s="16" t="s">
        <v>92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62</v>
      </c>
      <c r="C4623" s="9">
        <v>46143</v>
      </c>
      <c r="D4623">
        <v>44</v>
      </c>
      <c r="E4623" s="16" t="s">
        <v>135</v>
      </c>
      <c r="F4623" s="16" t="s">
        <v>92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62</v>
      </c>
      <c r="C4624" s="9">
        <v>46174</v>
      </c>
      <c r="D4624">
        <v>44</v>
      </c>
      <c r="E4624" s="16" t="s">
        <v>135</v>
      </c>
      <c r="F4624" s="16" t="s">
        <v>92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62</v>
      </c>
      <c r="C4625" s="9">
        <v>46204</v>
      </c>
      <c r="D4625">
        <v>44</v>
      </c>
      <c r="E4625" s="16" t="s">
        <v>135</v>
      </c>
      <c r="F4625" s="16" t="s">
        <v>92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62</v>
      </c>
      <c r="C4626" s="9">
        <v>46235</v>
      </c>
      <c r="D4626">
        <v>44</v>
      </c>
      <c r="E4626" s="16" t="s">
        <v>135</v>
      </c>
      <c r="F4626" s="16" t="s">
        <v>92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62</v>
      </c>
      <c r="C4627" s="9">
        <v>46266</v>
      </c>
      <c r="D4627">
        <v>44</v>
      </c>
      <c r="E4627" s="16" t="s">
        <v>135</v>
      </c>
      <c r="F4627" s="16" t="s">
        <v>92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62</v>
      </c>
      <c r="C4628" s="9">
        <v>45689</v>
      </c>
      <c r="D4628">
        <v>45</v>
      </c>
      <c r="E4628" s="16" t="s">
        <v>136</v>
      </c>
      <c r="F4628" s="16" t="s">
        <v>85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62</v>
      </c>
      <c r="C4629" s="9">
        <v>45717</v>
      </c>
      <c r="D4629">
        <v>45</v>
      </c>
      <c r="E4629" s="16" t="s">
        <v>136</v>
      </c>
      <c r="F4629" s="16" t="s">
        <v>85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62</v>
      </c>
      <c r="C4630" s="9">
        <v>45748</v>
      </c>
      <c r="D4630">
        <v>45</v>
      </c>
      <c r="E4630" s="16" t="s">
        <v>136</v>
      </c>
      <c r="F4630" s="16" t="s">
        <v>85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62</v>
      </c>
      <c r="C4631" s="9">
        <v>45778</v>
      </c>
      <c r="D4631">
        <v>45</v>
      </c>
      <c r="E4631" s="16" t="s">
        <v>136</v>
      </c>
      <c r="F4631" s="16" t="s">
        <v>85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62</v>
      </c>
      <c r="C4632" s="9">
        <v>45809</v>
      </c>
      <c r="D4632">
        <v>45</v>
      </c>
      <c r="E4632" s="16" t="s">
        <v>136</v>
      </c>
      <c r="F4632" s="16" t="s">
        <v>85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62</v>
      </c>
      <c r="C4633" s="9">
        <v>45839</v>
      </c>
      <c r="D4633">
        <v>45</v>
      </c>
      <c r="E4633" s="16" t="s">
        <v>136</v>
      </c>
      <c r="F4633" s="16" t="s">
        <v>85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62</v>
      </c>
      <c r="C4634" s="9">
        <v>45870</v>
      </c>
      <c r="D4634">
        <v>45</v>
      </c>
      <c r="E4634" s="16" t="s">
        <v>136</v>
      </c>
      <c r="F4634" s="16" t="s">
        <v>85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62</v>
      </c>
      <c r="C4635" s="9">
        <v>45901</v>
      </c>
      <c r="D4635">
        <v>45</v>
      </c>
      <c r="E4635" s="16" t="s">
        <v>136</v>
      </c>
      <c r="F4635" s="16" t="s">
        <v>85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62</v>
      </c>
      <c r="C4636" s="9">
        <v>45931</v>
      </c>
      <c r="D4636">
        <v>45</v>
      </c>
      <c r="E4636" s="16" t="s">
        <v>136</v>
      </c>
      <c r="F4636" s="16" t="s">
        <v>85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62</v>
      </c>
      <c r="C4637" s="9">
        <v>45962</v>
      </c>
      <c r="D4637">
        <v>45</v>
      </c>
      <c r="E4637" s="16" t="s">
        <v>136</v>
      </c>
      <c r="F4637" s="16" t="s">
        <v>85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62</v>
      </c>
      <c r="C4638" s="9">
        <v>45992</v>
      </c>
      <c r="D4638">
        <v>45</v>
      </c>
      <c r="E4638" s="16" t="s">
        <v>136</v>
      </c>
      <c r="F4638" s="16" t="s">
        <v>85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62</v>
      </c>
      <c r="C4639" s="9">
        <v>46023</v>
      </c>
      <c r="D4639">
        <v>45</v>
      </c>
      <c r="E4639" s="16" t="s">
        <v>136</v>
      </c>
      <c r="F4639" s="16" t="s">
        <v>85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62</v>
      </c>
      <c r="C4640" s="9">
        <v>46054</v>
      </c>
      <c r="D4640">
        <v>45</v>
      </c>
      <c r="E4640" s="16" t="s">
        <v>136</v>
      </c>
      <c r="F4640" s="16" t="s">
        <v>85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62</v>
      </c>
      <c r="C4641" s="9">
        <v>46082</v>
      </c>
      <c r="D4641">
        <v>45</v>
      </c>
      <c r="E4641" s="16" t="s">
        <v>136</v>
      </c>
      <c r="F4641" s="16" t="s">
        <v>85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62</v>
      </c>
      <c r="C4642" s="9">
        <v>46113</v>
      </c>
      <c r="D4642">
        <v>45</v>
      </c>
      <c r="E4642" s="16" t="s">
        <v>136</v>
      </c>
      <c r="F4642" s="16" t="s">
        <v>85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62</v>
      </c>
      <c r="C4643" s="9">
        <v>46143</v>
      </c>
      <c r="D4643">
        <v>45</v>
      </c>
      <c r="E4643" s="16" t="s">
        <v>136</v>
      </c>
      <c r="F4643" s="16" t="s">
        <v>85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62</v>
      </c>
      <c r="C4644" s="9">
        <v>46174</v>
      </c>
      <c r="D4644">
        <v>45</v>
      </c>
      <c r="E4644" s="16" t="s">
        <v>136</v>
      </c>
      <c r="F4644" s="16" t="s">
        <v>85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62</v>
      </c>
      <c r="C4645" s="9">
        <v>46204</v>
      </c>
      <c r="D4645">
        <v>45</v>
      </c>
      <c r="E4645" s="16" t="s">
        <v>136</v>
      </c>
      <c r="F4645" s="16" t="s">
        <v>85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62</v>
      </c>
      <c r="C4646" s="9">
        <v>46235</v>
      </c>
      <c r="D4646">
        <v>45</v>
      </c>
      <c r="E4646" s="16" t="s">
        <v>136</v>
      </c>
      <c r="F4646" s="16" t="s">
        <v>85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62</v>
      </c>
      <c r="C4647" s="9">
        <v>46266</v>
      </c>
      <c r="D4647">
        <v>45</v>
      </c>
      <c r="E4647" s="16" t="s">
        <v>136</v>
      </c>
      <c r="F4647" s="16" t="s">
        <v>85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62</v>
      </c>
      <c r="C4648" s="9">
        <v>45689</v>
      </c>
      <c r="D4648">
        <v>46</v>
      </c>
      <c r="E4648" s="16" t="s">
        <v>137</v>
      </c>
      <c r="F4648" s="16" t="s">
        <v>110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62</v>
      </c>
      <c r="C4649" s="9">
        <v>45717</v>
      </c>
      <c r="D4649">
        <v>46</v>
      </c>
      <c r="E4649" s="16" t="s">
        <v>137</v>
      </c>
      <c r="F4649" s="16" t="s">
        <v>110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62</v>
      </c>
      <c r="C4650" s="9">
        <v>45748</v>
      </c>
      <c r="D4650">
        <v>46</v>
      </c>
      <c r="E4650" s="16" t="s">
        <v>137</v>
      </c>
      <c r="F4650" s="16" t="s">
        <v>110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62</v>
      </c>
      <c r="C4651" s="9">
        <v>45778</v>
      </c>
      <c r="D4651">
        <v>46</v>
      </c>
      <c r="E4651" s="16" t="s">
        <v>137</v>
      </c>
      <c r="F4651" s="16" t="s">
        <v>110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62</v>
      </c>
      <c r="C4652" s="9">
        <v>45809</v>
      </c>
      <c r="D4652">
        <v>46</v>
      </c>
      <c r="E4652" s="16" t="s">
        <v>137</v>
      </c>
      <c r="F4652" s="16" t="s">
        <v>110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62</v>
      </c>
      <c r="C4653" s="9">
        <v>45839</v>
      </c>
      <c r="D4653">
        <v>46</v>
      </c>
      <c r="E4653" s="16" t="s">
        <v>137</v>
      </c>
      <c r="F4653" s="16" t="s">
        <v>110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62</v>
      </c>
      <c r="C4654" s="9">
        <v>45870</v>
      </c>
      <c r="D4654">
        <v>46</v>
      </c>
      <c r="E4654" s="16" t="s">
        <v>137</v>
      </c>
      <c r="F4654" s="16" t="s">
        <v>110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62</v>
      </c>
      <c r="C4655" s="9">
        <v>45901</v>
      </c>
      <c r="D4655">
        <v>46</v>
      </c>
      <c r="E4655" s="16" t="s">
        <v>137</v>
      </c>
      <c r="F4655" s="16" t="s">
        <v>110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62</v>
      </c>
      <c r="C4656" s="9">
        <v>45931</v>
      </c>
      <c r="D4656">
        <v>46</v>
      </c>
      <c r="E4656" s="16" t="s">
        <v>137</v>
      </c>
      <c r="F4656" s="16" t="s">
        <v>110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62</v>
      </c>
      <c r="C4657" s="9">
        <v>45962</v>
      </c>
      <c r="D4657">
        <v>46</v>
      </c>
      <c r="E4657" s="16" t="s">
        <v>137</v>
      </c>
      <c r="F4657" s="16" t="s">
        <v>110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62</v>
      </c>
      <c r="C4658" s="9">
        <v>45992</v>
      </c>
      <c r="D4658">
        <v>46</v>
      </c>
      <c r="E4658" s="16" t="s">
        <v>137</v>
      </c>
      <c r="F4658" s="16" t="s">
        <v>110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62</v>
      </c>
      <c r="C4659" s="9">
        <v>46023</v>
      </c>
      <c r="D4659">
        <v>46</v>
      </c>
      <c r="E4659" s="16" t="s">
        <v>137</v>
      </c>
      <c r="F4659" s="16" t="s">
        <v>110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62</v>
      </c>
      <c r="C4660" s="9">
        <v>46054</v>
      </c>
      <c r="D4660">
        <v>46</v>
      </c>
      <c r="E4660" s="16" t="s">
        <v>137</v>
      </c>
      <c r="F4660" s="16" t="s">
        <v>110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62</v>
      </c>
      <c r="C4661" s="9">
        <v>46082</v>
      </c>
      <c r="D4661">
        <v>46</v>
      </c>
      <c r="E4661" s="16" t="s">
        <v>137</v>
      </c>
      <c r="F4661" s="16" t="s">
        <v>110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62</v>
      </c>
      <c r="C4662" s="9">
        <v>46113</v>
      </c>
      <c r="D4662">
        <v>46</v>
      </c>
      <c r="E4662" s="16" t="s">
        <v>137</v>
      </c>
      <c r="F4662" s="16" t="s">
        <v>110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62</v>
      </c>
      <c r="C4663" s="9">
        <v>46143</v>
      </c>
      <c r="D4663">
        <v>46</v>
      </c>
      <c r="E4663" s="16" t="s">
        <v>137</v>
      </c>
      <c r="F4663" s="16" t="s">
        <v>110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62</v>
      </c>
      <c r="C4664" s="9">
        <v>46174</v>
      </c>
      <c r="D4664">
        <v>46</v>
      </c>
      <c r="E4664" s="16" t="s">
        <v>137</v>
      </c>
      <c r="F4664" s="16" t="s">
        <v>110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62</v>
      </c>
      <c r="C4665" s="9">
        <v>46204</v>
      </c>
      <c r="D4665">
        <v>46</v>
      </c>
      <c r="E4665" s="16" t="s">
        <v>137</v>
      </c>
      <c r="F4665" s="16" t="s">
        <v>110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62</v>
      </c>
      <c r="C4666" s="9">
        <v>46235</v>
      </c>
      <c r="D4666">
        <v>46</v>
      </c>
      <c r="E4666" s="16" t="s">
        <v>137</v>
      </c>
      <c r="F4666" s="16" t="s">
        <v>110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62</v>
      </c>
      <c r="C4667" s="9">
        <v>46266</v>
      </c>
      <c r="D4667">
        <v>46</v>
      </c>
      <c r="E4667" s="16" t="s">
        <v>137</v>
      </c>
      <c r="F4667" s="16" t="s">
        <v>110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62</v>
      </c>
      <c r="C4668" s="9">
        <v>45689</v>
      </c>
      <c r="D4668">
        <v>47</v>
      </c>
      <c r="E4668" s="16" t="s">
        <v>138</v>
      </c>
      <c r="F4668" s="16" t="s">
        <v>94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62</v>
      </c>
      <c r="C4669" s="9">
        <v>45717</v>
      </c>
      <c r="D4669">
        <v>47</v>
      </c>
      <c r="E4669" s="16" t="s">
        <v>138</v>
      </c>
      <c r="F4669" s="16" t="s">
        <v>94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62</v>
      </c>
      <c r="C4670" s="9">
        <v>45748</v>
      </c>
      <c r="D4670">
        <v>47</v>
      </c>
      <c r="E4670" s="16" t="s">
        <v>138</v>
      </c>
      <c r="F4670" s="16" t="s">
        <v>94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62</v>
      </c>
      <c r="C4671" s="9">
        <v>45778</v>
      </c>
      <c r="D4671">
        <v>47</v>
      </c>
      <c r="E4671" s="16" t="s">
        <v>138</v>
      </c>
      <c r="F4671" s="16" t="s">
        <v>94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62</v>
      </c>
      <c r="C4672" s="9">
        <v>45809</v>
      </c>
      <c r="D4672">
        <v>47</v>
      </c>
      <c r="E4672" s="16" t="s">
        <v>138</v>
      </c>
      <c r="F4672" s="16" t="s">
        <v>94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62</v>
      </c>
      <c r="C4673" s="9">
        <v>45839</v>
      </c>
      <c r="D4673">
        <v>47</v>
      </c>
      <c r="E4673" s="16" t="s">
        <v>138</v>
      </c>
      <c r="F4673" s="16" t="s">
        <v>94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62</v>
      </c>
      <c r="C4674" s="9">
        <v>45870</v>
      </c>
      <c r="D4674">
        <v>47</v>
      </c>
      <c r="E4674" s="16" t="s">
        <v>138</v>
      </c>
      <c r="F4674" s="16" t="s">
        <v>94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62</v>
      </c>
      <c r="C4675" s="9">
        <v>45901</v>
      </c>
      <c r="D4675">
        <v>47</v>
      </c>
      <c r="E4675" s="16" t="s">
        <v>138</v>
      </c>
      <c r="F4675" s="16" t="s">
        <v>94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62</v>
      </c>
      <c r="C4676" s="9">
        <v>45931</v>
      </c>
      <c r="D4676">
        <v>47</v>
      </c>
      <c r="E4676" s="16" t="s">
        <v>138</v>
      </c>
      <c r="F4676" s="16" t="s">
        <v>94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62</v>
      </c>
      <c r="C4677" s="9">
        <v>45962</v>
      </c>
      <c r="D4677">
        <v>47</v>
      </c>
      <c r="E4677" s="16" t="s">
        <v>138</v>
      </c>
      <c r="F4677" s="16" t="s">
        <v>94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62</v>
      </c>
      <c r="C4678" s="9">
        <v>45992</v>
      </c>
      <c r="D4678">
        <v>47</v>
      </c>
      <c r="E4678" s="16" t="s">
        <v>138</v>
      </c>
      <c r="F4678" s="16" t="s">
        <v>94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62</v>
      </c>
      <c r="C4679" s="9">
        <v>46023</v>
      </c>
      <c r="D4679">
        <v>47</v>
      </c>
      <c r="E4679" s="16" t="s">
        <v>138</v>
      </c>
      <c r="F4679" s="16" t="s">
        <v>94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62</v>
      </c>
      <c r="C4680" s="9">
        <v>46054</v>
      </c>
      <c r="D4680">
        <v>47</v>
      </c>
      <c r="E4680" s="16" t="s">
        <v>138</v>
      </c>
      <c r="F4680" s="16" t="s">
        <v>94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62</v>
      </c>
      <c r="C4681" s="9">
        <v>46082</v>
      </c>
      <c r="D4681">
        <v>47</v>
      </c>
      <c r="E4681" s="16" t="s">
        <v>138</v>
      </c>
      <c r="F4681" s="16" t="s">
        <v>94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62</v>
      </c>
      <c r="C4682" s="9">
        <v>46113</v>
      </c>
      <c r="D4682">
        <v>47</v>
      </c>
      <c r="E4682" s="16" t="s">
        <v>138</v>
      </c>
      <c r="F4682" s="16" t="s">
        <v>94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62</v>
      </c>
      <c r="C4683" s="9">
        <v>46143</v>
      </c>
      <c r="D4683">
        <v>47</v>
      </c>
      <c r="E4683" s="16" t="s">
        <v>138</v>
      </c>
      <c r="F4683" s="16" t="s">
        <v>94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62</v>
      </c>
      <c r="C4684" s="9">
        <v>46174</v>
      </c>
      <c r="D4684">
        <v>47</v>
      </c>
      <c r="E4684" s="16" t="s">
        <v>138</v>
      </c>
      <c r="F4684" s="16" t="s">
        <v>94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62</v>
      </c>
      <c r="C4685" s="9">
        <v>46204</v>
      </c>
      <c r="D4685">
        <v>47</v>
      </c>
      <c r="E4685" s="16" t="s">
        <v>138</v>
      </c>
      <c r="F4685" s="16" t="s">
        <v>94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62</v>
      </c>
      <c r="C4686" s="9">
        <v>46235</v>
      </c>
      <c r="D4686">
        <v>47</v>
      </c>
      <c r="E4686" s="16" t="s">
        <v>138</v>
      </c>
      <c r="F4686" s="16" t="s">
        <v>94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62</v>
      </c>
      <c r="C4687" s="9">
        <v>46266</v>
      </c>
      <c r="D4687">
        <v>47</v>
      </c>
      <c r="E4687" s="16" t="s">
        <v>138</v>
      </c>
      <c r="F4687" s="16" t="s">
        <v>94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62</v>
      </c>
      <c r="C4688" s="9">
        <v>45689</v>
      </c>
      <c r="D4688">
        <v>48</v>
      </c>
      <c r="E4688" s="16" t="s">
        <v>139</v>
      </c>
      <c r="F4688" s="16" t="s">
        <v>140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62</v>
      </c>
      <c r="C4689" s="9">
        <v>45717</v>
      </c>
      <c r="D4689">
        <v>48</v>
      </c>
      <c r="E4689" s="16" t="s">
        <v>139</v>
      </c>
      <c r="F4689" s="16" t="s">
        <v>140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62</v>
      </c>
      <c r="C4690" s="9">
        <v>45748</v>
      </c>
      <c r="D4690">
        <v>48</v>
      </c>
      <c r="E4690" s="16" t="s">
        <v>139</v>
      </c>
      <c r="F4690" s="16" t="s">
        <v>140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62</v>
      </c>
      <c r="C4691" s="9">
        <v>45778</v>
      </c>
      <c r="D4691">
        <v>48</v>
      </c>
      <c r="E4691" s="16" t="s">
        <v>139</v>
      </c>
      <c r="F4691" s="16" t="s">
        <v>140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62</v>
      </c>
      <c r="C4692" s="9">
        <v>45809</v>
      </c>
      <c r="D4692">
        <v>48</v>
      </c>
      <c r="E4692" s="16" t="s">
        <v>139</v>
      </c>
      <c r="F4692" s="16" t="s">
        <v>140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62</v>
      </c>
      <c r="C4693" s="9">
        <v>45839</v>
      </c>
      <c r="D4693">
        <v>48</v>
      </c>
      <c r="E4693" s="16" t="s">
        <v>139</v>
      </c>
      <c r="F4693" s="16" t="s">
        <v>140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62</v>
      </c>
      <c r="C4694" s="9">
        <v>45870</v>
      </c>
      <c r="D4694">
        <v>48</v>
      </c>
      <c r="E4694" s="16" t="s">
        <v>139</v>
      </c>
      <c r="F4694" s="16" t="s">
        <v>140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62</v>
      </c>
      <c r="C4695" s="9">
        <v>45901</v>
      </c>
      <c r="D4695">
        <v>48</v>
      </c>
      <c r="E4695" s="16" t="s">
        <v>139</v>
      </c>
      <c r="F4695" s="16" t="s">
        <v>140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62</v>
      </c>
      <c r="C4696" s="9">
        <v>45931</v>
      </c>
      <c r="D4696">
        <v>48</v>
      </c>
      <c r="E4696" s="16" t="s">
        <v>139</v>
      </c>
      <c r="F4696" s="16" t="s">
        <v>140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62</v>
      </c>
      <c r="C4697" s="9">
        <v>45962</v>
      </c>
      <c r="D4697">
        <v>48</v>
      </c>
      <c r="E4697" s="16" t="s">
        <v>139</v>
      </c>
      <c r="F4697" s="16" t="s">
        <v>140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62</v>
      </c>
      <c r="C4698" s="9">
        <v>45992</v>
      </c>
      <c r="D4698">
        <v>48</v>
      </c>
      <c r="E4698" s="16" t="s">
        <v>139</v>
      </c>
      <c r="F4698" s="16" t="s">
        <v>140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62</v>
      </c>
      <c r="C4699" s="9">
        <v>46023</v>
      </c>
      <c r="D4699">
        <v>48</v>
      </c>
      <c r="E4699" s="16" t="s">
        <v>139</v>
      </c>
      <c r="F4699" s="16" t="s">
        <v>140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62</v>
      </c>
      <c r="C4700" s="9">
        <v>46054</v>
      </c>
      <c r="D4700">
        <v>48</v>
      </c>
      <c r="E4700" s="16" t="s">
        <v>139</v>
      </c>
      <c r="F4700" s="16" t="s">
        <v>140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62</v>
      </c>
      <c r="C4701" s="9">
        <v>46082</v>
      </c>
      <c r="D4701">
        <v>48</v>
      </c>
      <c r="E4701" s="16" t="s">
        <v>139</v>
      </c>
      <c r="F4701" s="16" t="s">
        <v>140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62</v>
      </c>
      <c r="C4702" s="9">
        <v>46113</v>
      </c>
      <c r="D4702">
        <v>48</v>
      </c>
      <c r="E4702" s="16" t="s">
        <v>139</v>
      </c>
      <c r="F4702" s="16" t="s">
        <v>140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62</v>
      </c>
      <c r="C4703" s="9">
        <v>46143</v>
      </c>
      <c r="D4703">
        <v>48</v>
      </c>
      <c r="E4703" s="16" t="s">
        <v>139</v>
      </c>
      <c r="F4703" s="16" t="s">
        <v>140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62</v>
      </c>
      <c r="C4704" s="9">
        <v>46174</v>
      </c>
      <c r="D4704">
        <v>48</v>
      </c>
      <c r="E4704" s="16" t="s">
        <v>139</v>
      </c>
      <c r="F4704" s="16" t="s">
        <v>140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62</v>
      </c>
      <c r="C4705" s="9">
        <v>46204</v>
      </c>
      <c r="D4705">
        <v>48</v>
      </c>
      <c r="E4705" s="16" t="s">
        <v>139</v>
      </c>
      <c r="F4705" s="16" t="s">
        <v>140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62</v>
      </c>
      <c r="C4706" s="9">
        <v>46235</v>
      </c>
      <c r="D4706">
        <v>48</v>
      </c>
      <c r="E4706" s="16" t="s">
        <v>139</v>
      </c>
      <c r="F4706" s="16" t="s">
        <v>140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62</v>
      </c>
      <c r="C4707" s="9">
        <v>46266</v>
      </c>
      <c r="D4707">
        <v>48</v>
      </c>
      <c r="E4707" s="16" t="s">
        <v>139</v>
      </c>
      <c r="F4707" s="16" t="s">
        <v>140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62</v>
      </c>
      <c r="C4708" s="9">
        <v>45689</v>
      </c>
      <c r="D4708">
        <v>49</v>
      </c>
      <c r="E4708" s="16" t="s">
        <v>141</v>
      </c>
      <c r="F4708" s="16" t="s">
        <v>140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62</v>
      </c>
      <c r="C4709" s="9">
        <v>45717</v>
      </c>
      <c r="D4709">
        <v>49</v>
      </c>
      <c r="E4709" s="16" t="s">
        <v>141</v>
      </c>
      <c r="F4709" s="16" t="s">
        <v>140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62</v>
      </c>
      <c r="C4710" s="9">
        <v>45748</v>
      </c>
      <c r="D4710">
        <v>49</v>
      </c>
      <c r="E4710" s="16" t="s">
        <v>141</v>
      </c>
      <c r="F4710" s="16" t="s">
        <v>140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62</v>
      </c>
      <c r="C4711" s="9">
        <v>45778</v>
      </c>
      <c r="D4711">
        <v>49</v>
      </c>
      <c r="E4711" s="16" t="s">
        <v>141</v>
      </c>
      <c r="F4711" s="16" t="s">
        <v>140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62</v>
      </c>
      <c r="C4712" s="9">
        <v>45809</v>
      </c>
      <c r="D4712">
        <v>49</v>
      </c>
      <c r="E4712" s="16" t="s">
        <v>141</v>
      </c>
      <c r="F4712" s="16" t="s">
        <v>140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62</v>
      </c>
      <c r="C4713" s="9">
        <v>45839</v>
      </c>
      <c r="D4713">
        <v>49</v>
      </c>
      <c r="E4713" s="16" t="s">
        <v>141</v>
      </c>
      <c r="F4713" s="16" t="s">
        <v>140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62</v>
      </c>
      <c r="C4714" s="9">
        <v>45870</v>
      </c>
      <c r="D4714">
        <v>49</v>
      </c>
      <c r="E4714" s="16" t="s">
        <v>141</v>
      </c>
      <c r="F4714" s="16" t="s">
        <v>140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62</v>
      </c>
      <c r="C4715" s="9">
        <v>45901</v>
      </c>
      <c r="D4715">
        <v>49</v>
      </c>
      <c r="E4715" s="16" t="s">
        <v>141</v>
      </c>
      <c r="F4715" s="16" t="s">
        <v>140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62</v>
      </c>
      <c r="C4716" s="9">
        <v>45931</v>
      </c>
      <c r="D4716">
        <v>49</v>
      </c>
      <c r="E4716" s="16" t="s">
        <v>141</v>
      </c>
      <c r="F4716" s="16" t="s">
        <v>140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62</v>
      </c>
      <c r="C4717" s="9">
        <v>45962</v>
      </c>
      <c r="D4717">
        <v>49</v>
      </c>
      <c r="E4717" s="16" t="s">
        <v>141</v>
      </c>
      <c r="F4717" s="16" t="s">
        <v>140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62</v>
      </c>
      <c r="C4718" s="9">
        <v>45992</v>
      </c>
      <c r="D4718">
        <v>49</v>
      </c>
      <c r="E4718" s="16" t="s">
        <v>141</v>
      </c>
      <c r="F4718" s="16" t="s">
        <v>140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62</v>
      </c>
      <c r="C4719" s="9">
        <v>46023</v>
      </c>
      <c r="D4719">
        <v>49</v>
      </c>
      <c r="E4719" s="16" t="s">
        <v>141</v>
      </c>
      <c r="F4719" s="16" t="s">
        <v>140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62</v>
      </c>
      <c r="C4720" s="9">
        <v>46054</v>
      </c>
      <c r="D4720">
        <v>49</v>
      </c>
      <c r="E4720" s="16" t="s">
        <v>141</v>
      </c>
      <c r="F4720" s="16" t="s">
        <v>140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62</v>
      </c>
      <c r="C4721" s="9">
        <v>46082</v>
      </c>
      <c r="D4721">
        <v>49</v>
      </c>
      <c r="E4721" s="16" t="s">
        <v>141</v>
      </c>
      <c r="F4721" s="16" t="s">
        <v>140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62</v>
      </c>
      <c r="C4722" s="9">
        <v>46113</v>
      </c>
      <c r="D4722">
        <v>49</v>
      </c>
      <c r="E4722" s="16" t="s">
        <v>141</v>
      </c>
      <c r="F4722" s="16" t="s">
        <v>140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62</v>
      </c>
      <c r="C4723" s="9">
        <v>46143</v>
      </c>
      <c r="D4723">
        <v>49</v>
      </c>
      <c r="E4723" s="16" t="s">
        <v>141</v>
      </c>
      <c r="F4723" s="16" t="s">
        <v>140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62</v>
      </c>
      <c r="C4724" s="9">
        <v>46174</v>
      </c>
      <c r="D4724">
        <v>49</v>
      </c>
      <c r="E4724" s="16" t="s">
        <v>141</v>
      </c>
      <c r="F4724" s="16" t="s">
        <v>140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62</v>
      </c>
      <c r="C4725" s="9">
        <v>46204</v>
      </c>
      <c r="D4725">
        <v>49</v>
      </c>
      <c r="E4725" s="16" t="s">
        <v>141</v>
      </c>
      <c r="F4725" s="16" t="s">
        <v>140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62</v>
      </c>
      <c r="C4726" s="9">
        <v>46235</v>
      </c>
      <c r="D4726">
        <v>49</v>
      </c>
      <c r="E4726" s="16" t="s">
        <v>141</v>
      </c>
      <c r="F4726" s="16" t="s">
        <v>140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62</v>
      </c>
      <c r="C4727" s="9">
        <v>46266</v>
      </c>
      <c r="D4727">
        <v>49</v>
      </c>
      <c r="E4727" s="16" t="s">
        <v>141</v>
      </c>
      <c r="F4727" s="16" t="s">
        <v>140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62</v>
      </c>
      <c r="C4728" s="9">
        <v>45689</v>
      </c>
      <c r="D4728">
        <v>50</v>
      </c>
      <c r="E4728" s="16" t="s">
        <v>142</v>
      </c>
      <c r="F4728" s="16" t="s">
        <v>140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62</v>
      </c>
      <c r="C4729" s="9">
        <v>45717</v>
      </c>
      <c r="D4729">
        <v>50</v>
      </c>
      <c r="E4729" s="16" t="s">
        <v>142</v>
      </c>
      <c r="F4729" s="16" t="s">
        <v>140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62</v>
      </c>
      <c r="C4730" s="9">
        <v>45748</v>
      </c>
      <c r="D4730">
        <v>50</v>
      </c>
      <c r="E4730" s="16" t="s">
        <v>142</v>
      </c>
      <c r="F4730" s="16" t="s">
        <v>140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62</v>
      </c>
      <c r="C4731" s="9">
        <v>45778</v>
      </c>
      <c r="D4731">
        <v>50</v>
      </c>
      <c r="E4731" s="16" t="s">
        <v>142</v>
      </c>
      <c r="F4731" s="16" t="s">
        <v>140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62</v>
      </c>
      <c r="C4732" s="9">
        <v>45809</v>
      </c>
      <c r="D4732">
        <v>50</v>
      </c>
      <c r="E4732" s="16" t="s">
        <v>142</v>
      </c>
      <c r="F4732" s="16" t="s">
        <v>140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62</v>
      </c>
      <c r="C4733" s="9">
        <v>45839</v>
      </c>
      <c r="D4733">
        <v>50</v>
      </c>
      <c r="E4733" s="16" t="s">
        <v>142</v>
      </c>
      <c r="F4733" s="16" t="s">
        <v>140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62</v>
      </c>
      <c r="C4734" s="9">
        <v>45870</v>
      </c>
      <c r="D4734">
        <v>50</v>
      </c>
      <c r="E4734" s="16" t="s">
        <v>142</v>
      </c>
      <c r="F4734" s="16" t="s">
        <v>140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62</v>
      </c>
      <c r="C4735" s="9">
        <v>45901</v>
      </c>
      <c r="D4735">
        <v>50</v>
      </c>
      <c r="E4735" s="16" t="s">
        <v>142</v>
      </c>
      <c r="F4735" s="16" t="s">
        <v>140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62</v>
      </c>
      <c r="C4736" s="9">
        <v>45931</v>
      </c>
      <c r="D4736">
        <v>50</v>
      </c>
      <c r="E4736" s="16" t="s">
        <v>142</v>
      </c>
      <c r="F4736" s="16" t="s">
        <v>140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62</v>
      </c>
      <c r="C4737" s="9">
        <v>45962</v>
      </c>
      <c r="D4737">
        <v>50</v>
      </c>
      <c r="E4737" s="16" t="s">
        <v>142</v>
      </c>
      <c r="F4737" s="16" t="s">
        <v>140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62</v>
      </c>
      <c r="C4738" s="9">
        <v>45992</v>
      </c>
      <c r="D4738">
        <v>50</v>
      </c>
      <c r="E4738" s="16" t="s">
        <v>142</v>
      </c>
      <c r="F4738" s="16" t="s">
        <v>140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62</v>
      </c>
      <c r="C4739" s="9">
        <v>46023</v>
      </c>
      <c r="D4739">
        <v>50</v>
      </c>
      <c r="E4739" s="16" t="s">
        <v>142</v>
      </c>
      <c r="F4739" s="16" t="s">
        <v>140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62</v>
      </c>
      <c r="C4740" s="9">
        <v>46054</v>
      </c>
      <c r="D4740">
        <v>50</v>
      </c>
      <c r="E4740" s="16" t="s">
        <v>142</v>
      </c>
      <c r="F4740" s="16" t="s">
        <v>140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62</v>
      </c>
      <c r="C4741" s="9">
        <v>46082</v>
      </c>
      <c r="D4741">
        <v>50</v>
      </c>
      <c r="E4741" s="16" t="s">
        <v>142</v>
      </c>
      <c r="F4741" s="16" t="s">
        <v>140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62</v>
      </c>
      <c r="C4742" s="9">
        <v>46113</v>
      </c>
      <c r="D4742">
        <v>50</v>
      </c>
      <c r="E4742" s="16" t="s">
        <v>142</v>
      </c>
      <c r="F4742" s="16" t="s">
        <v>140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62</v>
      </c>
      <c r="C4743" s="9">
        <v>46143</v>
      </c>
      <c r="D4743">
        <v>50</v>
      </c>
      <c r="E4743" s="16" t="s">
        <v>142</v>
      </c>
      <c r="F4743" s="16" t="s">
        <v>140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62</v>
      </c>
      <c r="C4744" s="9">
        <v>46174</v>
      </c>
      <c r="D4744">
        <v>50</v>
      </c>
      <c r="E4744" s="16" t="s">
        <v>142</v>
      </c>
      <c r="F4744" s="16" t="s">
        <v>140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62</v>
      </c>
      <c r="C4745" s="9">
        <v>46204</v>
      </c>
      <c r="D4745">
        <v>50</v>
      </c>
      <c r="E4745" s="16" t="s">
        <v>142</v>
      </c>
      <c r="F4745" s="16" t="s">
        <v>140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62</v>
      </c>
      <c r="C4746" s="9">
        <v>46235</v>
      </c>
      <c r="D4746">
        <v>50</v>
      </c>
      <c r="E4746" s="16" t="s">
        <v>142</v>
      </c>
      <c r="F4746" s="16" t="s">
        <v>140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62</v>
      </c>
      <c r="C4747" s="9">
        <v>46266</v>
      </c>
      <c r="D4747">
        <v>50</v>
      </c>
      <c r="E4747" s="16" t="s">
        <v>142</v>
      </c>
      <c r="F4747" s="16" t="s">
        <v>140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62</v>
      </c>
      <c r="C4748" s="9">
        <v>45689</v>
      </c>
      <c r="D4748">
        <v>51</v>
      </c>
      <c r="E4748" s="16" t="s">
        <v>143</v>
      </c>
      <c r="F4748" s="16" t="s">
        <v>83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62</v>
      </c>
      <c r="C4749" s="9">
        <v>45717</v>
      </c>
      <c r="D4749">
        <v>51</v>
      </c>
      <c r="E4749" s="16" t="s">
        <v>143</v>
      </c>
      <c r="F4749" s="16" t="s">
        <v>83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62</v>
      </c>
      <c r="C4750" s="9">
        <v>45748</v>
      </c>
      <c r="D4750">
        <v>51</v>
      </c>
      <c r="E4750" s="16" t="s">
        <v>143</v>
      </c>
      <c r="F4750" s="16" t="s">
        <v>83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62</v>
      </c>
      <c r="C4751" s="9">
        <v>45778</v>
      </c>
      <c r="D4751">
        <v>51</v>
      </c>
      <c r="E4751" s="16" t="s">
        <v>143</v>
      </c>
      <c r="F4751" s="16" t="s">
        <v>83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62</v>
      </c>
      <c r="C4752" s="9">
        <v>45809</v>
      </c>
      <c r="D4752">
        <v>51</v>
      </c>
      <c r="E4752" s="16" t="s">
        <v>143</v>
      </c>
      <c r="F4752" s="16" t="s">
        <v>83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62</v>
      </c>
      <c r="C4753" s="9">
        <v>45839</v>
      </c>
      <c r="D4753">
        <v>51</v>
      </c>
      <c r="E4753" s="16" t="s">
        <v>143</v>
      </c>
      <c r="F4753" s="16" t="s">
        <v>83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62</v>
      </c>
      <c r="C4754" s="9">
        <v>45870</v>
      </c>
      <c r="D4754">
        <v>51</v>
      </c>
      <c r="E4754" s="16" t="s">
        <v>143</v>
      </c>
      <c r="F4754" s="16" t="s">
        <v>83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62</v>
      </c>
      <c r="C4755" s="9">
        <v>45901</v>
      </c>
      <c r="D4755">
        <v>51</v>
      </c>
      <c r="E4755" s="16" t="s">
        <v>143</v>
      </c>
      <c r="F4755" s="16" t="s">
        <v>83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62</v>
      </c>
      <c r="C4756" s="9">
        <v>45931</v>
      </c>
      <c r="D4756">
        <v>51</v>
      </c>
      <c r="E4756" s="16" t="s">
        <v>143</v>
      </c>
      <c r="F4756" s="16" t="s">
        <v>83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62</v>
      </c>
      <c r="C4757" s="9">
        <v>45962</v>
      </c>
      <c r="D4757">
        <v>51</v>
      </c>
      <c r="E4757" s="16" t="s">
        <v>143</v>
      </c>
      <c r="F4757" s="16" t="s">
        <v>83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62</v>
      </c>
      <c r="C4758" s="9">
        <v>45992</v>
      </c>
      <c r="D4758">
        <v>51</v>
      </c>
      <c r="E4758" s="16" t="s">
        <v>143</v>
      </c>
      <c r="F4758" s="16" t="s">
        <v>83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62</v>
      </c>
      <c r="C4759" s="9">
        <v>46023</v>
      </c>
      <c r="D4759">
        <v>51</v>
      </c>
      <c r="E4759" s="16" t="s">
        <v>143</v>
      </c>
      <c r="F4759" s="16" t="s">
        <v>83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62</v>
      </c>
      <c r="C4760" s="9">
        <v>46054</v>
      </c>
      <c r="D4760">
        <v>51</v>
      </c>
      <c r="E4760" s="16" t="s">
        <v>143</v>
      </c>
      <c r="F4760" s="16" t="s">
        <v>83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62</v>
      </c>
      <c r="C4761" s="9">
        <v>46082</v>
      </c>
      <c r="D4761">
        <v>51</v>
      </c>
      <c r="E4761" s="16" t="s">
        <v>143</v>
      </c>
      <c r="F4761" s="16" t="s">
        <v>83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62</v>
      </c>
      <c r="C4762" s="9">
        <v>46113</v>
      </c>
      <c r="D4762">
        <v>51</v>
      </c>
      <c r="E4762" s="16" t="s">
        <v>143</v>
      </c>
      <c r="F4762" s="16" t="s">
        <v>83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62</v>
      </c>
      <c r="C4763" s="9">
        <v>46143</v>
      </c>
      <c r="D4763">
        <v>51</v>
      </c>
      <c r="E4763" s="16" t="s">
        <v>143</v>
      </c>
      <c r="F4763" s="16" t="s">
        <v>83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62</v>
      </c>
      <c r="C4764" s="9">
        <v>46174</v>
      </c>
      <c r="D4764">
        <v>51</v>
      </c>
      <c r="E4764" s="16" t="s">
        <v>143</v>
      </c>
      <c r="F4764" s="16" t="s">
        <v>83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62</v>
      </c>
      <c r="C4765" s="9">
        <v>46204</v>
      </c>
      <c r="D4765">
        <v>51</v>
      </c>
      <c r="E4765" s="16" t="s">
        <v>143</v>
      </c>
      <c r="F4765" s="16" t="s">
        <v>83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62</v>
      </c>
      <c r="C4766" s="9">
        <v>46235</v>
      </c>
      <c r="D4766">
        <v>51</v>
      </c>
      <c r="E4766" s="16" t="s">
        <v>143</v>
      </c>
      <c r="F4766" s="16" t="s">
        <v>83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62</v>
      </c>
      <c r="C4767" s="9">
        <v>46266</v>
      </c>
      <c r="D4767">
        <v>51</v>
      </c>
      <c r="E4767" s="16" t="s">
        <v>143</v>
      </c>
      <c r="F4767" s="16" t="s">
        <v>83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62</v>
      </c>
      <c r="C4768" s="9">
        <v>45689</v>
      </c>
      <c r="D4768">
        <v>52</v>
      </c>
      <c r="E4768" s="16" t="s">
        <v>144</v>
      </c>
      <c r="F4768" s="16" t="s">
        <v>110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62</v>
      </c>
      <c r="C4769" s="9">
        <v>45748</v>
      </c>
      <c r="D4769">
        <v>52</v>
      </c>
      <c r="E4769" s="16" t="s">
        <v>144</v>
      </c>
      <c r="F4769" s="16" t="s">
        <v>110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62</v>
      </c>
      <c r="C4770" s="9">
        <v>45778</v>
      </c>
      <c r="D4770">
        <v>52</v>
      </c>
      <c r="E4770" s="16" t="s">
        <v>144</v>
      </c>
      <c r="F4770" s="16" t="s">
        <v>110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62</v>
      </c>
      <c r="C4771" s="9">
        <v>45809</v>
      </c>
      <c r="D4771">
        <v>52</v>
      </c>
      <c r="E4771" s="16" t="s">
        <v>144</v>
      </c>
      <c r="F4771" s="16" t="s">
        <v>110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62</v>
      </c>
      <c r="C4772" s="9">
        <v>45839</v>
      </c>
      <c r="D4772">
        <v>52</v>
      </c>
      <c r="E4772" s="16" t="s">
        <v>144</v>
      </c>
      <c r="F4772" s="16" t="s">
        <v>110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62</v>
      </c>
      <c r="C4773" s="9">
        <v>45870</v>
      </c>
      <c r="D4773">
        <v>52</v>
      </c>
      <c r="E4773" s="16" t="s">
        <v>144</v>
      </c>
      <c r="F4773" s="16" t="s">
        <v>110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62</v>
      </c>
      <c r="C4774" s="9">
        <v>45901</v>
      </c>
      <c r="D4774">
        <v>52</v>
      </c>
      <c r="E4774" s="16" t="s">
        <v>144</v>
      </c>
      <c r="F4774" s="16" t="s">
        <v>110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62</v>
      </c>
      <c r="C4775" s="9">
        <v>45931</v>
      </c>
      <c r="D4775">
        <v>52</v>
      </c>
      <c r="E4775" s="16" t="s">
        <v>144</v>
      </c>
      <c r="F4775" s="16" t="s">
        <v>110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62</v>
      </c>
      <c r="C4776" s="9">
        <v>45992</v>
      </c>
      <c r="D4776">
        <v>52</v>
      </c>
      <c r="E4776" s="16" t="s">
        <v>144</v>
      </c>
      <c r="F4776" s="16" t="s">
        <v>110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62</v>
      </c>
      <c r="C4777" s="9">
        <v>46023</v>
      </c>
      <c r="D4777">
        <v>52</v>
      </c>
      <c r="E4777" s="16" t="s">
        <v>144</v>
      </c>
      <c r="F4777" s="16" t="s">
        <v>110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62</v>
      </c>
      <c r="C4778" s="9">
        <v>46054</v>
      </c>
      <c r="D4778">
        <v>52</v>
      </c>
      <c r="E4778" s="16" t="s">
        <v>144</v>
      </c>
      <c r="F4778" s="16" t="s">
        <v>110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62</v>
      </c>
      <c r="C4779" s="9">
        <v>46113</v>
      </c>
      <c r="D4779">
        <v>52</v>
      </c>
      <c r="E4779" s="16" t="s">
        <v>144</v>
      </c>
      <c r="F4779" s="16" t="s">
        <v>110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62</v>
      </c>
      <c r="C4780" s="9">
        <v>46143</v>
      </c>
      <c r="D4780">
        <v>52</v>
      </c>
      <c r="E4780" s="16" t="s">
        <v>144</v>
      </c>
      <c r="F4780" s="16" t="s">
        <v>110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62</v>
      </c>
      <c r="C4781" s="9">
        <v>46174</v>
      </c>
      <c r="D4781">
        <v>52</v>
      </c>
      <c r="E4781" s="16" t="s">
        <v>144</v>
      </c>
      <c r="F4781" s="16" t="s">
        <v>110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62</v>
      </c>
      <c r="C4782" s="9">
        <v>46204</v>
      </c>
      <c r="D4782">
        <v>52</v>
      </c>
      <c r="E4782" s="16" t="s">
        <v>144</v>
      </c>
      <c r="F4782" s="16" t="s">
        <v>110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62</v>
      </c>
      <c r="C4783" s="9">
        <v>46235</v>
      </c>
      <c r="D4783">
        <v>52</v>
      </c>
      <c r="E4783" s="16" t="s">
        <v>144</v>
      </c>
      <c r="F4783" s="16" t="s">
        <v>110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62</v>
      </c>
      <c r="C4784" s="9">
        <v>45689</v>
      </c>
      <c r="D4784">
        <v>53</v>
      </c>
      <c r="E4784" s="16" t="s">
        <v>145</v>
      </c>
      <c r="F4784" s="16" t="s">
        <v>105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62</v>
      </c>
      <c r="C4785" s="9">
        <v>45717</v>
      </c>
      <c r="D4785">
        <v>53</v>
      </c>
      <c r="E4785" s="16" t="s">
        <v>145</v>
      </c>
      <c r="F4785" s="16" t="s">
        <v>105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62</v>
      </c>
      <c r="C4786" s="9">
        <v>45748</v>
      </c>
      <c r="D4786">
        <v>53</v>
      </c>
      <c r="E4786" s="16" t="s">
        <v>145</v>
      </c>
      <c r="F4786" s="16" t="s">
        <v>105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62</v>
      </c>
      <c r="C4787" s="9">
        <v>45778</v>
      </c>
      <c r="D4787">
        <v>53</v>
      </c>
      <c r="E4787" s="16" t="s">
        <v>145</v>
      </c>
      <c r="F4787" s="16" t="s">
        <v>105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62</v>
      </c>
      <c r="C4788" s="9">
        <v>45809</v>
      </c>
      <c r="D4788">
        <v>53</v>
      </c>
      <c r="E4788" s="16" t="s">
        <v>145</v>
      </c>
      <c r="F4788" s="16" t="s">
        <v>105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62</v>
      </c>
      <c r="C4789" s="9">
        <v>45839</v>
      </c>
      <c r="D4789">
        <v>53</v>
      </c>
      <c r="E4789" s="16" t="s">
        <v>145</v>
      </c>
      <c r="F4789" s="16" t="s">
        <v>105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62</v>
      </c>
      <c r="C4790" s="9">
        <v>45870</v>
      </c>
      <c r="D4790">
        <v>53</v>
      </c>
      <c r="E4790" s="16" t="s">
        <v>145</v>
      </c>
      <c r="F4790" s="16" t="s">
        <v>105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62</v>
      </c>
      <c r="C4791" s="9">
        <v>45901</v>
      </c>
      <c r="D4791">
        <v>53</v>
      </c>
      <c r="E4791" s="16" t="s">
        <v>145</v>
      </c>
      <c r="F4791" s="16" t="s">
        <v>105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62</v>
      </c>
      <c r="C4792" s="9">
        <v>45931</v>
      </c>
      <c r="D4792">
        <v>53</v>
      </c>
      <c r="E4792" s="16" t="s">
        <v>145</v>
      </c>
      <c r="F4792" s="16" t="s">
        <v>105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62</v>
      </c>
      <c r="C4793" s="9">
        <v>45962</v>
      </c>
      <c r="D4793">
        <v>53</v>
      </c>
      <c r="E4793" s="16" t="s">
        <v>145</v>
      </c>
      <c r="F4793" s="16" t="s">
        <v>105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62</v>
      </c>
      <c r="C4794" s="9">
        <v>45992</v>
      </c>
      <c r="D4794">
        <v>53</v>
      </c>
      <c r="E4794" s="16" t="s">
        <v>145</v>
      </c>
      <c r="F4794" s="16" t="s">
        <v>105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62</v>
      </c>
      <c r="C4795" s="9">
        <v>46023</v>
      </c>
      <c r="D4795">
        <v>53</v>
      </c>
      <c r="E4795" s="16" t="s">
        <v>145</v>
      </c>
      <c r="F4795" s="16" t="s">
        <v>105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62</v>
      </c>
      <c r="C4796" s="9">
        <v>46054</v>
      </c>
      <c r="D4796">
        <v>53</v>
      </c>
      <c r="E4796" s="16" t="s">
        <v>145</v>
      </c>
      <c r="F4796" s="16" t="s">
        <v>105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62</v>
      </c>
      <c r="C4797" s="9">
        <v>46082</v>
      </c>
      <c r="D4797">
        <v>53</v>
      </c>
      <c r="E4797" s="16" t="s">
        <v>145</v>
      </c>
      <c r="F4797" s="16" t="s">
        <v>105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62</v>
      </c>
      <c r="C4798" s="9">
        <v>46113</v>
      </c>
      <c r="D4798">
        <v>53</v>
      </c>
      <c r="E4798" s="16" t="s">
        <v>145</v>
      </c>
      <c r="F4798" s="16" t="s">
        <v>105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62</v>
      </c>
      <c r="C4799" s="9">
        <v>46143</v>
      </c>
      <c r="D4799">
        <v>53</v>
      </c>
      <c r="E4799" s="16" t="s">
        <v>145</v>
      </c>
      <c r="F4799" s="16" t="s">
        <v>105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62</v>
      </c>
      <c r="C4800" s="9">
        <v>46174</v>
      </c>
      <c r="D4800">
        <v>53</v>
      </c>
      <c r="E4800" s="16" t="s">
        <v>145</v>
      </c>
      <c r="F4800" s="16" t="s">
        <v>105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62</v>
      </c>
      <c r="C4801" s="9">
        <v>46204</v>
      </c>
      <c r="D4801">
        <v>53</v>
      </c>
      <c r="E4801" s="16" t="s">
        <v>145</v>
      </c>
      <c r="F4801" s="16" t="s">
        <v>105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62</v>
      </c>
      <c r="C4802" s="9">
        <v>46235</v>
      </c>
      <c r="D4802">
        <v>53</v>
      </c>
      <c r="E4802" s="16" t="s">
        <v>145</v>
      </c>
      <c r="F4802" s="16" t="s">
        <v>105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62</v>
      </c>
      <c r="C4803" s="9">
        <v>46266</v>
      </c>
      <c r="D4803">
        <v>53</v>
      </c>
      <c r="E4803" s="16" t="s">
        <v>145</v>
      </c>
      <c r="F4803" s="16" t="s">
        <v>105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62</v>
      </c>
      <c r="C4804" s="9">
        <v>45689</v>
      </c>
      <c r="D4804">
        <v>54</v>
      </c>
      <c r="E4804" s="16" t="s">
        <v>146</v>
      </c>
      <c r="F4804" s="16" t="s">
        <v>105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62</v>
      </c>
      <c r="C4805" s="9">
        <v>45717</v>
      </c>
      <c r="D4805">
        <v>54</v>
      </c>
      <c r="E4805" s="16" t="s">
        <v>146</v>
      </c>
      <c r="F4805" s="16" t="s">
        <v>105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62</v>
      </c>
      <c r="C4806" s="9">
        <v>45748</v>
      </c>
      <c r="D4806">
        <v>54</v>
      </c>
      <c r="E4806" s="16" t="s">
        <v>146</v>
      </c>
      <c r="F4806" s="16" t="s">
        <v>105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62</v>
      </c>
      <c r="C4807" s="9">
        <v>45778</v>
      </c>
      <c r="D4807">
        <v>54</v>
      </c>
      <c r="E4807" s="16" t="s">
        <v>146</v>
      </c>
      <c r="F4807" s="16" t="s">
        <v>105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62</v>
      </c>
      <c r="C4808" s="9">
        <v>45809</v>
      </c>
      <c r="D4808">
        <v>54</v>
      </c>
      <c r="E4808" s="16" t="s">
        <v>146</v>
      </c>
      <c r="F4808" s="16" t="s">
        <v>105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62</v>
      </c>
      <c r="C4809" s="9">
        <v>45839</v>
      </c>
      <c r="D4809">
        <v>54</v>
      </c>
      <c r="E4809" s="16" t="s">
        <v>146</v>
      </c>
      <c r="F4809" s="16" t="s">
        <v>105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62</v>
      </c>
      <c r="C4810" s="9">
        <v>45870</v>
      </c>
      <c r="D4810">
        <v>54</v>
      </c>
      <c r="E4810" s="16" t="s">
        <v>146</v>
      </c>
      <c r="F4810" s="16" t="s">
        <v>105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62</v>
      </c>
      <c r="C4811" s="9">
        <v>45901</v>
      </c>
      <c r="D4811">
        <v>54</v>
      </c>
      <c r="E4811" s="16" t="s">
        <v>146</v>
      </c>
      <c r="F4811" s="16" t="s">
        <v>105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62</v>
      </c>
      <c r="C4812" s="9">
        <v>45931</v>
      </c>
      <c r="D4812">
        <v>54</v>
      </c>
      <c r="E4812" s="16" t="s">
        <v>146</v>
      </c>
      <c r="F4812" s="16" t="s">
        <v>105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62</v>
      </c>
      <c r="C4813" s="9">
        <v>45962</v>
      </c>
      <c r="D4813">
        <v>54</v>
      </c>
      <c r="E4813" s="16" t="s">
        <v>146</v>
      </c>
      <c r="F4813" s="16" t="s">
        <v>105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62</v>
      </c>
      <c r="C4814" s="9">
        <v>45992</v>
      </c>
      <c r="D4814">
        <v>54</v>
      </c>
      <c r="E4814" s="16" t="s">
        <v>146</v>
      </c>
      <c r="F4814" s="16" t="s">
        <v>105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62</v>
      </c>
      <c r="C4815" s="9">
        <v>46023</v>
      </c>
      <c r="D4815">
        <v>54</v>
      </c>
      <c r="E4815" s="16" t="s">
        <v>146</v>
      </c>
      <c r="F4815" s="16" t="s">
        <v>105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62</v>
      </c>
      <c r="C4816" s="9">
        <v>46054</v>
      </c>
      <c r="D4816">
        <v>54</v>
      </c>
      <c r="E4816" s="16" t="s">
        <v>146</v>
      </c>
      <c r="F4816" s="16" t="s">
        <v>105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62</v>
      </c>
      <c r="C4817" s="9">
        <v>46082</v>
      </c>
      <c r="D4817">
        <v>54</v>
      </c>
      <c r="E4817" s="16" t="s">
        <v>146</v>
      </c>
      <c r="F4817" s="16" t="s">
        <v>105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62</v>
      </c>
      <c r="C4818" s="9">
        <v>46113</v>
      </c>
      <c r="D4818">
        <v>54</v>
      </c>
      <c r="E4818" s="16" t="s">
        <v>146</v>
      </c>
      <c r="F4818" s="16" t="s">
        <v>105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62</v>
      </c>
      <c r="C4819" s="9">
        <v>46143</v>
      </c>
      <c r="D4819">
        <v>54</v>
      </c>
      <c r="E4819" s="16" t="s">
        <v>146</v>
      </c>
      <c r="F4819" s="16" t="s">
        <v>105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62</v>
      </c>
      <c r="C4820" s="9">
        <v>46174</v>
      </c>
      <c r="D4820">
        <v>54</v>
      </c>
      <c r="E4820" s="16" t="s">
        <v>146</v>
      </c>
      <c r="F4820" s="16" t="s">
        <v>105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62</v>
      </c>
      <c r="C4821" s="9">
        <v>46204</v>
      </c>
      <c r="D4821">
        <v>54</v>
      </c>
      <c r="E4821" s="16" t="s">
        <v>146</v>
      </c>
      <c r="F4821" s="16" t="s">
        <v>105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62</v>
      </c>
      <c r="C4822" s="9">
        <v>46235</v>
      </c>
      <c r="D4822">
        <v>54</v>
      </c>
      <c r="E4822" s="16" t="s">
        <v>146</v>
      </c>
      <c r="F4822" s="16" t="s">
        <v>105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62</v>
      </c>
      <c r="C4823" s="9">
        <v>46266</v>
      </c>
      <c r="D4823">
        <v>54</v>
      </c>
      <c r="E4823" s="16" t="s">
        <v>146</v>
      </c>
      <c r="F4823" s="16" t="s">
        <v>105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62</v>
      </c>
      <c r="C4824" s="9">
        <v>45689</v>
      </c>
      <c r="D4824">
        <v>55</v>
      </c>
      <c r="E4824" s="16" t="s">
        <v>147</v>
      </c>
      <c r="F4824" s="16" t="s">
        <v>85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62</v>
      </c>
      <c r="C4825" s="9">
        <v>45717</v>
      </c>
      <c r="D4825">
        <v>55</v>
      </c>
      <c r="E4825" s="16" t="s">
        <v>147</v>
      </c>
      <c r="F4825" s="16" t="s">
        <v>85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62</v>
      </c>
      <c r="C4826" s="9">
        <v>45748</v>
      </c>
      <c r="D4826">
        <v>55</v>
      </c>
      <c r="E4826" s="16" t="s">
        <v>147</v>
      </c>
      <c r="F4826" s="16" t="s">
        <v>85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62</v>
      </c>
      <c r="C4827" s="9">
        <v>45778</v>
      </c>
      <c r="D4827">
        <v>55</v>
      </c>
      <c r="E4827" s="16" t="s">
        <v>147</v>
      </c>
      <c r="F4827" s="16" t="s">
        <v>85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62</v>
      </c>
      <c r="C4828" s="9">
        <v>45809</v>
      </c>
      <c r="D4828">
        <v>55</v>
      </c>
      <c r="E4828" s="16" t="s">
        <v>147</v>
      </c>
      <c r="F4828" s="16" t="s">
        <v>85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62</v>
      </c>
      <c r="C4829" s="9">
        <v>45839</v>
      </c>
      <c r="D4829">
        <v>55</v>
      </c>
      <c r="E4829" s="16" t="s">
        <v>147</v>
      </c>
      <c r="F4829" s="16" t="s">
        <v>85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62</v>
      </c>
      <c r="C4830" s="9">
        <v>45870</v>
      </c>
      <c r="D4830">
        <v>55</v>
      </c>
      <c r="E4830" s="16" t="s">
        <v>147</v>
      </c>
      <c r="F4830" s="16" t="s">
        <v>85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62</v>
      </c>
      <c r="C4831" s="9">
        <v>45901</v>
      </c>
      <c r="D4831">
        <v>55</v>
      </c>
      <c r="E4831" s="16" t="s">
        <v>147</v>
      </c>
      <c r="F4831" s="16" t="s">
        <v>85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62</v>
      </c>
      <c r="C4832" s="9">
        <v>45931</v>
      </c>
      <c r="D4832">
        <v>55</v>
      </c>
      <c r="E4832" s="16" t="s">
        <v>147</v>
      </c>
      <c r="F4832" s="16" t="s">
        <v>85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62</v>
      </c>
      <c r="C4833" s="9">
        <v>45962</v>
      </c>
      <c r="D4833">
        <v>55</v>
      </c>
      <c r="E4833" s="16" t="s">
        <v>147</v>
      </c>
      <c r="F4833" s="16" t="s">
        <v>85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62</v>
      </c>
      <c r="C4834" s="9">
        <v>45992</v>
      </c>
      <c r="D4834">
        <v>55</v>
      </c>
      <c r="E4834" s="16" t="s">
        <v>147</v>
      </c>
      <c r="F4834" s="16" t="s">
        <v>85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62</v>
      </c>
      <c r="C4835" s="9">
        <v>46023</v>
      </c>
      <c r="D4835">
        <v>55</v>
      </c>
      <c r="E4835" s="16" t="s">
        <v>147</v>
      </c>
      <c r="F4835" s="16" t="s">
        <v>85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62</v>
      </c>
      <c r="C4836" s="9">
        <v>46054</v>
      </c>
      <c r="D4836">
        <v>55</v>
      </c>
      <c r="E4836" s="16" t="s">
        <v>147</v>
      </c>
      <c r="F4836" s="16" t="s">
        <v>85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62</v>
      </c>
      <c r="C4837" s="9">
        <v>46082</v>
      </c>
      <c r="D4837">
        <v>55</v>
      </c>
      <c r="E4837" s="16" t="s">
        <v>147</v>
      </c>
      <c r="F4837" s="16" t="s">
        <v>85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62</v>
      </c>
      <c r="C4838" s="9">
        <v>46113</v>
      </c>
      <c r="D4838">
        <v>55</v>
      </c>
      <c r="E4838" s="16" t="s">
        <v>147</v>
      </c>
      <c r="F4838" s="16" t="s">
        <v>85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62</v>
      </c>
      <c r="C4839" s="9">
        <v>46143</v>
      </c>
      <c r="D4839">
        <v>55</v>
      </c>
      <c r="E4839" s="16" t="s">
        <v>147</v>
      </c>
      <c r="F4839" s="16" t="s">
        <v>85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62</v>
      </c>
      <c r="C4840" s="9">
        <v>46174</v>
      </c>
      <c r="D4840">
        <v>55</v>
      </c>
      <c r="E4840" s="16" t="s">
        <v>147</v>
      </c>
      <c r="F4840" s="16" t="s">
        <v>85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62</v>
      </c>
      <c r="C4841" s="9">
        <v>46204</v>
      </c>
      <c r="D4841">
        <v>55</v>
      </c>
      <c r="E4841" s="16" t="s">
        <v>147</v>
      </c>
      <c r="F4841" s="16" t="s">
        <v>85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62</v>
      </c>
      <c r="C4842" s="9">
        <v>46235</v>
      </c>
      <c r="D4842">
        <v>55</v>
      </c>
      <c r="E4842" s="16" t="s">
        <v>147</v>
      </c>
      <c r="F4842" s="16" t="s">
        <v>85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62</v>
      </c>
      <c r="C4843" s="9">
        <v>46266</v>
      </c>
      <c r="D4843">
        <v>55</v>
      </c>
      <c r="E4843" s="16" t="s">
        <v>147</v>
      </c>
      <c r="F4843" s="16" t="s">
        <v>85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62</v>
      </c>
      <c r="C4844" s="9">
        <v>45689</v>
      </c>
      <c r="D4844">
        <v>56</v>
      </c>
      <c r="E4844" s="16" t="s">
        <v>148</v>
      </c>
      <c r="F4844" s="16" t="s">
        <v>140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62</v>
      </c>
      <c r="C4845" s="9">
        <v>45717</v>
      </c>
      <c r="D4845">
        <v>56</v>
      </c>
      <c r="E4845" s="16" t="s">
        <v>148</v>
      </c>
      <c r="F4845" s="16" t="s">
        <v>140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62</v>
      </c>
      <c r="C4846" s="9">
        <v>45748</v>
      </c>
      <c r="D4846">
        <v>56</v>
      </c>
      <c r="E4846" s="16" t="s">
        <v>148</v>
      </c>
      <c r="F4846" s="16" t="s">
        <v>140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62</v>
      </c>
      <c r="C4847" s="9">
        <v>45778</v>
      </c>
      <c r="D4847">
        <v>56</v>
      </c>
      <c r="E4847" s="16" t="s">
        <v>148</v>
      </c>
      <c r="F4847" s="16" t="s">
        <v>140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62</v>
      </c>
      <c r="C4848" s="9">
        <v>45809</v>
      </c>
      <c r="D4848">
        <v>56</v>
      </c>
      <c r="E4848" s="16" t="s">
        <v>148</v>
      </c>
      <c r="F4848" s="16" t="s">
        <v>140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62</v>
      </c>
      <c r="C4849" s="9">
        <v>45839</v>
      </c>
      <c r="D4849">
        <v>56</v>
      </c>
      <c r="E4849" s="16" t="s">
        <v>148</v>
      </c>
      <c r="F4849" s="16" t="s">
        <v>140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62</v>
      </c>
      <c r="C4850" s="9">
        <v>45870</v>
      </c>
      <c r="D4850">
        <v>56</v>
      </c>
      <c r="E4850" s="16" t="s">
        <v>148</v>
      </c>
      <c r="F4850" s="16" t="s">
        <v>140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62</v>
      </c>
      <c r="C4851" s="9">
        <v>45901</v>
      </c>
      <c r="D4851">
        <v>56</v>
      </c>
      <c r="E4851" s="16" t="s">
        <v>148</v>
      </c>
      <c r="F4851" s="16" t="s">
        <v>140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62</v>
      </c>
      <c r="C4852" s="9">
        <v>45931</v>
      </c>
      <c r="D4852">
        <v>56</v>
      </c>
      <c r="E4852" s="16" t="s">
        <v>148</v>
      </c>
      <c r="F4852" s="16" t="s">
        <v>140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62</v>
      </c>
      <c r="C4853" s="9">
        <v>45962</v>
      </c>
      <c r="D4853">
        <v>56</v>
      </c>
      <c r="E4853" s="16" t="s">
        <v>148</v>
      </c>
      <c r="F4853" s="16" t="s">
        <v>140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62</v>
      </c>
      <c r="C4854" s="9">
        <v>45992</v>
      </c>
      <c r="D4854">
        <v>56</v>
      </c>
      <c r="E4854" s="16" t="s">
        <v>148</v>
      </c>
      <c r="F4854" s="16" t="s">
        <v>140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62</v>
      </c>
      <c r="C4855" s="9">
        <v>46023</v>
      </c>
      <c r="D4855">
        <v>56</v>
      </c>
      <c r="E4855" s="16" t="s">
        <v>148</v>
      </c>
      <c r="F4855" s="16" t="s">
        <v>140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62</v>
      </c>
      <c r="C4856" s="9">
        <v>46054</v>
      </c>
      <c r="D4856">
        <v>56</v>
      </c>
      <c r="E4856" s="16" t="s">
        <v>148</v>
      </c>
      <c r="F4856" s="16" t="s">
        <v>140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62</v>
      </c>
      <c r="C4857" s="9">
        <v>46082</v>
      </c>
      <c r="D4857">
        <v>56</v>
      </c>
      <c r="E4857" s="16" t="s">
        <v>148</v>
      </c>
      <c r="F4857" s="16" t="s">
        <v>140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62</v>
      </c>
      <c r="C4858" s="9">
        <v>46113</v>
      </c>
      <c r="D4858">
        <v>56</v>
      </c>
      <c r="E4858" s="16" t="s">
        <v>148</v>
      </c>
      <c r="F4858" s="16" t="s">
        <v>140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62</v>
      </c>
      <c r="C4859" s="9">
        <v>46143</v>
      </c>
      <c r="D4859">
        <v>56</v>
      </c>
      <c r="E4859" s="16" t="s">
        <v>148</v>
      </c>
      <c r="F4859" s="16" t="s">
        <v>140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62</v>
      </c>
      <c r="C4860" s="9">
        <v>46174</v>
      </c>
      <c r="D4860">
        <v>56</v>
      </c>
      <c r="E4860" s="16" t="s">
        <v>148</v>
      </c>
      <c r="F4860" s="16" t="s">
        <v>140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62</v>
      </c>
      <c r="C4861" s="9">
        <v>46204</v>
      </c>
      <c r="D4861">
        <v>56</v>
      </c>
      <c r="E4861" s="16" t="s">
        <v>148</v>
      </c>
      <c r="F4861" s="16" t="s">
        <v>140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62</v>
      </c>
      <c r="C4862" s="9">
        <v>46235</v>
      </c>
      <c r="D4862">
        <v>56</v>
      </c>
      <c r="E4862" s="16" t="s">
        <v>148</v>
      </c>
      <c r="F4862" s="16" t="s">
        <v>140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62</v>
      </c>
      <c r="C4863" s="9">
        <v>46266</v>
      </c>
      <c r="D4863">
        <v>56</v>
      </c>
      <c r="E4863" s="16" t="s">
        <v>148</v>
      </c>
      <c r="F4863" s="16" t="s">
        <v>140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63</v>
      </c>
      <c r="C4864" s="9">
        <v>45689</v>
      </c>
      <c r="D4864">
        <v>1</v>
      </c>
      <c r="E4864" s="16" t="s">
        <v>82</v>
      </c>
      <c r="F4864" s="16" t="s">
        <v>83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63</v>
      </c>
      <c r="C4865" s="9">
        <v>45717</v>
      </c>
      <c r="D4865">
        <v>1</v>
      </c>
      <c r="E4865" s="16" t="s">
        <v>82</v>
      </c>
      <c r="F4865" s="16" t="s">
        <v>83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63</v>
      </c>
      <c r="C4866" s="9">
        <v>45748</v>
      </c>
      <c r="D4866">
        <v>1</v>
      </c>
      <c r="E4866" s="16" t="s">
        <v>82</v>
      </c>
      <c r="F4866" s="16" t="s">
        <v>83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63</v>
      </c>
      <c r="C4867" s="9">
        <v>45778</v>
      </c>
      <c r="D4867">
        <v>1</v>
      </c>
      <c r="E4867" s="16" t="s">
        <v>82</v>
      </c>
      <c r="F4867" s="16" t="s">
        <v>83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63</v>
      </c>
      <c r="C4868" s="9">
        <v>45809</v>
      </c>
      <c r="D4868">
        <v>1</v>
      </c>
      <c r="E4868" s="16" t="s">
        <v>82</v>
      </c>
      <c r="F4868" s="16" t="s">
        <v>83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63</v>
      </c>
      <c r="C4869" s="9">
        <v>45839</v>
      </c>
      <c r="D4869">
        <v>1</v>
      </c>
      <c r="E4869" s="16" t="s">
        <v>82</v>
      </c>
      <c r="F4869" s="16" t="s">
        <v>83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63</v>
      </c>
      <c r="C4870" s="9">
        <v>45870</v>
      </c>
      <c r="D4870">
        <v>1</v>
      </c>
      <c r="E4870" s="16" t="s">
        <v>82</v>
      </c>
      <c r="F4870" s="16" t="s">
        <v>83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63</v>
      </c>
      <c r="C4871" s="9">
        <v>45901</v>
      </c>
      <c r="D4871">
        <v>1</v>
      </c>
      <c r="E4871" s="16" t="s">
        <v>82</v>
      </c>
      <c r="F4871" s="16" t="s">
        <v>83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63</v>
      </c>
      <c r="C4872" s="9">
        <v>45931</v>
      </c>
      <c r="D4872">
        <v>1</v>
      </c>
      <c r="E4872" s="16" t="s">
        <v>82</v>
      </c>
      <c r="F4872" s="16" t="s">
        <v>83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63</v>
      </c>
      <c r="C4873" s="9">
        <v>45962</v>
      </c>
      <c r="D4873">
        <v>1</v>
      </c>
      <c r="E4873" s="16" t="s">
        <v>82</v>
      </c>
      <c r="F4873" s="16" t="s">
        <v>83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63</v>
      </c>
      <c r="C4874" s="9">
        <v>45992</v>
      </c>
      <c r="D4874">
        <v>1</v>
      </c>
      <c r="E4874" s="16" t="s">
        <v>82</v>
      </c>
      <c r="F4874" s="16" t="s">
        <v>83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63</v>
      </c>
      <c r="C4875" s="9">
        <v>46023</v>
      </c>
      <c r="D4875">
        <v>1</v>
      </c>
      <c r="E4875" s="16" t="s">
        <v>82</v>
      </c>
      <c r="F4875" s="16" t="s">
        <v>83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63</v>
      </c>
      <c r="C4876" s="9">
        <v>46054</v>
      </c>
      <c r="D4876">
        <v>1</v>
      </c>
      <c r="E4876" s="16" t="s">
        <v>82</v>
      </c>
      <c r="F4876" s="16" t="s">
        <v>83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63</v>
      </c>
      <c r="C4877" s="9">
        <v>46082</v>
      </c>
      <c r="D4877">
        <v>1</v>
      </c>
      <c r="E4877" s="16" t="s">
        <v>82</v>
      </c>
      <c r="F4877" s="16" t="s">
        <v>83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63</v>
      </c>
      <c r="C4878" s="9">
        <v>46113</v>
      </c>
      <c r="D4878">
        <v>1</v>
      </c>
      <c r="E4878" s="16" t="s">
        <v>82</v>
      </c>
      <c r="F4878" s="16" t="s">
        <v>83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63</v>
      </c>
      <c r="C4879" s="9">
        <v>46143</v>
      </c>
      <c r="D4879">
        <v>1</v>
      </c>
      <c r="E4879" s="16" t="s">
        <v>82</v>
      </c>
      <c r="F4879" s="16" t="s">
        <v>83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63</v>
      </c>
      <c r="C4880" s="9">
        <v>46174</v>
      </c>
      <c r="D4880">
        <v>1</v>
      </c>
      <c r="E4880" s="16" t="s">
        <v>82</v>
      </c>
      <c r="F4880" s="16" t="s">
        <v>83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63</v>
      </c>
      <c r="C4881" s="9">
        <v>46204</v>
      </c>
      <c r="D4881">
        <v>1</v>
      </c>
      <c r="E4881" s="16" t="s">
        <v>82</v>
      </c>
      <c r="F4881" s="16" t="s">
        <v>83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63</v>
      </c>
      <c r="C4882" s="9">
        <v>46235</v>
      </c>
      <c r="D4882">
        <v>1</v>
      </c>
      <c r="E4882" s="16" t="s">
        <v>82</v>
      </c>
      <c r="F4882" s="16" t="s">
        <v>83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63</v>
      </c>
      <c r="C4883" s="9">
        <v>46266</v>
      </c>
      <c r="D4883">
        <v>1</v>
      </c>
      <c r="E4883" s="16" t="s">
        <v>82</v>
      </c>
      <c r="F4883" s="16" t="s">
        <v>83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63</v>
      </c>
      <c r="C4884" s="9">
        <v>45689</v>
      </c>
      <c r="D4884">
        <v>2</v>
      </c>
      <c r="E4884" s="16" t="s">
        <v>84</v>
      </c>
      <c r="F4884" s="16" t="s">
        <v>85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63</v>
      </c>
      <c r="C4885" s="9">
        <v>45717</v>
      </c>
      <c r="D4885">
        <v>2</v>
      </c>
      <c r="E4885" s="16" t="s">
        <v>84</v>
      </c>
      <c r="F4885" s="16" t="s">
        <v>85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63</v>
      </c>
      <c r="C4886" s="9">
        <v>45748</v>
      </c>
      <c r="D4886">
        <v>2</v>
      </c>
      <c r="E4886" s="16" t="s">
        <v>84</v>
      </c>
      <c r="F4886" s="16" t="s">
        <v>85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63</v>
      </c>
      <c r="C4887" s="9">
        <v>45778</v>
      </c>
      <c r="D4887">
        <v>2</v>
      </c>
      <c r="E4887" s="16" t="s">
        <v>84</v>
      </c>
      <c r="F4887" s="16" t="s">
        <v>85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63</v>
      </c>
      <c r="C4888" s="9">
        <v>45809</v>
      </c>
      <c r="D4888">
        <v>2</v>
      </c>
      <c r="E4888" s="16" t="s">
        <v>84</v>
      </c>
      <c r="F4888" s="16" t="s">
        <v>85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63</v>
      </c>
      <c r="C4889" s="9">
        <v>45839</v>
      </c>
      <c r="D4889">
        <v>2</v>
      </c>
      <c r="E4889" s="16" t="s">
        <v>84</v>
      </c>
      <c r="F4889" s="16" t="s">
        <v>85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63</v>
      </c>
      <c r="C4890" s="9">
        <v>45870</v>
      </c>
      <c r="D4890">
        <v>2</v>
      </c>
      <c r="E4890" s="16" t="s">
        <v>84</v>
      </c>
      <c r="F4890" s="16" t="s">
        <v>85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63</v>
      </c>
      <c r="C4891" s="9">
        <v>45901</v>
      </c>
      <c r="D4891">
        <v>2</v>
      </c>
      <c r="E4891" s="16" t="s">
        <v>84</v>
      </c>
      <c r="F4891" s="16" t="s">
        <v>85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63</v>
      </c>
      <c r="C4892" s="9">
        <v>45931</v>
      </c>
      <c r="D4892">
        <v>2</v>
      </c>
      <c r="E4892" s="16" t="s">
        <v>84</v>
      </c>
      <c r="F4892" s="16" t="s">
        <v>85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63</v>
      </c>
      <c r="C4893" s="9">
        <v>45962</v>
      </c>
      <c r="D4893">
        <v>2</v>
      </c>
      <c r="E4893" s="16" t="s">
        <v>84</v>
      </c>
      <c r="F4893" s="16" t="s">
        <v>85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63</v>
      </c>
      <c r="C4894" s="9">
        <v>45992</v>
      </c>
      <c r="D4894">
        <v>2</v>
      </c>
      <c r="E4894" s="16" t="s">
        <v>84</v>
      </c>
      <c r="F4894" s="16" t="s">
        <v>85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63</v>
      </c>
      <c r="C4895" s="9">
        <v>46023</v>
      </c>
      <c r="D4895">
        <v>2</v>
      </c>
      <c r="E4895" s="16" t="s">
        <v>84</v>
      </c>
      <c r="F4895" s="16" t="s">
        <v>85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63</v>
      </c>
      <c r="C4896" s="9">
        <v>46054</v>
      </c>
      <c r="D4896">
        <v>2</v>
      </c>
      <c r="E4896" s="16" t="s">
        <v>84</v>
      </c>
      <c r="F4896" s="16" t="s">
        <v>85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63</v>
      </c>
      <c r="C4897" s="9">
        <v>46082</v>
      </c>
      <c r="D4897">
        <v>2</v>
      </c>
      <c r="E4897" s="16" t="s">
        <v>84</v>
      </c>
      <c r="F4897" s="16" t="s">
        <v>85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63</v>
      </c>
      <c r="C4898" s="9">
        <v>46113</v>
      </c>
      <c r="D4898">
        <v>2</v>
      </c>
      <c r="E4898" s="16" t="s">
        <v>84</v>
      </c>
      <c r="F4898" s="16" t="s">
        <v>85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63</v>
      </c>
      <c r="C4899" s="9">
        <v>46143</v>
      </c>
      <c r="D4899">
        <v>2</v>
      </c>
      <c r="E4899" s="16" t="s">
        <v>84</v>
      </c>
      <c r="F4899" s="16" t="s">
        <v>85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63</v>
      </c>
      <c r="C4900" s="9">
        <v>46174</v>
      </c>
      <c r="D4900">
        <v>2</v>
      </c>
      <c r="E4900" s="16" t="s">
        <v>84</v>
      </c>
      <c r="F4900" s="16" t="s">
        <v>85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63</v>
      </c>
      <c r="C4901" s="9">
        <v>46204</v>
      </c>
      <c r="D4901">
        <v>2</v>
      </c>
      <c r="E4901" s="16" t="s">
        <v>84</v>
      </c>
      <c r="F4901" s="16" t="s">
        <v>85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63</v>
      </c>
      <c r="C4902" s="9">
        <v>46235</v>
      </c>
      <c r="D4902">
        <v>2</v>
      </c>
      <c r="E4902" s="16" t="s">
        <v>84</v>
      </c>
      <c r="F4902" s="16" t="s">
        <v>85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63</v>
      </c>
      <c r="C4903" s="9">
        <v>46266</v>
      </c>
      <c r="D4903">
        <v>2</v>
      </c>
      <c r="E4903" s="16" t="s">
        <v>84</v>
      </c>
      <c r="F4903" s="16" t="s">
        <v>85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63</v>
      </c>
      <c r="C4904" s="9">
        <v>45689</v>
      </c>
      <c r="D4904">
        <v>3</v>
      </c>
      <c r="E4904" s="16" t="s">
        <v>86</v>
      </c>
      <c r="F4904" s="16" t="s">
        <v>87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63</v>
      </c>
      <c r="C4905" s="9">
        <v>45717</v>
      </c>
      <c r="D4905">
        <v>3</v>
      </c>
      <c r="E4905" s="16" t="s">
        <v>86</v>
      </c>
      <c r="F4905" s="16" t="s">
        <v>87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63</v>
      </c>
      <c r="C4906" s="9">
        <v>45748</v>
      </c>
      <c r="D4906">
        <v>3</v>
      </c>
      <c r="E4906" s="16" t="s">
        <v>86</v>
      </c>
      <c r="F4906" s="16" t="s">
        <v>87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63</v>
      </c>
      <c r="C4907" s="9">
        <v>45778</v>
      </c>
      <c r="D4907">
        <v>3</v>
      </c>
      <c r="E4907" s="16" t="s">
        <v>86</v>
      </c>
      <c r="F4907" s="16" t="s">
        <v>87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63</v>
      </c>
      <c r="C4908" s="9">
        <v>45809</v>
      </c>
      <c r="D4908">
        <v>3</v>
      </c>
      <c r="E4908" s="16" t="s">
        <v>86</v>
      </c>
      <c r="F4908" s="16" t="s">
        <v>87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63</v>
      </c>
      <c r="C4909" s="9">
        <v>45839</v>
      </c>
      <c r="D4909">
        <v>3</v>
      </c>
      <c r="E4909" s="16" t="s">
        <v>86</v>
      </c>
      <c r="F4909" s="16" t="s">
        <v>87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63</v>
      </c>
      <c r="C4910" s="9">
        <v>45870</v>
      </c>
      <c r="D4910">
        <v>3</v>
      </c>
      <c r="E4910" s="16" t="s">
        <v>86</v>
      </c>
      <c r="F4910" s="16" t="s">
        <v>87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63</v>
      </c>
      <c r="C4911" s="9">
        <v>45901</v>
      </c>
      <c r="D4911">
        <v>3</v>
      </c>
      <c r="E4911" s="16" t="s">
        <v>86</v>
      </c>
      <c r="F4911" s="16" t="s">
        <v>87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63</v>
      </c>
      <c r="C4912" s="9">
        <v>45931</v>
      </c>
      <c r="D4912">
        <v>3</v>
      </c>
      <c r="E4912" s="16" t="s">
        <v>86</v>
      </c>
      <c r="F4912" s="16" t="s">
        <v>87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63</v>
      </c>
      <c r="C4913" s="9">
        <v>45962</v>
      </c>
      <c r="D4913">
        <v>3</v>
      </c>
      <c r="E4913" s="16" t="s">
        <v>86</v>
      </c>
      <c r="F4913" s="16" t="s">
        <v>87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63</v>
      </c>
      <c r="C4914" s="9">
        <v>45992</v>
      </c>
      <c r="D4914">
        <v>3</v>
      </c>
      <c r="E4914" s="16" t="s">
        <v>86</v>
      </c>
      <c r="F4914" s="16" t="s">
        <v>87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63</v>
      </c>
      <c r="C4915" s="9">
        <v>46023</v>
      </c>
      <c r="D4915">
        <v>3</v>
      </c>
      <c r="E4915" s="16" t="s">
        <v>86</v>
      </c>
      <c r="F4915" s="16" t="s">
        <v>87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63</v>
      </c>
      <c r="C4916" s="9">
        <v>46054</v>
      </c>
      <c r="D4916">
        <v>3</v>
      </c>
      <c r="E4916" s="16" t="s">
        <v>86</v>
      </c>
      <c r="F4916" s="16" t="s">
        <v>87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63</v>
      </c>
      <c r="C4917" s="9">
        <v>46082</v>
      </c>
      <c r="D4917">
        <v>3</v>
      </c>
      <c r="E4917" s="16" t="s">
        <v>86</v>
      </c>
      <c r="F4917" s="16" t="s">
        <v>87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63</v>
      </c>
      <c r="C4918" s="9">
        <v>46113</v>
      </c>
      <c r="D4918">
        <v>3</v>
      </c>
      <c r="E4918" s="16" t="s">
        <v>86</v>
      </c>
      <c r="F4918" s="16" t="s">
        <v>87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63</v>
      </c>
      <c r="C4919" s="9">
        <v>46143</v>
      </c>
      <c r="D4919">
        <v>3</v>
      </c>
      <c r="E4919" s="16" t="s">
        <v>86</v>
      </c>
      <c r="F4919" s="16" t="s">
        <v>87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63</v>
      </c>
      <c r="C4920" s="9">
        <v>46174</v>
      </c>
      <c r="D4920">
        <v>3</v>
      </c>
      <c r="E4920" s="16" t="s">
        <v>86</v>
      </c>
      <c r="F4920" s="16" t="s">
        <v>87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63</v>
      </c>
      <c r="C4921" s="9">
        <v>46204</v>
      </c>
      <c r="D4921">
        <v>3</v>
      </c>
      <c r="E4921" s="16" t="s">
        <v>86</v>
      </c>
      <c r="F4921" s="16" t="s">
        <v>87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63</v>
      </c>
      <c r="C4922" s="9">
        <v>46235</v>
      </c>
      <c r="D4922">
        <v>3</v>
      </c>
      <c r="E4922" s="16" t="s">
        <v>86</v>
      </c>
      <c r="F4922" s="16" t="s">
        <v>87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63</v>
      </c>
      <c r="C4923" s="9">
        <v>46266</v>
      </c>
      <c r="D4923">
        <v>3</v>
      </c>
      <c r="E4923" s="16" t="s">
        <v>86</v>
      </c>
      <c r="F4923" s="16" t="s">
        <v>87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63</v>
      </c>
      <c r="C4924" s="9">
        <v>45689</v>
      </c>
      <c r="D4924">
        <v>4</v>
      </c>
      <c r="E4924" s="16" t="s">
        <v>88</v>
      </c>
      <c r="F4924" s="16" t="s">
        <v>89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63</v>
      </c>
      <c r="C4925" s="9">
        <v>45717</v>
      </c>
      <c r="D4925">
        <v>4</v>
      </c>
      <c r="E4925" s="16" t="s">
        <v>88</v>
      </c>
      <c r="F4925" s="16" t="s">
        <v>89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63</v>
      </c>
      <c r="C4926" s="9">
        <v>45748</v>
      </c>
      <c r="D4926">
        <v>4</v>
      </c>
      <c r="E4926" s="16" t="s">
        <v>88</v>
      </c>
      <c r="F4926" s="16" t="s">
        <v>89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63</v>
      </c>
      <c r="C4927" s="9">
        <v>45778</v>
      </c>
      <c r="D4927">
        <v>4</v>
      </c>
      <c r="E4927" s="16" t="s">
        <v>88</v>
      </c>
      <c r="F4927" s="16" t="s">
        <v>89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63</v>
      </c>
      <c r="C4928" s="9">
        <v>45809</v>
      </c>
      <c r="D4928">
        <v>4</v>
      </c>
      <c r="E4928" s="16" t="s">
        <v>88</v>
      </c>
      <c r="F4928" s="16" t="s">
        <v>89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63</v>
      </c>
      <c r="C4929" s="9">
        <v>45839</v>
      </c>
      <c r="D4929">
        <v>4</v>
      </c>
      <c r="E4929" s="16" t="s">
        <v>88</v>
      </c>
      <c r="F4929" s="16" t="s">
        <v>89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63</v>
      </c>
      <c r="C4930" s="9">
        <v>45870</v>
      </c>
      <c r="D4930">
        <v>4</v>
      </c>
      <c r="E4930" s="16" t="s">
        <v>88</v>
      </c>
      <c r="F4930" s="16" t="s">
        <v>89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63</v>
      </c>
      <c r="C4931" s="9">
        <v>45901</v>
      </c>
      <c r="D4931">
        <v>4</v>
      </c>
      <c r="E4931" s="16" t="s">
        <v>88</v>
      </c>
      <c r="F4931" s="16" t="s">
        <v>89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63</v>
      </c>
      <c r="C4932" s="9">
        <v>45931</v>
      </c>
      <c r="D4932">
        <v>4</v>
      </c>
      <c r="E4932" s="16" t="s">
        <v>88</v>
      </c>
      <c r="F4932" s="16" t="s">
        <v>89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63</v>
      </c>
      <c r="C4933" s="9">
        <v>45962</v>
      </c>
      <c r="D4933">
        <v>4</v>
      </c>
      <c r="E4933" s="16" t="s">
        <v>88</v>
      </c>
      <c r="F4933" s="16" t="s">
        <v>89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63</v>
      </c>
      <c r="C4934" s="9">
        <v>45992</v>
      </c>
      <c r="D4934">
        <v>4</v>
      </c>
      <c r="E4934" s="16" t="s">
        <v>88</v>
      </c>
      <c r="F4934" s="16" t="s">
        <v>89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63</v>
      </c>
      <c r="C4935" s="9">
        <v>46023</v>
      </c>
      <c r="D4935">
        <v>4</v>
      </c>
      <c r="E4935" s="16" t="s">
        <v>88</v>
      </c>
      <c r="F4935" s="16" t="s">
        <v>89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63</v>
      </c>
      <c r="C4936" s="9">
        <v>46054</v>
      </c>
      <c r="D4936">
        <v>4</v>
      </c>
      <c r="E4936" s="16" t="s">
        <v>88</v>
      </c>
      <c r="F4936" s="16" t="s">
        <v>89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63</v>
      </c>
      <c r="C4937" s="9">
        <v>46082</v>
      </c>
      <c r="D4937">
        <v>4</v>
      </c>
      <c r="E4937" s="16" t="s">
        <v>88</v>
      </c>
      <c r="F4937" s="16" t="s">
        <v>89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63</v>
      </c>
      <c r="C4938" s="9">
        <v>46113</v>
      </c>
      <c r="D4938">
        <v>4</v>
      </c>
      <c r="E4938" s="16" t="s">
        <v>88</v>
      </c>
      <c r="F4938" s="16" t="s">
        <v>89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63</v>
      </c>
      <c r="C4939" s="9">
        <v>46143</v>
      </c>
      <c r="D4939">
        <v>4</v>
      </c>
      <c r="E4939" s="16" t="s">
        <v>88</v>
      </c>
      <c r="F4939" s="16" t="s">
        <v>89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63</v>
      </c>
      <c r="C4940" s="9">
        <v>46174</v>
      </c>
      <c r="D4940">
        <v>4</v>
      </c>
      <c r="E4940" s="16" t="s">
        <v>88</v>
      </c>
      <c r="F4940" s="16" t="s">
        <v>89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63</v>
      </c>
      <c r="C4941" s="9">
        <v>46204</v>
      </c>
      <c r="D4941">
        <v>4</v>
      </c>
      <c r="E4941" s="16" t="s">
        <v>88</v>
      </c>
      <c r="F4941" s="16" t="s">
        <v>89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63</v>
      </c>
      <c r="C4942" s="9">
        <v>46235</v>
      </c>
      <c r="D4942">
        <v>4</v>
      </c>
      <c r="E4942" s="16" t="s">
        <v>88</v>
      </c>
      <c r="F4942" s="16" t="s">
        <v>89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63</v>
      </c>
      <c r="C4943" s="9">
        <v>46266</v>
      </c>
      <c r="D4943">
        <v>4</v>
      </c>
      <c r="E4943" s="16" t="s">
        <v>88</v>
      </c>
      <c r="F4943" s="16" t="s">
        <v>89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63</v>
      </c>
      <c r="C4944" s="9">
        <v>45689</v>
      </c>
      <c r="D4944">
        <v>5</v>
      </c>
      <c r="E4944" s="16" t="s">
        <v>90</v>
      </c>
      <c r="F4944" s="16" t="s">
        <v>85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63</v>
      </c>
      <c r="C4945" s="9">
        <v>45717</v>
      </c>
      <c r="D4945">
        <v>5</v>
      </c>
      <c r="E4945" s="16" t="s">
        <v>90</v>
      </c>
      <c r="F4945" s="16" t="s">
        <v>85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63</v>
      </c>
      <c r="C4946" s="9">
        <v>45748</v>
      </c>
      <c r="D4946">
        <v>5</v>
      </c>
      <c r="E4946" s="16" t="s">
        <v>90</v>
      </c>
      <c r="F4946" s="16" t="s">
        <v>85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63</v>
      </c>
      <c r="C4947" s="9">
        <v>45778</v>
      </c>
      <c r="D4947">
        <v>5</v>
      </c>
      <c r="E4947" s="16" t="s">
        <v>90</v>
      </c>
      <c r="F4947" s="16" t="s">
        <v>85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63</v>
      </c>
      <c r="C4948" s="9">
        <v>45809</v>
      </c>
      <c r="D4948">
        <v>5</v>
      </c>
      <c r="E4948" s="16" t="s">
        <v>90</v>
      </c>
      <c r="F4948" s="16" t="s">
        <v>85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63</v>
      </c>
      <c r="C4949" s="9">
        <v>45839</v>
      </c>
      <c r="D4949">
        <v>5</v>
      </c>
      <c r="E4949" s="16" t="s">
        <v>90</v>
      </c>
      <c r="F4949" s="16" t="s">
        <v>85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63</v>
      </c>
      <c r="C4950" s="9">
        <v>45870</v>
      </c>
      <c r="D4950">
        <v>5</v>
      </c>
      <c r="E4950" s="16" t="s">
        <v>90</v>
      </c>
      <c r="F4950" s="16" t="s">
        <v>85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63</v>
      </c>
      <c r="C4951" s="9">
        <v>45901</v>
      </c>
      <c r="D4951">
        <v>5</v>
      </c>
      <c r="E4951" s="16" t="s">
        <v>90</v>
      </c>
      <c r="F4951" s="16" t="s">
        <v>85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63</v>
      </c>
      <c r="C4952" s="9">
        <v>45931</v>
      </c>
      <c r="D4952">
        <v>5</v>
      </c>
      <c r="E4952" s="16" t="s">
        <v>90</v>
      </c>
      <c r="F4952" s="16" t="s">
        <v>85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63</v>
      </c>
      <c r="C4953" s="9">
        <v>45962</v>
      </c>
      <c r="D4953">
        <v>5</v>
      </c>
      <c r="E4953" s="16" t="s">
        <v>90</v>
      </c>
      <c r="F4953" s="16" t="s">
        <v>85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63</v>
      </c>
      <c r="C4954" s="9">
        <v>45992</v>
      </c>
      <c r="D4954">
        <v>5</v>
      </c>
      <c r="E4954" s="16" t="s">
        <v>90</v>
      </c>
      <c r="F4954" s="16" t="s">
        <v>85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63</v>
      </c>
      <c r="C4955" s="9">
        <v>46023</v>
      </c>
      <c r="D4955">
        <v>5</v>
      </c>
      <c r="E4955" s="16" t="s">
        <v>90</v>
      </c>
      <c r="F4955" s="16" t="s">
        <v>85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63</v>
      </c>
      <c r="C4956" s="9">
        <v>46054</v>
      </c>
      <c r="D4956">
        <v>5</v>
      </c>
      <c r="E4956" s="16" t="s">
        <v>90</v>
      </c>
      <c r="F4956" s="16" t="s">
        <v>85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63</v>
      </c>
      <c r="C4957" s="9">
        <v>46082</v>
      </c>
      <c r="D4957">
        <v>5</v>
      </c>
      <c r="E4957" s="16" t="s">
        <v>90</v>
      </c>
      <c r="F4957" s="16" t="s">
        <v>85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63</v>
      </c>
      <c r="C4958" s="9">
        <v>46113</v>
      </c>
      <c r="D4958">
        <v>5</v>
      </c>
      <c r="E4958" s="16" t="s">
        <v>90</v>
      </c>
      <c r="F4958" s="16" t="s">
        <v>85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63</v>
      </c>
      <c r="C4959" s="9">
        <v>46143</v>
      </c>
      <c r="D4959">
        <v>5</v>
      </c>
      <c r="E4959" s="16" t="s">
        <v>90</v>
      </c>
      <c r="F4959" s="16" t="s">
        <v>85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63</v>
      </c>
      <c r="C4960" s="9">
        <v>46174</v>
      </c>
      <c r="D4960">
        <v>5</v>
      </c>
      <c r="E4960" s="16" t="s">
        <v>90</v>
      </c>
      <c r="F4960" s="16" t="s">
        <v>85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63</v>
      </c>
      <c r="C4961" s="9">
        <v>46204</v>
      </c>
      <c r="D4961">
        <v>5</v>
      </c>
      <c r="E4961" s="16" t="s">
        <v>90</v>
      </c>
      <c r="F4961" s="16" t="s">
        <v>85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63</v>
      </c>
      <c r="C4962" s="9">
        <v>46235</v>
      </c>
      <c r="D4962">
        <v>5</v>
      </c>
      <c r="E4962" s="16" t="s">
        <v>90</v>
      </c>
      <c r="F4962" s="16" t="s">
        <v>85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63</v>
      </c>
      <c r="C4963" s="9">
        <v>46266</v>
      </c>
      <c r="D4963">
        <v>5</v>
      </c>
      <c r="E4963" s="16" t="s">
        <v>90</v>
      </c>
      <c r="F4963" s="16" t="s">
        <v>85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63</v>
      </c>
      <c r="C4964" s="9">
        <v>45689</v>
      </c>
      <c r="D4964">
        <v>6</v>
      </c>
      <c r="E4964" s="16" t="s">
        <v>91</v>
      </c>
      <c r="F4964" s="16" t="s">
        <v>92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63</v>
      </c>
      <c r="C4965" s="9">
        <v>45717</v>
      </c>
      <c r="D4965">
        <v>6</v>
      </c>
      <c r="E4965" s="16" t="s">
        <v>91</v>
      </c>
      <c r="F4965" s="16" t="s">
        <v>92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63</v>
      </c>
      <c r="C4966" s="9">
        <v>45748</v>
      </c>
      <c r="D4966">
        <v>6</v>
      </c>
      <c r="E4966" s="16" t="s">
        <v>91</v>
      </c>
      <c r="F4966" s="16" t="s">
        <v>92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63</v>
      </c>
      <c r="C4967" s="9">
        <v>45778</v>
      </c>
      <c r="D4967">
        <v>6</v>
      </c>
      <c r="E4967" s="16" t="s">
        <v>91</v>
      </c>
      <c r="F4967" s="16" t="s">
        <v>92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63</v>
      </c>
      <c r="C4968" s="9">
        <v>45809</v>
      </c>
      <c r="D4968">
        <v>6</v>
      </c>
      <c r="E4968" s="16" t="s">
        <v>91</v>
      </c>
      <c r="F4968" s="16" t="s">
        <v>92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63</v>
      </c>
      <c r="C4969" s="9">
        <v>45839</v>
      </c>
      <c r="D4969">
        <v>6</v>
      </c>
      <c r="E4969" s="16" t="s">
        <v>91</v>
      </c>
      <c r="F4969" s="16" t="s">
        <v>92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63</v>
      </c>
      <c r="C4970" s="9">
        <v>45870</v>
      </c>
      <c r="D4970">
        <v>6</v>
      </c>
      <c r="E4970" s="16" t="s">
        <v>91</v>
      </c>
      <c r="F4970" s="16" t="s">
        <v>92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63</v>
      </c>
      <c r="C4971" s="9">
        <v>45901</v>
      </c>
      <c r="D4971">
        <v>6</v>
      </c>
      <c r="E4971" s="16" t="s">
        <v>91</v>
      </c>
      <c r="F4971" s="16" t="s">
        <v>92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63</v>
      </c>
      <c r="C4972" s="9">
        <v>45931</v>
      </c>
      <c r="D4972">
        <v>6</v>
      </c>
      <c r="E4972" s="16" t="s">
        <v>91</v>
      </c>
      <c r="F4972" s="16" t="s">
        <v>92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63</v>
      </c>
      <c r="C4973" s="9">
        <v>45962</v>
      </c>
      <c r="D4973">
        <v>6</v>
      </c>
      <c r="E4973" s="16" t="s">
        <v>91</v>
      </c>
      <c r="F4973" s="16" t="s">
        <v>92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63</v>
      </c>
      <c r="C4974" s="9">
        <v>45992</v>
      </c>
      <c r="D4974">
        <v>6</v>
      </c>
      <c r="E4974" s="16" t="s">
        <v>91</v>
      </c>
      <c r="F4974" s="16" t="s">
        <v>92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63</v>
      </c>
      <c r="C4975" s="9">
        <v>46023</v>
      </c>
      <c r="D4975">
        <v>6</v>
      </c>
      <c r="E4975" s="16" t="s">
        <v>91</v>
      </c>
      <c r="F4975" s="16" t="s">
        <v>92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63</v>
      </c>
      <c r="C4976" s="9">
        <v>46054</v>
      </c>
      <c r="D4976">
        <v>6</v>
      </c>
      <c r="E4976" s="16" t="s">
        <v>91</v>
      </c>
      <c r="F4976" s="16" t="s">
        <v>92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63</v>
      </c>
      <c r="C4977" s="9">
        <v>46082</v>
      </c>
      <c r="D4977">
        <v>6</v>
      </c>
      <c r="E4977" s="16" t="s">
        <v>91</v>
      </c>
      <c r="F4977" s="16" t="s">
        <v>92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63</v>
      </c>
      <c r="C4978" s="9">
        <v>46113</v>
      </c>
      <c r="D4978">
        <v>6</v>
      </c>
      <c r="E4978" s="16" t="s">
        <v>91</v>
      </c>
      <c r="F4978" s="16" t="s">
        <v>92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63</v>
      </c>
      <c r="C4979" s="9">
        <v>46143</v>
      </c>
      <c r="D4979">
        <v>6</v>
      </c>
      <c r="E4979" s="16" t="s">
        <v>91</v>
      </c>
      <c r="F4979" s="16" t="s">
        <v>92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63</v>
      </c>
      <c r="C4980" s="9">
        <v>46174</v>
      </c>
      <c r="D4980">
        <v>6</v>
      </c>
      <c r="E4980" s="16" t="s">
        <v>91</v>
      </c>
      <c r="F4980" s="16" t="s">
        <v>92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63</v>
      </c>
      <c r="C4981" s="9">
        <v>46204</v>
      </c>
      <c r="D4981">
        <v>6</v>
      </c>
      <c r="E4981" s="16" t="s">
        <v>91</v>
      </c>
      <c r="F4981" s="16" t="s">
        <v>92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63</v>
      </c>
      <c r="C4982" s="9">
        <v>46235</v>
      </c>
      <c r="D4982">
        <v>6</v>
      </c>
      <c r="E4982" s="16" t="s">
        <v>91</v>
      </c>
      <c r="F4982" s="16" t="s">
        <v>92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63</v>
      </c>
      <c r="C4983" s="9">
        <v>46266</v>
      </c>
      <c r="D4983">
        <v>6</v>
      </c>
      <c r="E4983" s="16" t="s">
        <v>91</v>
      </c>
      <c r="F4983" s="16" t="s">
        <v>92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63</v>
      </c>
      <c r="C4984" s="9">
        <v>45689</v>
      </c>
      <c r="D4984">
        <v>7</v>
      </c>
      <c r="E4984" s="16" t="s">
        <v>93</v>
      </c>
      <c r="F4984" s="16" t="s">
        <v>94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63</v>
      </c>
      <c r="C4985" s="9">
        <v>45717</v>
      </c>
      <c r="D4985">
        <v>7</v>
      </c>
      <c r="E4985" s="16" t="s">
        <v>93</v>
      </c>
      <c r="F4985" s="16" t="s">
        <v>94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63</v>
      </c>
      <c r="C4986" s="9">
        <v>45748</v>
      </c>
      <c r="D4986">
        <v>7</v>
      </c>
      <c r="E4986" s="16" t="s">
        <v>93</v>
      </c>
      <c r="F4986" s="16" t="s">
        <v>94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63</v>
      </c>
      <c r="C4987" s="9">
        <v>45778</v>
      </c>
      <c r="D4987">
        <v>7</v>
      </c>
      <c r="E4987" s="16" t="s">
        <v>93</v>
      </c>
      <c r="F4987" s="16" t="s">
        <v>94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63</v>
      </c>
      <c r="C4988" s="9">
        <v>45809</v>
      </c>
      <c r="D4988">
        <v>7</v>
      </c>
      <c r="E4988" s="16" t="s">
        <v>93</v>
      </c>
      <c r="F4988" s="16" t="s">
        <v>94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63</v>
      </c>
      <c r="C4989" s="9">
        <v>45839</v>
      </c>
      <c r="D4989">
        <v>7</v>
      </c>
      <c r="E4989" s="16" t="s">
        <v>93</v>
      </c>
      <c r="F4989" s="16" t="s">
        <v>94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63</v>
      </c>
      <c r="C4990" s="9">
        <v>45870</v>
      </c>
      <c r="D4990">
        <v>7</v>
      </c>
      <c r="E4990" s="16" t="s">
        <v>93</v>
      </c>
      <c r="F4990" s="16" t="s">
        <v>94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63</v>
      </c>
      <c r="C4991" s="9">
        <v>45901</v>
      </c>
      <c r="D4991">
        <v>7</v>
      </c>
      <c r="E4991" s="16" t="s">
        <v>93</v>
      </c>
      <c r="F4991" s="16" t="s">
        <v>94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63</v>
      </c>
      <c r="C4992" s="9">
        <v>45931</v>
      </c>
      <c r="D4992">
        <v>7</v>
      </c>
      <c r="E4992" s="16" t="s">
        <v>93</v>
      </c>
      <c r="F4992" s="16" t="s">
        <v>94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63</v>
      </c>
      <c r="C4993" s="9">
        <v>45962</v>
      </c>
      <c r="D4993">
        <v>7</v>
      </c>
      <c r="E4993" s="16" t="s">
        <v>93</v>
      </c>
      <c r="F4993" s="16" t="s">
        <v>94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63</v>
      </c>
      <c r="C4994" s="9">
        <v>45992</v>
      </c>
      <c r="D4994">
        <v>7</v>
      </c>
      <c r="E4994" s="16" t="s">
        <v>93</v>
      </c>
      <c r="F4994" s="16" t="s">
        <v>94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63</v>
      </c>
      <c r="C4995" s="9">
        <v>46023</v>
      </c>
      <c r="D4995">
        <v>7</v>
      </c>
      <c r="E4995" s="16" t="s">
        <v>93</v>
      </c>
      <c r="F4995" s="16" t="s">
        <v>94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63</v>
      </c>
      <c r="C4996" s="9">
        <v>46054</v>
      </c>
      <c r="D4996">
        <v>7</v>
      </c>
      <c r="E4996" s="16" t="s">
        <v>93</v>
      </c>
      <c r="F4996" s="16" t="s">
        <v>94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63</v>
      </c>
      <c r="C4997" s="9">
        <v>46082</v>
      </c>
      <c r="D4997">
        <v>7</v>
      </c>
      <c r="E4997" s="16" t="s">
        <v>93</v>
      </c>
      <c r="F4997" s="16" t="s">
        <v>94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63</v>
      </c>
      <c r="C4998" s="9">
        <v>46113</v>
      </c>
      <c r="D4998">
        <v>7</v>
      </c>
      <c r="E4998" s="16" t="s">
        <v>93</v>
      </c>
      <c r="F4998" s="16" t="s">
        <v>94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63</v>
      </c>
      <c r="C4999" s="9">
        <v>46143</v>
      </c>
      <c r="D4999">
        <v>7</v>
      </c>
      <c r="E4999" s="16" t="s">
        <v>93</v>
      </c>
      <c r="F4999" s="16" t="s">
        <v>94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63</v>
      </c>
      <c r="C5000" s="9">
        <v>46174</v>
      </c>
      <c r="D5000">
        <v>7</v>
      </c>
      <c r="E5000" s="16" t="s">
        <v>93</v>
      </c>
      <c r="F5000" s="16" t="s">
        <v>94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63</v>
      </c>
      <c r="C5001" s="9">
        <v>46204</v>
      </c>
      <c r="D5001">
        <v>7</v>
      </c>
      <c r="E5001" s="16" t="s">
        <v>93</v>
      </c>
      <c r="F5001" s="16" t="s">
        <v>94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63</v>
      </c>
      <c r="C5002" s="9">
        <v>46235</v>
      </c>
      <c r="D5002">
        <v>7</v>
      </c>
      <c r="E5002" s="16" t="s">
        <v>93</v>
      </c>
      <c r="F5002" s="16" t="s">
        <v>94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63</v>
      </c>
      <c r="C5003" s="9">
        <v>46266</v>
      </c>
      <c r="D5003">
        <v>7</v>
      </c>
      <c r="E5003" s="16" t="s">
        <v>93</v>
      </c>
      <c r="F5003" s="16" t="s">
        <v>94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63</v>
      </c>
      <c r="C5004" s="9">
        <v>45689</v>
      </c>
      <c r="D5004">
        <v>8</v>
      </c>
      <c r="E5004" s="16" t="s">
        <v>95</v>
      </c>
      <c r="F5004" s="16" t="s">
        <v>85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63</v>
      </c>
      <c r="C5005" s="9">
        <v>45717</v>
      </c>
      <c r="D5005">
        <v>8</v>
      </c>
      <c r="E5005" s="16" t="s">
        <v>95</v>
      </c>
      <c r="F5005" s="16" t="s">
        <v>85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63</v>
      </c>
      <c r="C5006" s="9">
        <v>45748</v>
      </c>
      <c r="D5006">
        <v>8</v>
      </c>
      <c r="E5006" s="16" t="s">
        <v>95</v>
      </c>
      <c r="F5006" s="16" t="s">
        <v>85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63</v>
      </c>
      <c r="C5007" s="9">
        <v>45778</v>
      </c>
      <c r="D5007">
        <v>8</v>
      </c>
      <c r="E5007" s="16" t="s">
        <v>95</v>
      </c>
      <c r="F5007" s="16" t="s">
        <v>85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63</v>
      </c>
      <c r="C5008" s="9">
        <v>45809</v>
      </c>
      <c r="D5008">
        <v>8</v>
      </c>
      <c r="E5008" s="16" t="s">
        <v>95</v>
      </c>
      <c r="F5008" s="16" t="s">
        <v>85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63</v>
      </c>
      <c r="C5009" s="9">
        <v>45839</v>
      </c>
      <c r="D5009">
        <v>8</v>
      </c>
      <c r="E5009" s="16" t="s">
        <v>95</v>
      </c>
      <c r="F5009" s="16" t="s">
        <v>85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63</v>
      </c>
      <c r="C5010" s="9">
        <v>45870</v>
      </c>
      <c r="D5010">
        <v>8</v>
      </c>
      <c r="E5010" s="16" t="s">
        <v>95</v>
      </c>
      <c r="F5010" s="16" t="s">
        <v>85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63</v>
      </c>
      <c r="C5011" s="9">
        <v>45901</v>
      </c>
      <c r="D5011">
        <v>8</v>
      </c>
      <c r="E5011" s="16" t="s">
        <v>95</v>
      </c>
      <c r="F5011" s="16" t="s">
        <v>85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63</v>
      </c>
      <c r="C5012" s="9">
        <v>45931</v>
      </c>
      <c r="D5012">
        <v>8</v>
      </c>
      <c r="E5012" s="16" t="s">
        <v>95</v>
      </c>
      <c r="F5012" s="16" t="s">
        <v>85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63</v>
      </c>
      <c r="C5013" s="9">
        <v>45962</v>
      </c>
      <c r="D5013">
        <v>8</v>
      </c>
      <c r="E5013" s="16" t="s">
        <v>95</v>
      </c>
      <c r="F5013" s="16" t="s">
        <v>85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63</v>
      </c>
      <c r="C5014" s="9">
        <v>45992</v>
      </c>
      <c r="D5014">
        <v>8</v>
      </c>
      <c r="E5014" s="16" t="s">
        <v>95</v>
      </c>
      <c r="F5014" s="16" t="s">
        <v>85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63</v>
      </c>
      <c r="C5015" s="9">
        <v>46023</v>
      </c>
      <c r="D5015">
        <v>8</v>
      </c>
      <c r="E5015" s="16" t="s">
        <v>95</v>
      </c>
      <c r="F5015" s="16" t="s">
        <v>85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63</v>
      </c>
      <c r="C5016" s="9">
        <v>46054</v>
      </c>
      <c r="D5016">
        <v>8</v>
      </c>
      <c r="E5016" s="16" t="s">
        <v>95</v>
      </c>
      <c r="F5016" s="16" t="s">
        <v>85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63</v>
      </c>
      <c r="C5017" s="9">
        <v>46082</v>
      </c>
      <c r="D5017">
        <v>8</v>
      </c>
      <c r="E5017" s="16" t="s">
        <v>95</v>
      </c>
      <c r="F5017" s="16" t="s">
        <v>85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63</v>
      </c>
      <c r="C5018" s="9">
        <v>46113</v>
      </c>
      <c r="D5018">
        <v>8</v>
      </c>
      <c r="E5018" s="16" t="s">
        <v>95</v>
      </c>
      <c r="F5018" s="16" t="s">
        <v>85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63</v>
      </c>
      <c r="C5019" s="9">
        <v>46143</v>
      </c>
      <c r="D5019">
        <v>8</v>
      </c>
      <c r="E5019" s="16" t="s">
        <v>95</v>
      </c>
      <c r="F5019" s="16" t="s">
        <v>85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63</v>
      </c>
      <c r="C5020" s="9">
        <v>46174</v>
      </c>
      <c r="D5020">
        <v>8</v>
      </c>
      <c r="E5020" s="16" t="s">
        <v>95</v>
      </c>
      <c r="F5020" s="16" t="s">
        <v>85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63</v>
      </c>
      <c r="C5021" s="9">
        <v>46204</v>
      </c>
      <c r="D5021">
        <v>8</v>
      </c>
      <c r="E5021" s="16" t="s">
        <v>95</v>
      </c>
      <c r="F5021" s="16" t="s">
        <v>85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63</v>
      </c>
      <c r="C5022" s="9">
        <v>46235</v>
      </c>
      <c r="D5022">
        <v>8</v>
      </c>
      <c r="E5022" s="16" t="s">
        <v>95</v>
      </c>
      <c r="F5022" s="16" t="s">
        <v>85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63</v>
      </c>
      <c r="C5023" s="9">
        <v>46266</v>
      </c>
      <c r="D5023">
        <v>8</v>
      </c>
      <c r="E5023" s="16" t="s">
        <v>95</v>
      </c>
      <c r="F5023" s="16" t="s">
        <v>85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63</v>
      </c>
      <c r="C5024" s="9">
        <v>45689</v>
      </c>
      <c r="D5024">
        <v>9</v>
      </c>
      <c r="E5024" s="16" t="s">
        <v>96</v>
      </c>
      <c r="F5024" s="16" t="s">
        <v>87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63</v>
      </c>
      <c r="C5025" s="9">
        <v>45717</v>
      </c>
      <c r="D5025">
        <v>9</v>
      </c>
      <c r="E5025" s="16" t="s">
        <v>96</v>
      </c>
      <c r="F5025" s="16" t="s">
        <v>87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63</v>
      </c>
      <c r="C5026" s="9">
        <v>45748</v>
      </c>
      <c r="D5026">
        <v>9</v>
      </c>
      <c r="E5026" s="16" t="s">
        <v>96</v>
      </c>
      <c r="F5026" s="16" t="s">
        <v>87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63</v>
      </c>
      <c r="C5027" s="9">
        <v>45778</v>
      </c>
      <c r="D5027">
        <v>9</v>
      </c>
      <c r="E5027" s="16" t="s">
        <v>96</v>
      </c>
      <c r="F5027" s="16" t="s">
        <v>87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63</v>
      </c>
      <c r="C5028" s="9">
        <v>45809</v>
      </c>
      <c r="D5028">
        <v>9</v>
      </c>
      <c r="E5028" s="16" t="s">
        <v>96</v>
      </c>
      <c r="F5028" s="16" t="s">
        <v>87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63</v>
      </c>
      <c r="C5029" s="9">
        <v>45839</v>
      </c>
      <c r="D5029">
        <v>9</v>
      </c>
      <c r="E5029" s="16" t="s">
        <v>96</v>
      </c>
      <c r="F5029" s="16" t="s">
        <v>87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63</v>
      </c>
      <c r="C5030" s="9">
        <v>45870</v>
      </c>
      <c r="D5030">
        <v>9</v>
      </c>
      <c r="E5030" s="16" t="s">
        <v>96</v>
      </c>
      <c r="F5030" s="16" t="s">
        <v>87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63</v>
      </c>
      <c r="C5031" s="9">
        <v>45901</v>
      </c>
      <c r="D5031">
        <v>9</v>
      </c>
      <c r="E5031" s="16" t="s">
        <v>96</v>
      </c>
      <c r="F5031" s="16" t="s">
        <v>87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63</v>
      </c>
      <c r="C5032" s="9">
        <v>45931</v>
      </c>
      <c r="D5032">
        <v>9</v>
      </c>
      <c r="E5032" s="16" t="s">
        <v>96</v>
      </c>
      <c r="F5032" s="16" t="s">
        <v>87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63</v>
      </c>
      <c r="C5033" s="9">
        <v>45962</v>
      </c>
      <c r="D5033">
        <v>9</v>
      </c>
      <c r="E5033" s="16" t="s">
        <v>96</v>
      </c>
      <c r="F5033" s="16" t="s">
        <v>87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63</v>
      </c>
      <c r="C5034" s="9">
        <v>45992</v>
      </c>
      <c r="D5034">
        <v>9</v>
      </c>
      <c r="E5034" s="16" t="s">
        <v>96</v>
      </c>
      <c r="F5034" s="16" t="s">
        <v>87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63</v>
      </c>
      <c r="C5035" s="9">
        <v>46023</v>
      </c>
      <c r="D5035">
        <v>9</v>
      </c>
      <c r="E5035" s="16" t="s">
        <v>96</v>
      </c>
      <c r="F5035" s="16" t="s">
        <v>87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63</v>
      </c>
      <c r="C5036" s="9">
        <v>46054</v>
      </c>
      <c r="D5036">
        <v>9</v>
      </c>
      <c r="E5036" s="16" t="s">
        <v>96</v>
      </c>
      <c r="F5036" s="16" t="s">
        <v>87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63</v>
      </c>
      <c r="C5037" s="9">
        <v>46082</v>
      </c>
      <c r="D5037">
        <v>9</v>
      </c>
      <c r="E5037" s="16" t="s">
        <v>96</v>
      </c>
      <c r="F5037" s="16" t="s">
        <v>87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63</v>
      </c>
      <c r="C5038" s="9">
        <v>46113</v>
      </c>
      <c r="D5038">
        <v>9</v>
      </c>
      <c r="E5038" s="16" t="s">
        <v>96</v>
      </c>
      <c r="F5038" s="16" t="s">
        <v>87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63</v>
      </c>
      <c r="C5039" s="9">
        <v>46143</v>
      </c>
      <c r="D5039">
        <v>9</v>
      </c>
      <c r="E5039" s="16" t="s">
        <v>96</v>
      </c>
      <c r="F5039" s="16" t="s">
        <v>87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63</v>
      </c>
      <c r="C5040" s="9">
        <v>46174</v>
      </c>
      <c r="D5040">
        <v>9</v>
      </c>
      <c r="E5040" s="16" t="s">
        <v>96</v>
      </c>
      <c r="F5040" s="16" t="s">
        <v>87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63</v>
      </c>
      <c r="C5041" s="9">
        <v>46204</v>
      </c>
      <c r="D5041">
        <v>9</v>
      </c>
      <c r="E5041" s="16" t="s">
        <v>96</v>
      </c>
      <c r="F5041" s="16" t="s">
        <v>87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63</v>
      </c>
      <c r="C5042" s="9">
        <v>46235</v>
      </c>
      <c r="D5042">
        <v>9</v>
      </c>
      <c r="E5042" s="16" t="s">
        <v>96</v>
      </c>
      <c r="F5042" s="16" t="s">
        <v>87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63</v>
      </c>
      <c r="C5043" s="9">
        <v>46266</v>
      </c>
      <c r="D5043">
        <v>9</v>
      </c>
      <c r="E5043" s="16" t="s">
        <v>96</v>
      </c>
      <c r="F5043" s="16" t="s">
        <v>87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63</v>
      </c>
      <c r="C5044" s="9">
        <v>45689</v>
      </c>
      <c r="D5044">
        <v>10</v>
      </c>
      <c r="E5044" s="16" t="s">
        <v>97</v>
      </c>
      <c r="F5044" s="16" t="s">
        <v>85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63</v>
      </c>
      <c r="C5045" s="9">
        <v>45717</v>
      </c>
      <c r="D5045">
        <v>10</v>
      </c>
      <c r="E5045" s="16" t="s">
        <v>97</v>
      </c>
      <c r="F5045" s="16" t="s">
        <v>85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63</v>
      </c>
      <c r="C5046" s="9">
        <v>45748</v>
      </c>
      <c r="D5046">
        <v>10</v>
      </c>
      <c r="E5046" s="16" t="s">
        <v>97</v>
      </c>
      <c r="F5046" s="16" t="s">
        <v>85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63</v>
      </c>
      <c r="C5047" s="9">
        <v>45778</v>
      </c>
      <c r="D5047">
        <v>10</v>
      </c>
      <c r="E5047" s="16" t="s">
        <v>97</v>
      </c>
      <c r="F5047" s="16" t="s">
        <v>85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63</v>
      </c>
      <c r="C5048" s="9">
        <v>45809</v>
      </c>
      <c r="D5048">
        <v>10</v>
      </c>
      <c r="E5048" s="16" t="s">
        <v>97</v>
      </c>
      <c r="F5048" s="16" t="s">
        <v>85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63</v>
      </c>
      <c r="C5049" s="9">
        <v>45839</v>
      </c>
      <c r="D5049">
        <v>10</v>
      </c>
      <c r="E5049" s="16" t="s">
        <v>97</v>
      </c>
      <c r="F5049" s="16" t="s">
        <v>85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63</v>
      </c>
      <c r="C5050" s="9">
        <v>45870</v>
      </c>
      <c r="D5050">
        <v>10</v>
      </c>
      <c r="E5050" s="16" t="s">
        <v>97</v>
      </c>
      <c r="F5050" s="16" t="s">
        <v>85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63</v>
      </c>
      <c r="C5051" s="9">
        <v>45901</v>
      </c>
      <c r="D5051">
        <v>10</v>
      </c>
      <c r="E5051" s="16" t="s">
        <v>97</v>
      </c>
      <c r="F5051" s="16" t="s">
        <v>85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63</v>
      </c>
      <c r="C5052" s="9">
        <v>45931</v>
      </c>
      <c r="D5052">
        <v>10</v>
      </c>
      <c r="E5052" s="16" t="s">
        <v>97</v>
      </c>
      <c r="F5052" s="16" t="s">
        <v>85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63</v>
      </c>
      <c r="C5053" s="9">
        <v>45962</v>
      </c>
      <c r="D5053">
        <v>10</v>
      </c>
      <c r="E5053" s="16" t="s">
        <v>97</v>
      </c>
      <c r="F5053" s="16" t="s">
        <v>85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63</v>
      </c>
      <c r="C5054" s="9">
        <v>45992</v>
      </c>
      <c r="D5054">
        <v>10</v>
      </c>
      <c r="E5054" s="16" t="s">
        <v>97</v>
      </c>
      <c r="F5054" s="16" t="s">
        <v>85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63</v>
      </c>
      <c r="C5055" s="9">
        <v>46023</v>
      </c>
      <c r="D5055">
        <v>10</v>
      </c>
      <c r="E5055" s="16" t="s">
        <v>97</v>
      </c>
      <c r="F5055" s="16" t="s">
        <v>85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63</v>
      </c>
      <c r="C5056" s="9">
        <v>46054</v>
      </c>
      <c r="D5056">
        <v>10</v>
      </c>
      <c r="E5056" s="16" t="s">
        <v>97</v>
      </c>
      <c r="F5056" s="16" t="s">
        <v>85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63</v>
      </c>
      <c r="C5057" s="9">
        <v>46082</v>
      </c>
      <c r="D5057">
        <v>10</v>
      </c>
      <c r="E5057" s="16" t="s">
        <v>97</v>
      </c>
      <c r="F5057" s="16" t="s">
        <v>85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63</v>
      </c>
      <c r="C5058" s="9">
        <v>46113</v>
      </c>
      <c r="D5058">
        <v>10</v>
      </c>
      <c r="E5058" s="16" t="s">
        <v>97</v>
      </c>
      <c r="F5058" s="16" t="s">
        <v>85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63</v>
      </c>
      <c r="C5059" s="9">
        <v>46143</v>
      </c>
      <c r="D5059">
        <v>10</v>
      </c>
      <c r="E5059" s="16" t="s">
        <v>97</v>
      </c>
      <c r="F5059" s="16" t="s">
        <v>85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63</v>
      </c>
      <c r="C5060" s="9">
        <v>46174</v>
      </c>
      <c r="D5060">
        <v>10</v>
      </c>
      <c r="E5060" s="16" t="s">
        <v>97</v>
      </c>
      <c r="F5060" s="16" t="s">
        <v>85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63</v>
      </c>
      <c r="C5061" s="9">
        <v>46204</v>
      </c>
      <c r="D5061">
        <v>10</v>
      </c>
      <c r="E5061" s="16" t="s">
        <v>97</v>
      </c>
      <c r="F5061" s="16" t="s">
        <v>85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63</v>
      </c>
      <c r="C5062" s="9">
        <v>46235</v>
      </c>
      <c r="D5062">
        <v>10</v>
      </c>
      <c r="E5062" s="16" t="s">
        <v>97</v>
      </c>
      <c r="F5062" s="16" t="s">
        <v>85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63</v>
      </c>
      <c r="C5063" s="9">
        <v>46266</v>
      </c>
      <c r="D5063">
        <v>10</v>
      </c>
      <c r="E5063" s="16" t="s">
        <v>97</v>
      </c>
      <c r="F5063" s="16" t="s">
        <v>85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63</v>
      </c>
      <c r="C5064" s="9">
        <v>45689</v>
      </c>
      <c r="D5064">
        <v>11</v>
      </c>
      <c r="E5064" s="16" t="s">
        <v>98</v>
      </c>
      <c r="F5064" s="16" t="s">
        <v>89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63</v>
      </c>
      <c r="C5065" s="9">
        <v>45717</v>
      </c>
      <c r="D5065">
        <v>11</v>
      </c>
      <c r="E5065" s="16" t="s">
        <v>98</v>
      </c>
      <c r="F5065" s="16" t="s">
        <v>89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63</v>
      </c>
      <c r="C5066" s="9">
        <v>45748</v>
      </c>
      <c r="D5066">
        <v>11</v>
      </c>
      <c r="E5066" s="16" t="s">
        <v>98</v>
      </c>
      <c r="F5066" s="16" t="s">
        <v>89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63</v>
      </c>
      <c r="C5067" s="9">
        <v>45778</v>
      </c>
      <c r="D5067">
        <v>11</v>
      </c>
      <c r="E5067" s="16" t="s">
        <v>98</v>
      </c>
      <c r="F5067" s="16" t="s">
        <v>89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63</v>
      </c>
      <c r="C5068" s="9">
        <v>45809</v>
      </c>
      <c r="D5068">
        <v>11</v>
      </c>
      <c r="E5068" s="16" t="s">
        <v>98</v>
      </c>
      <c r="F5068" s="16" t="s">
        <v>89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63</v>
      </c>
      <c r="C5069" s="9">
        <v>45839</v>
      </c>
      <c r="D5069">
        <v>11</v>
      </c>
      <c r="E5069" s="16" t="s">
        <v>98</v>
      </c>
      <c r="F5069" s="16" t="s">
        <v>89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63</v>
      </c>
      <c r="C5070" s="9">
        <v>45870</v>
      </c>
      <c r="D5070">
        <v>11</v>
      </c>
      <c r="E5070" s="16" t="s">
        <v>98</v>
      </c>
      <c r="F5070" s="16" t="s">
        <v>89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63</v>
      </c>
      <c r="C5071" s="9">
        <v>45901</v>
      </c>
      <c r="D5071">
        <v>11</v>
      </c>
      <c r="E5071" s="16" t="s">
        <v>98</v>
      </c>
      <c r="F5071" s="16" t="s">
        <v>89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63</v>
      </c>
      <c r="C5072" s="9">
        <v>45931</v>
      </c>
      <c r="D5072">
        <v>11</v>
      </c>
      <c r="E5072" s="16" t="s">
        <v>98</v>
      </c>
      <c r="F5072" s="16" t="s">
        <v>89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63</v>
      </c>
      <c r="C5073" s="9">
        <v>45962</v>
      </c>
      <c r="D5073">
        <v>11</v>
      </c>
      <c r="E5073" s="16" t="s">
        <v>98</v>
      </c>
      <c r="F5073" s="16" t="s">
        <v>89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63</v>
      </c>
      <c r="C5074" s="9">
        <v>45992</v>
      </c>
      <c r="D5074">
        <v>11</v>
      </c>
      <c r="E5074" s="16" t="s">
        <v>98</v>
      </c>
      <c r="F5074" s="16" t="s">
        <v>89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63</v>
      </c>
      <c r="C5075" s="9">
        <v>46023</v>
      </c>
      <c r="D5075">
        <v>11</v>
      </c>
      <c r="E5075" s="16" t="s">
        <v>98</v>
      </c>
      <c r="F5075" s="16" t="s">
        <v>89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63</v>
      </c>
      <c r="C5076" s="9">
        <v>46054</v>
      </c>
      <c r="D5076">
        <v>11</v>
      </c>
      <c r="E5076" s="16" t="s">
        <v>98</v>
      </c>
      <c r="F5076" s="16" t="s">
        <v>89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63</v>
      </c>
      <c r="C5077" s="9">
        <v>46082</v>
      </c>
      <c r="D5077">
        <v>11</v>
      </c>
      <c r="E5077" s="16" t="s">
        <v>98</v>
      </c>
      <c r="F5077" s="16" t="s">
        <v>89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63</v>
      </c>
      <c r="C5078" s="9">
        <v>46113</v>
      </c>
      <c r="D5078">
        <v>11</v>
      </c>
      <c r="E5078" s="16" t="s">
        <v>98</v>
      </c>
      <c r="F5078" s="16" t="s">
        <v>89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63</v>
      </c>
      <c r="C5079" s="9">
        <v>46143</v>
      </c>
      <c r="D5079">
        <v>11</v>
      </c>
      <c r="E5079" s="16" t="s">
        <v>98</v>
      </c>
      <c r="F5079" s="16" t="s">
        <v>89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63</v>
      </c>
      <c r="C5080" s="9">
        <v>46174</v>
      </c>
      <c r="D5080">
        <v>11</v>
      </c>
      <c r="E5080" s="16" t="s">
        <v>98</v>
      </c>
      <c r="F5080" s="16" t="s">
        <v>89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63</v>
      </c>
      <c r="C5081" s="9">
        <v>46204</v>
      </c>
      <c r="D5081">
        <v>11</v>
      </c>
      <c r="E5081" s="16" t="s">
        <v>98</v>
      </c>
      <c r="F5081" s="16" t="s">
        <v>89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63</v>
      </c>
      <c r="C5082" s="9">
        <v>46235</v>
      </c>
      <c r="D5082">
        <v>11</v>
      </c>
      <c r="E5082" s="16" t="s">
        <v>98</v>
      </c>
      <c r="F5082" s="16" t="s">
        <v>89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63</v>
      </c>
      <c r="C5083" s="9">
        <v>46266</v>
      </c>
      <c r="D5083">
        <v>11</v>
      </c>
      <c r="E5083" s="16" t="s">
        <v>98</v>
      </c>
      <c r="F5083" s="16" t="s">
        <v>89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63</v>
      </c>
      <c r="C5084" s="9">
        <v>45689</v>
      </c>
      <c r="D5084">
        <v>13</v>
      </c>
      <c r="E5084" s="16" t="s">
        <v>99</v>
      </c>
      <c r="F5084" s="16" t="s">
        <v>100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63</v>
      </c>
      <c r="C5085" s="9">
        <v>45717</v>
      </c>
      <c r="D5085">
        <v>13</v>
      </c>
      <c r="E5085" s="16" t="s">
        <v>99</v>
      </c>
      <c r="F5085" s="16" t="s">
        <v>100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63</v>
      </c>
      <c r="C5086" s="9">
        <v>45748</v>
      </c>
      <c r="D5086">
        <v>13</v>
      </c>
      <c r="E5086" s="16" t="s">
        <v>99</v>
      </c>
      <c r="F5086" s="16" t="s">
        <v>100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63</v>
      </c>
      <c r="C5087" s="9">
        <v>45778</v>
      </c>
      <c r="D5087">
        <v>13</v>
      </c>
      <c r="E5087" s="16" t="s">
        <v>99</v>
      </c>
      <c r="F5087" s="16" t="s">
        <v>100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63</v>
      </c>
      <c r="C5088" s="9">
        <v>45809</v>
      </c>
      <c r="D5088">
        <v>13</v>
      </c>
      <c r="E5088" s="16" t="s">
        <v>99</v>
      </c>
      <c r="F5088" s="16" t="s">
        <v>100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63</v>
      </c>
      <c r="C5089" s="9">
        <v>45839</v>
      </c>
      <c r="D5089">
        <v>13</v>
      </c>
      <c r="E5089" s="16" t="s">
        <v>99</v>
      </c>
      <c r="F5089" s="16" t="s">
        <v>100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63</v>
      </c>
      <c r="C5090" s="9">
        <v>45870</v>
      </c>
      <c r="D5090">
        <v>13</v>
      </c>
      <c r="E5090" s="16" t="s">
        <v>99</v>
      </c>
      <c r="F5090" s="16" t="s">
        <v>100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63</v>
      </c>
      <c r="C5091" s="9">
        <v>45901</v>
      </c>
      <c r="D5091">
        <v>13</v>
      </c>
      <c r="E5091" s="16" t="s">
        <v>99</v>
      </c>
      <c r="F5091" s="16" t="s">
        <v>100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63</v>
      </c>
      <c r="C5092" s="9">
        <v>45931</v>
      </c>
      <c r="D5092">
        <v>13</v>
      </c>
      <c r="E5092" s="16" t="s">
        <v>99</v>
      </c>
      <c r="F5092" s="16" t="s">
        <v>100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63</v>
      </c>
      <c r="C5093" s="9">
        <v>45962</v>
      </c>
      <c r="D5093">
        <v>13</v>
      </c>
      <c r="E5093" s="16" t="s">
        <v>99</v>
      </c>
      <c r="F5093" s="16" t="s">
        <v>100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63</v>
      </c>
      <c r="C5094" s="9">
        <v>45992</v>
      </c>
      <c r="D5094">
        <v>13</v>
      </c>
      <c r="E5094" s="16" t="s">
        <v>99</v>
      </c>
      <c r="F5094" s="16" t="s">
        <v>100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63</v>
      </c>
      <c r="C5095" s="9">
        <v>46023</v>
      </c>
      <c r="D5095">
        <v>13</v>
      </c>
      <c r="E5095" s="16" t="s">
        <v>99</v>
      </c>
      <c r="F5095" s="16" t="s">
        <v>100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63</v>
      </c>
      <c r="C5096" s="9">
        <v>46054</v>
      </c>
      <c r="D5096">
        <v>13</v>
      </c>
      <c r="E5096" s="16" t="s">
        <v>99</v>
      </c>
      <c r="F5096" s="16" t="s">
        <v>100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63</v>
      </c>
      <c r="C5097" s="9">
        <v>46082</v>
      </c>
      <c r="D5097">
        <v>13</v>
      </c>
      <c r="E5097" s="16" t="s">
        <v>99</v>
      </c>
      <c r="F5097" s="16" t="s">
        <v>100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63</v>
      </c>
      <c r="C5098" s="9">
        <v>46113</v>
      </c>
      <c r="D5098">
        <v>13</v>
      </c>
      <c r="E5098" s="16" t="s">
        <v>99</v>
      </c>
      <c r="F5098" s="16" t="s">
        <v>100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63</v>
      </c>
      <c r="C5099" s="9">
        <v>46143</v>
      </c>
      <c r="D5099">
        <v>13</v>
      </c>
      <c r="E5099" s="16" t="s">
        <v>99</v>
      </c>
      <c r="F5099" s="16" t="s">
        <v>100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63</v>
      </c>
      <c r="C5100" s="9">
        <v>46174</v>
      </c>
      <c r="D5100">
        <v>13</v>
      </c>
      <c r="E5100" s="16" t="s">
        <v>99</v>
      </c>
      <c r="F5100" s="16" t="s">
        <v>100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63</v>
      </c>
      <c r="C5101" s="9">
        <v>46204</v>
      </c>
      <c r="D5101">
        <v>13</v>
      </c>
      <c r="E5101" s="16" t="s">
        <v>99</v>
      </c>
      <c r="F5101" s="16" t="s">
        <v>100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63</v>
      </c>
      <c r="C5102" s="9">
        <v>46235</v>
      </c>
      <c r="D5102">
        <v>13</v>
      </c>
      <c r="E5102" s="16" t="s">
        <v>99</v>
      </c>
      <c r="F5102" s="16" t="s">
        <v>100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63</v>
      </c>
      <c r="C5103" s="9">
        <v>46266</v>
      </c>
      <c r="D5103">
        <v>13</v>
      </c>
      <c r="E5103" s="16" t="s">
        <v>99</v>
      </c>
      <c r="F5103" s="16" t="s">
        <v>100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63</v>
      </c>
      <c r="C5104" s="9">
        <v>45689</v>
      </c>
      <c r="D5104">
        <v>14</v>
      </c>
      <c r="E5104" s="16" t="s">
        <v>101</v>
      </c>
      <c r="F5104" s="16" t="s">
        <v>92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63</v>
      </c>
      <c r="C5105" s="9">
        <v>45717</v>
      </c>
      <c r="D5105">
        <v>14</v>
      </c>
      <c r="E5105" s="16" t="s">
        <v>101</v>
      </c>
      <c r="F5105" s="16" t="s">
        <v>92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63</v>
      </c>
      <c r="C5106" s="9">
        <v>45748</v>
      </c>
      <c r="D5106">
        <v>14</v>
      </c>
      <c r="E5106" s="16" t="s">
        <v>101</v>
      </c>
      <c r="F5106" s="16" t="s">
        <v>92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63</v>
      </c>
      <c r="C5107" s="9">
        <v>45778</v>
      </c>
      <c r="D5107">
        <v>14</v>
      </c>
      <c r="E5107" s="16" t="s">
        <v>101</v>
      </c>
      <c r="F5107" s="16" t="s">
        <v>92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63</v>
      </c>
      <c r="C5108" s="9">
        <v>45809</v>
      </c>
      <c r="D5108">
        <v>14</v>
      </c>
      <c r="E5108" s="16" t="s">
        <v>101</v>
      </c>
      <c r="F5108" s="16" t="s">
        <v>92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63</v>
      </c>
      <c r="C5109" s="9">
        <v>45839</v>
      </c>
      <c r="D5109">
        <v>14</v>
      </c>
      <c r="E5109" s="16" t="s">
        <v>101</v>
      </c>
      <c r="F5109" s="16" t="s">
        <v>92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63</v>
      </c>
      <c r="C5110" s="9">
        <v>45870</v>
      </c>
      <c r="D5110">
        <v>14</v>
      </c>
      <c r="E5110" s="16" t="s">
        <v>101</v>
      </c>
      <c r="F5110" s="16" t="s">
        <v>92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63</v>
      </c>
      <c r="C5111" s="9">
        <v>45901</v>
      </c>
      <c r="D5111">
        <v>14</v>
      </c>
      <c r="E5111" s="16" t="s">
        <v>101</v>
      </c>
      <c r="F5111" s="16" t="s">
        <v>92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63</v>
      </c>
      <c r="C5112" s="9">
        <v>45931</v>
      </c>
      <c r="D5112">
        <v>14</v>
      </c>
      <c r="E5112" s="16" t="s">
        <v>101</v>
      </c>
      <c r="F5112" s="16" t="s">
        <v>92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63</v>
      </c>
      <c r="C5113" s="9">
        <v>45962</v>
      </c>
      <c r="D5113">
        <v>14</v>
      </c>
      <c r="E5113" s="16" t="s">
        <v>101</v>
      </c>
      <c r="F5113" s="16" t="s">
        <v>92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63</v>
      </c>
      <c r="C5114" s="9">
        <v>45992</v>
      </c>
      <c r="D5114">
        <v>14</v>
      </c>
      <c r="E5114" s="16" t="s">
        <v>101</v>
      </c>
      <c r="F5114" s="16" t="s">
        <v>92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63</v>
      </c>
      <c r="C5115" s="9">
        <v>46023</v>
      </c>
      <c r="D5115">
        <v>14</v>
      </c>
      <c r="E5115" s="16" t="s">
        <v>101</v>
      </c>
      <c r="F5115" s="16" t="s">
        <v>92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63</v>
      </c>
      <c r="C5116" s="9">
        <v>46054</v>
      </c>
      <c r="D5116">
        <v>14</v>
      </c>
      <c r="E5116" s="16" t="s">
        <v>101</v>
      </c>
      <c r="F5116" s="16" t="s">
        <v>92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63</v>
      </c>
      <c r="C5117" s="9">
        <v>46082</v>
      </c>
      <c r="D5117">
        <v>14</v>
      </c>
      <c r="E5117" s="16" t="s">
        <v>101</v>
      </c>
      <c r="F5117" s="16" t="s">
        <v>92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63</v>
      </c>
      <c r="C5118" s="9">
        <v>46113</v>
      </c>
      <c r="D5118">
        <v>14</v>
      </c>
      <c r="E5118" s="16" t="s">
        <v>101</v>
      </c>
      <c r="F5118" s="16" t="s">
        <v>92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63</v>
      </c>
      <c r="C5119" s="9">
        <v>46143</v>
      </c>
      <c r="D5119">
        <v>14</v>
      </c>
      <c r="E5119" s="16" t="s">
        <v>101</v>
      </c>
      <c r="F5119" s="16" t="s">
        <v>92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63</v>
      </c>
      <c r="C5120" s="9">
        <v>46174</v>
      </c>
      <c r="D5120">
        <v>14</v>
      </c>
      <c r="E5120" s="16" t="s">
        <v>101</v>
      </c>
      <c r="F5120" s="16" t="s">
        <v>92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63</v>
      </c>
      <c r="C5121" s="9">
        <v>46204</v>
      </c>
      <c r="D5121">
        <v>14</v>
      </c>
      <c r="E5121" s="16" t="s">
        <v>101</v>
      </c>
      <c r="F5121" s="16" t="s">
        <v>92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63</v>
      </c>
      <c r="C5122" s="9">
        <v>46235</v>
      </c>
      <c r="D5122">
        <v>14</v>
      </c>
      <c r="E5122" s="16" t="s">
        <v>101</v>
      </c>
      <c r="F5122" s="16" t="s">
        <v>92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63</v>
      </c>
      <c r="C5123" s="9">
        <v>46266</v>
      </c>
      <c r="D5123">
        <v>14</v>
      </c>
      <c r="E5123" s="16" t="s">
        <v>101</v>
      </c>
      <c r="F5123" s="16" t="s">
        <v>92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63</v>
      </c>
      <c r="C5124" s="9">
        <v>45689</v>
      </c>
      <c r="D5124">
        <v>15</v>
      </c>
      <c r="E5124" s="16" t="s">
        <v>102</v>
      </c>
      <c r="F5124" s="16" t="s">
        <v>94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63</v>
      </c>
      <c r="C5125" s="9">
        <v>45717</v>
      </c>
      <c r="D5125">
        <v>15</v>
      </c>
      <c r="E5125" s="16" t="s">
        <v>102</v>
      </c>
      <c r="F5125" s="16" t="s">
        <v>94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63</v>
      </c>
      <c r="C5126" s="9">
        <v>45748</v>
      </c>
      <c r="D5126">
        <v>15</v>
      </c>
      <c r="E5126" s="16" t="s">
        <v>102</v>
      </c>
      <c r="F5126" s="16" t="s">
        <v>94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63</v>
      </c>
      <c r="C5127" s="9">
        <v>45778</v>
      </c>
      <c r="D5127">
        <v>15</v>
      </c>
      <c r="E5127" s="16" t="s">
        <v>102</v>
      </c>
      <c r="F5127" s="16" t="s">
        <v>94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63</v>
      </c>
      <c r="C5128" s="9">
        <v>45809</v>
      </c>
      <c r="D5128">
        <v>15</v>
      </c>
      <c r="E5128" s="16" t="s">
        <v>102</v>
      </c>
      <c r="F5128" s="16" t="s">
        <v>94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63</v>
      </c>
      <c r="C5129" s="9">
        <v>45839</v>
      </c>
      <c r="D5129">
        <v>15</v>
      </c>
      <c r="E5129" s="16" t="s">
        <v>102</v>
      </c>
      <c r="F5129" s="16" t="s">
        <v>94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63</v>
      </c>
      <c r="C5130" s="9">
        <v>45870</v>
      </c>
      <c r="D5130">
        <v>15</v>
      </c>
      <c r="E5130" s="16" t="s">
        <v>102</v>
      </c>
      <c r="F5130" s="16" t="s">
        <v>94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63</v>
      </c>
      <c r="C5131" s="9">
        <v>45901</v>
      </c>
      <c r="D5131">
        <v>15</v>
      </c>
      <c r="E5131" s="16" t="s">
        <v>102</v>
      </c>
      <c r="F5131" s="16" t="s">
        <v>94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63</v>
      </c>
      <c r="C5132" s="9">
        <v>45931</v>
      </c>
      <c r="D5132">
        <v>15</v>
      </c>
      <c r="E5132" s="16" t="s">
        <v>102</v>
      </c>
      <c r="F5132" s="16" t="s">
        <v>94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63</v>
      </c>
      <c r="C5133" s="9">
        <v>45962</v>
      </c>
      <c r="D5133">
        <v>15</v>
      </c>
      <c r="E5133" s="16" t="s">
        <v>102</v>
      </c>
      <c r="F5133" s="16" t="s">
        <v>94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63</v>
      </c>
      <c r="C5134" s="9">
        <v>45992</v>
      </c>
      <c r="D5134">
        <v>15</v>
      </c>
      <c r="E5134" s="16" t="s">
        <v>102</v>
      </c>
      <c r="F5134" s="16" t="s">
        <v>94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63</v>
      </c>
      <c r="C5135" s="9">
        <v>46023</v>
      </c>
      <c r="D5135">
        <v>15</v>
      </c>
      <c r="E5135" s="16" t="s">
        <v>102</v>
      </c>
      <c r="F5135" s="16" t="s">
        <v>94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63</v>
      </c>
      <c r="C5136" s="9">
        <v>46054</v>
      </c>
      <c r="D5136">
        <v>15</v>
      </c>
      <c r="E5136" s="16" t="s">
        <v>102</v>
      </c>
      <c r="F5136" s="16" t="s">
        <v>94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63</v>
      </c>
      <c r="C5137" s="9">
        <v>46082</v>
      </c>
      <c r="D5137">
        <v>15</v>
      </c>
      <c r="E5137" s="16" t="s">
        <v>102</v>
      </c>
      <c r="F5137" s="16" t="s">
        <v>94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63</v>
      </c>
      <c r="C5138" s="9">
        <v>46113</v>
      </c>
      <c r="D5138">
        <v>15</v>
      </c>
      <c r="E5138" s="16" t="s">
        <v>102</v>
      </c>
      <c r="F5138" s="16" t="s">
        <v>94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63</v>
      </c>
      <c r="C5139" s="9">
        <v>46143</v>
      </c>
      <c r="D5139">
        <v>15</v>
      </c>
      <c r="E5139" s="16" t="s">
        <v>102</v>
      </c>
      <c r="F5139" s="16" t="s">
        <v>94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63</v>
      </c>
      <c r="C5140" s="9">
        <v>46174</v>
      </c>
      <c r="D5140">
        <v>15</v>
      </c>
      <c r="E5140" s="16" t="s">
        <v>102</v>
      </c>
      <c r="F5140" s="16" t="s">
        <v>94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63</v>
      </c>
      <c r="C5141" s="9">
        <v>46204</v>
      </c>
      <c r="D5141">
        <v>15</v>
      </c>
      <c r="E5141" s="16" t="s">
        <v>102</v>
      </c>
      <c r="F5141" s="16" t="s">
        <v>94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63</v>
      </c>
      <c r="C5142" s="9">
        <v>46235</v>
      </c>
      <c r="D5142">
        <v>15</v>
      </c>
      <c r="E5142" s="16" t="s">
        <v>102</v>
      </c>
      <c r="F5142" s="16" t="s">
        <v>94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63</v>
      </c>
      <c r="C5143" s="9">
        <v>46266</v>
      </c>
      <c r="D5143">
        <v>15</v>
      </c>
      <c r="E5143" s="16" t="s">
        <v>102</v>
      </c>
      <c r="F5143" s="16" t="s">
        <v>94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63</v>
      </c>
      <c r="C5144" s="9">
        <v>45689</v>
      </c>
      <c r="D5144">
        <v>16</v>
      </c>
      <c r="E5144" s="16" t="s">
        <v>103</v>
      </c>
      <c r="F5144" s="16" t="s">
        <v>94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63</v>
      </c>
      <c r="C5145" s="9">
        <v>45717</v>
      </c>
      <c r="D5145">
        <v>16</v>
      </c>
      <c r="E5145" s="16" t="s">
        <v>103</v>
      </c>
      <c r="F5145" s="16" t="s">
        <v>94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63</v>
      </c>
      <c r="C5146" s="9">
        <v>45748</v>
      </c>
      <c r="D5146">
        <v>16</v>
      </c>
      <c r="E5146" s="16" t="s">
        <v>103</v>
      </c>
      <c r="F5146" s="16" t="s">
        <v>94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63</v>
      </c>
      <c r="C5147" s="9">
        <v>45778</v>
      </c>
      <c r="D5147">
        <v>16</v>
      </c>
      <c r="E5147" s="16" t="s">
        <v>103</v>
      </c>
      <c r="F5147" s="16" t="s">
        <v>94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63</v>
      </c>
      <c r="C5148" s="9">
        <v>45809</v>
      </c>
      <c r="D5148">
        <v>16</v>
      </c>
      <c r="E5148" s="16" t="s">
        <v>103</v>
      </c>
      <c r="F5148" s="16" t="s">
        <v>94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63</v>
      </c>
      <c r="C5149" s="9">
        <v>45839</v>
      </c>
      <c r="D5149">
        <v>16</v>
      </c>
      <c r="E5149" s="16" t="s">
        <v>103</v>
      </c>
      <c r="F5149" s="16" t="s">
        <v>94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63</v>
      </c>
      <c r="C5150" s="9">
        <v>45870</v>
      </c>
      <c r="D5150">
        <v>16</v>
      </c>
      <c r="E5150" s="16" t="s">
        <v>103</v>
      </c>
      <c r="F5150" s="16" t="s">
        <v>94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63</v>
      </c>
      <c r="C5151" s="9">
        <v>45901</v>
      </c>
      <c r="D5151">
        <v>16</v>
      </c>
      <c r="E5151" s="16" t="s">
        <v>103</v>
      </c>
      <c r="F5151" s="16" t="s">
        <v>94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63</v>
      </c>
      <c r="C5152" s="9">
        <v>45931</v>
      </c>
      <c r="D5152">
        <v>16</v>
      </c>
      <c r="E5152" s="16" t="s">
        <v>103</v>
      </c>
      <c r="F5152" s="16" t="s">
        <v>94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63</v>
      </c>
      <c r="C5153" s="9">
        <v>45962</v>
      </c>
      <c r="D5153">
        <v>16</v>
      </c>
      <c r="E5153" s="16" t="s">
        <v>103</v>
      </c>
      <c r="F5153" s="16" t="s">
        <v>94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63</v>
      </c>
      <c r="C5154" s="9">
        <v>45992</v>
      </c>
      <c r="D5154">
        <v>16</v>
      </c>
      <c r="E5154" s="16" t="s">
        <v>103</v>
      </c>
      <c r="F5154" s="16" t="s">
        <v>94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63</v>
      </c>
      <c r="C5155" s="9">
        <v>46023</v>
      </c>
      <c r="D5155">
        <v>16</v>
      </c>
      <c r="E5155" s="16" t="s">
        <v>103</v>
      </c>
      <c r="F5155" s="16" t="s">
        <v>94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63</v>
      </c>
      <c r="C5156" s="9">
        <v>46054</v>
      </c>
      <c r="D5156">
        <v>16</v>
      </c>
      <c r="E5156" s="16" t="s">
        <v>103</v>
      </c>
      <c r="F5156" s="16" t="s">
        <v>94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63</v>
      </c>
      <c r="C5157" s="9">
        <v>46082</v>
      </c>
      <c r="D5157">
        <v>16</v>
      </c>
      <c r="E5157" s="16" t="s">
        <v>103</v>
      </c>
      <c r="F5157" s="16" t="s">
        <v>94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63</v>
      </c>
      <c r="C5158" s="9">
        <v>46113</v>
      </c>
      <c r="D5158">
        <v>16</v>
      </c>
      <c r="E5158" s="16" t="s">
        <v>103</v>
      </c>
      <c r="F5158" s="16" t="s">
        <v>94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63</v>
      </c>
      <c r="C5159" s="9">
        <v>46143</v>
      </c>
      <c r="D5159">
        <v>16</v>
      </c>
      <c r="E5159" s="16" t="s">
        <v>103</v>
      </c>
      <c r="F5159" s="16" t="s">
        <v>94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63</v>
      </c>
      <c r="C5160" s="9">
        <v>46174</v>
      </c>
      <c r="D5160">
        <v>16</v>
      </c>
      <c r="E5160" s="16" t="s">
        <v>103</v>
      </c>
      <c r="F5160" s="16" t="s">
        <v>94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63</v>
      </c>
      <c r="C5161" s="9">
        <v>46204</v>
      </c>
      <c r="D5161">
        <v>16</v>
      </c>
      <c r="E5161" s="16" t="s">
        <v>103</v>
      </c>
      <c r="F5161" s="16" t="s">
        <v>94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63</v>
      </c>
      <c r="C5162" s="9">
        <v>46235</v>
      </c>
      <c r="D5162">
        <v>16</v>
      </c>
      <c r="E5162" s="16" t="s">
        <v>103</v>
      </c>
      <c r="F5162" s="16" t="s">
        <v>94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63</v>
      </c>
      <c r="C5163" s="9">
        <v>46266</v>
      </c>
      <c r="D5163">
        <v>16</v>
      </c>
      <c r="E5163" s="16" t="s">
        <v>103</v>
      </c>
      <c r="F5163" s="16" t="s">
        <v>94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63</v>
      </c>
      <c r="C5164" s="9">
        <v>45689</v>
      </c>
      <c r="D5164">
        <v>17</v>
      </c>
      <c r="E5164" s="16" t="s">
        <v>104</v>
      </c>
      <c r="F5164" s="16" t="s">
        <v>105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63</v>
      </c>
      <c r="C5165" s="9">
        <v>45717</v>
      </c>
      <c r="D5165">
        <v>17</v>
      </c>
      <c r="E5165" s="16" t="s">
        <v>104</v>
      </c>
      <c r="F5165" s="16" t="s">
        <v>105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63</v>
      </c>
      <c r="C5166" s="9">
        <v>45748</v>
      </c>
      <c r="D5166">
        <v>17</v>
      </c>
      <c r="E5166" s="16" t="s">
        <v>104</v>
      </c>
      <c r="F5166" s="16" t="s">
        <v>105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63</v>
      </c>
      <c r="C5167" s="9">
        <v>45778</v>
      </c>
      <c r="D5167">
        <v>17</v>
      </c>
      <c r="E5167" s="16" t="s">
        <v>104</v>
      </c>
      <c r="F5167" s="16" t="s">
        <v>105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63</v>
      </c>
      <c r="C5168" s="9">
        <v>45809</v>
      </c>
      <c r="D5168">
        <v>17</v>
      </c>
      <c r="E5168" s="16" t="s">
        <v>104</v>
      </c>
      <c r="F5168" s="16" t="s">
        <v>105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63</v>
      </c>
      <c r="C5169" s="9">
        <v>45839</v>
      </c>
      <c r="D5169">
        <v>17</v>
      </c>
      <c r="E5169" s="16" t="s">
        <v>104</v>
      </c>
      <c r="F5169" s="16" t="s">
        <v>105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63</v>
      </c>
      <c r="C5170" s="9">
        <v>45870</v>
      </c>
      <c r="D5170">
        <v>17</v>
      </c>
      <c r="E5170" s="16" t="s">
        <v>104</v>
      </c>
      <c r="F5170" s="16" t="s">
        <v>105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63</v>
      </c>
      <c r="C5171" s="9">
        <v>45901</v>
      </c>
      <c r="D5171">
        <v>17</v>
      </c>
      <c r="E5171" s="16" t="s">
        <v>104</v>
      </c>
      <c r="F5171" s="16" t="s">
        <v>105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63</v>
      </c>
      <c r="C5172" s="9">
        <v>45931</v>
      </c>
      <c r="D5172">
        <v>17</v>
      </c>
      <c r="E5172" s="16" t="s">
        <v>104</v>
      </c>
      <c r="F5172" s="16" t="s">
        <v>105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63</v>
      </c>
      <c r="C5173" s="9">
        <v>45962</v>
      </c>
      <c r="D5173">
        <v>17</v>
      </c>
      <c r="E5173" s="16" t="s">
        <v>104</v>
      </c>
      <c r="F5173" s="16" t="s">
        <v>105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63</v>
      </c>
      <c r="C5174" s="9">
        <v>45992</v>
      </c>
      <c r="D5174">
        <v>17</v>
      </c>
      <c r="E5174" s="16" t="s">
        <v>104</v>
      </c>
      <c r="F5174" s="16" t="s">
        <v>105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63</v>
      </c>
      <c r="C5175" s="9">
        <v>46023</v>
      </c>
      <c r="D5175">
        <v>17</v>
      </c>
      <c r="E5175" s="16" t="s">
        <v>104</v>
      </c>
      <c r="F5175" s="16" t="s">
        <v>105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63</v>
      </c>
      <c r="C5176" s="9">
        <v>46054</v>
      </c>
      <c r="D5176">
        <v>17</v>
      </c>
      <c r="E5176" s="16" t="s">
        <v>104</v>
      </c>
      <c r="F5176" s="16" t="s">
        <v>105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63</v>
      </c>
      <c r="C5177" s="9">
        <v>46082</v>
      </c>
      <c r="D5177">
        <v>17</v>
      </c>
      <c r="E5177" s="16" t="s">
        <v>104</v>
      </c>
      <c r="F5177" s="16" t="s">
        <v>105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63</v>
      </c>
      <c r="C5178" s="9">
        <v>46113</v>
      </c>
      <c r="D5178">
        <v>17</v>
      </c>
      <c r="E5178" s="16" t="s">
        <v>104</v>
      </c>
      <c r="F5178" s="16" t="s">
        <v>105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63</v>
      </c>
      <c r="C5179" s="9">
        <v>46143</v>
      </c>
      <c r="D5179">
        <v>17</v>
      </c>
      <c r="E5179" s="16" t="s">
        <v>104</v>
      </c>
      <c r="F5179" s="16" t="s">
        <v>105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63</v>
      </c>
      <c r="C5180" s="9">
        <v>46174</v>
      </c>
      <c r="D5180">
        <v>17</v>
      </c>
      <c r="E5180" s="16" t="s">
        <v>104</v>
      </c>
      <c r="F5180" s="16" t="s">
        <v>105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63</v>
      </c>
      <c r="C5181" s="9">
        <v>46204</v>
      </c>
      <c r="D5181">
        <v>17</v>
      </c>
      <c r="E5181" s="16" t="s">
        <v>104</v>
      </c>
      <c r="F5181" s="16" t="s">
        <v>105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63</v>
      </c>
      <c r="C5182" s="9">
        <v>46235</v>
      </c>
      <c r="D5182">
        <v>17</v>
      </c>
      <c r="E5182" s="16" t="s">
        <v>104</v>
      </c>
      <c r="F5182" s="16" t="s">
        <v>105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63</v>
      </c>
      <c r="C5183" s="9">
        <v>46266</v>
      </c>
      <c r="D5183">
        <v>17</v>
      </c>
      <c r="E5183" s="16" t="s">
        <v>104</v>
      </c>
      <c r="F5183" s="16" t="s">
        <v>105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63</v>
      </c>
      <c r="C5184" s="9">
        <v>45689</v>
      </c>
      <c r="D5184">
        <v>18</v>
      </c>
      <c r="E5184" s="16" t="s">
        <v>106</v>
      </c>
      <c r="F5184" s="16" t="s">
        <v>105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63</v>
      </c>
      <c r="C5185" s="9">
        <v>45717</v>
      </c>
      <c r="D5185">
        <v>18</v>
      </c>
      <c r="E5185" s="16" t="s">
        <v>106</v>
      </c>
      <c r="F5185" s="16" t="s">
        <v>105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63</v>
      </c>
      <c r="C5186" s="9">
        <v>45748</v>
      </c>
      <c r="D5186">
        <v>18</v>
      </c>
      <c r="E5186" s="16" t="s">
        <v>106</v>
      </c>
      <c r="F5186" s="16" t="s">
        <v>105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63</v>
      </c>
      <c r="C5187" s="9">
        <v>45778</v>
      </c>
      <c r="D5187">
        <v>18</v>
      </c>
      <c r="E5187" s="16" t="s">
        <v>106</v>
      </c>
      <c r="F5187" s="16" t="s">
        <v>105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63</v>
      </c>
      <c r="C5188" s="9">
        <v>45809</v>
      </c>
      <c r="D5188">
        <v>18</v>
      </c>
      <c r="E5188" s="16" t="s">
        <v>106</v>
      </c>
      <c r="F5188" s="16" t="s">
        <v>105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63</v>
      </c>
      <c r="C5189" s="9">
        <v>45839</v>
      </c>
      <c r="D5189">
        <v>18</v>
      </c>
      <c r="E5189" s="16" t="s">
        <v>106</v>
      </c>
      <c r="F5189" s="16" t="s">
        <v>105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63</v>
      </c>
      <c r="C5190" s="9">
        <v>45870</v>
      </c>
      <c r="D5190">
        <v>18</v>
      </c>
      <c r="E5190" s="16" t="s">
        <v>106</v>
      </c>
      <c r="F5190" s="16" t="s">
        <v>105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63</v>
      </c>
      <c r="C5191" s="9">
        <v>45901</v>
      </c>
      <c r="D5191">
        <v>18</v>
      </c>
      <c r="E5191" s="16" t="s">
        <v>106</v>
      </c>
      <c r="F5191" s="16" t="s">
        <v>105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63</v>
      </c>
      <c r="C5192" s="9">
        <v>45931</v>
      </c>
      <c r="D5192">
        <v>18</v>
      </c>
      <c r="E5192" s="16" t="s">
        <v>106</v>
      </c>
      <c r="F5192" s="16" t="s">
        <v>105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63</v>
      </c>
      <c r="C5193" s="9">
        <v>45962</v>
      </c>
      <c r="D5193">
        <v>18</v>
      </c>
      <c r="E5193" s="16" t="s">
        <v>106</v>
      </c>
      <c r="F5193" s="16" t="s">
        <v>105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63</v>
      </c>
      <c r="C5194" s="9">
        <v>45992</v>
      </c>
      <c r="D5194">
        <v>18</v>
      </c>
      <c r="E5194" s="16" t="s">
        <v>106</v>
      </c>
      <c r="F5194" s="16" t="s">
        <v>105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63</v>
      </c>
      <c r="C5195" s="9">
        <v>46023</v>
      </c>
      <c r="D5195">
        <v>18</v>
      </c>
      <c r="E5195" s="16" t="s">
        <v>106</v>
      </c>
      <c r="F5195" s="16" t="s">
        <v>105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63</v>
      </c>
      <c r="C5196" s="9">
        <v>46054</v>
      </c>
      <c r="D5196">
        <v>18</v>
      </c>
      <c r="E5196" s="16" t="s">
        <v>106</v>
      </c>
      <c r="F5196" s="16" t="s">
        <v>105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63</v>
      </c>
      <c r="C5197" s="9">
        <v>46082</v>
      </c>
      <c r="D5197">
        <v>18</v>
      </c>
      <c r="E5197" s="16" t="s">
        <v>106</v>
      </c>
      <c r="F5197" s="16" t="s">
        <v>105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63</v>
      </c>
      <c r="C5198" s="9">
        <v>46113</v>
      </c>
      <c r="D5198">
        <v>18</v>
      </c>
      <c r="E5198" s="16" t="s">
        <v>106</v>
      </c>
      <c r="F5198" s="16" t="s">
        <v>105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63</v>
      </c>
      <c r="C5199" s="9">
        <v>46143</v>
      </c>
      <c r="D5199">
        <v>18</v>
      </c>
      <c r="E5199" s="16" t="s">
        <v>106</v>
      </c>
      <c r="F5199" s="16" t="s">
        <v>105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63</v>
      </c>
      <c r="C5200" s="9">
        <v>46174</v>
      </c>
      <c r="D5200">
        <v>18</v>
      </c>
      <c r="E5200" s="16" t="s">
        <v>106</v>
      </c>
      <c r="F5200" s="16" t="s">
        <v>105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63</v>
      </c>
      <c r="C5201" s="9">
        <v>46204</v>
      </c>
      <c r="D5201">
        <v>18</v>
      </c>
      <c r="E5201" s="16" t="s">
        <v>106</v>
      </c>
      <c r="F5201" s="16" t="s">
        <v>105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63</v>
      </c>
      <c r="C5202" s="9">
        <v>46235</v>
      </c>
      <c r="D5202">
        <v>18</v>
      </c>
      <c r="E5202" s="16" t="s">
        <v>106</v>
      </c>
      <c r="F5202" s="16" t="s">
        <v>105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63</v>
      </c>
      <c r="C5203" s="9">
        <v>46266</v>
      </c>
      <c r="D5203">
        <v>18</v>
      </c>
      <c r="E5203" s="16" t="s">
        <v>106</v>
      </c>
      <c r="F5203" s="16" t="s">
        <v>105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63</v>
      </c>
      <c r="C5204" s="9">
        <v>45689</v>
      </c>
      <c r="D5204">
        <v>19</v>
      </c>
      <c r="E5204" s="16" t="s">
        <v>107</v>
      </c>
      <c r="F5204" s="16" t="s">
        <v>108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63</v>
      </c>
      <c r="C5205" s="9">
        <v>45717</v>
      </c>
      <c r="D5205">
        <v>19</v>
      </c>
      <c r="E5205" s="16" t="s">
        <v>107</v>
      </c>
      <c r="F5205" s="16" t="s">
        <v>108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63</v>
      </c>
      <c r="C5206" s="9">
        <v>45748</v>
      </c>
      <c r="D5206">
        <v>19</v>
      </c>
      <c r="E5206" s="16" t="s">
        <v>107</v>
      </c>
      <c r="F5206" s="16" t="s">
        <v>108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63</v>
      </c>
      <c r="C5207" s="9">
        <v>45778</v>
      </c>
      <c r="D5207">
        <v>19</v>
      </c>
      <c r="E5207" s="16" t="s">
        <v>107</v>
      </c>
      <c r="F5207" s="16" t="s">
        <v>108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63</v>
      </c>
      <c r="C5208" s="9">
        <v>45809</v>
      </c>
      <c r="D5208">
        <v>19</v>
      </c>
      <c r="E5208" s="16" t="s">
        <v>107</v>
      </c>
      <c r="F5208" s="16" t="s">
        <v>108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63</v>
      </c>
      <c r="C5209" s="9">
        <v>45839</v>
      </c>
      <c r="D5209">
        <v>19</v>
      </c>
      <c r="E5209" s="16" t="s">
        <v>107</v>
      </c>
      <c r="F5209" s="16" t="s">
        <v>108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63</v>
      </c>
      <c r="C5210" s="9">
        <v>45870</v>
      </c>
      <c r="D5210">
        <v>19</v>
      </c>
      <c r="E5210" s="16" t="s">
        <v>107</v>
      </c>
      <c r="F5210" s="16" t="s">
        <v>108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63</v>
      </c>
      <c r="C5211" s="9">
        <v>45901</v>
      </c>
      <c r="D5211">
        <v>19</v>
      </c>
      <c r="E5211" s="16" t="s">
        <v>107</v>
      </c>
      <c r="F5211" s="16" t="s">
        <v>108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63</v>
      </c>
      <c r="C5212" s="9">
        <v>45931</v>
      </c>
      <c r="D5212">
        <v>19</v>
      </c>
      <c r="E5212" s="16" t="s">
        <v>107</v>
      </c>
      <c r="F5212" s="16" t="s">
        <v>108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63</v>
      </c>
      <c r="C5213" s="9">
        <v>45962</v>
      </c>
      <c r="D5213">
        <v>19</v>
      </c>
      <c r="E5213" s="16" t="s">
        <v>107</v>
      </c>
      <c r="F5213" s="16" t="s">
        <v>108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63</v>
      </c>
      <c r="C5214" s="9">
        <v>45992</v>
      </c>
      <c r="D5214">
        <v>19</v>
      </c>
      <c r="E5214" s="16" t="s">
        <v>107</v>
      </c>
      <c r="F5214" s="16" t="s">
        <v>108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63</v>
      </c>
      <c r="C5215" s="9">
        <v>46023</v>
      </c>
      <c r="D5215">
        <v>19</v>
      </c>
      <c r="E5215" s="16" t="s">
        <v>107</v>
      </c>
      <c r="F5215" s="16" t="s">
        <v>108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63</v>
      </c>
      <c r="C5216" s="9">
        <v>46054</v>
      </c>
      <c r="D5216">
        <v>19</v>
      </c>
      <c r="E5216" s="16" t="s">
        <v>107</v>
      </c>
      <c r="F5216" s="16" t="s">
        <v>108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63</v>
      </c>
      <c r="C5217" s="9">
        <v>46082</v>
      </c>
      <c r="D5217">
        <v>19</v>
      </c>
      <c r="E5217" s="16" t="s">
        <v>107</v>
      </c>
      <c r="F5217" s="16" t="s">
        <v>108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63</v>
      </c>
      <c r="C5218" s="9">
        <v>46113</v>
      </c>
      <c r="D5218">
        <v>19</v>
      </c>
      <c r="E5218" s="16" t="s">
        <v>107</v>
      </c>
      <c r="F5218" s="16" t="s">
        <v>108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63</v>
      </c>
      <c r="C5219" s="9">
        <v>46143</v>
      </c>
      <c r="D5219">
        <v>19</v>
      </c>
      <c r="E5219" s="16" t="s">
        <v>107</v>
      </c>
      <c r="F5219" s="16" t="s">
        <v>108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63</v>
      </c>
      <c r="C5220" s="9">
        <v>46174</v>
      </c>
      <c r="D5220">
        <v>19</v>
      </c>
      <c r="E5220" s="16" t="s">
        <v>107</v>
      </c>
      <c r="F5220" s="16" t="s">
        <v>108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63</v>
      </c>
      <c r="C5221" s="9">
        <v>46204</v>
      </c>
      <c r="D5221">
        <v>19</v>
      </c>
      <c r="E5221" s="16" t="s">
        <v>107</v>
      </c>
      <c r="F5221" s="16" t="s">
        <v>108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63</v>
      </c>
      <c r="C5222" s="9">
        <v>46235</v>
      </c>
      <c r="D5222">
        <v>19</v>
      </c>
      <c r="E5222" s="16" t="s">
        <v>107</v>
      </c>
      <c r="F5222" s="16" t="s">
        <v>108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63</v>
      </c>
      <c r="C5223" s="9">
        <v>46266</v>
      </c>
      <c r="D5223">
        <v>19</v>
      </c>
      <c r="E5223" s="16" t="s">
        <v>107</v>
      </c>
      <c r="F5223" s="16" t="s">
        <v>108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63</v>
      </c>
      <c r="C5224" s="9">
        <v>45689</v>
      </c>
      <c r="D5224">
        <v>20</v>
      </c>
      <c r="E5224" s="16" t="s">
        <v>109</v>
      </c>
      <c r="F5224" s="16" t="s">
        <v>110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63</v>
      </c>
      <c r="C5225" s="9">
        <v>45778</v>
      </c>
      <c r="D5225">
        <v>20</v>
      </c>
      <c r="E5225" s="16" t="s">
        <v>109</v>
      </c>
      <c r="F5225" s="16" t="s">
        <v>110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63</v>
      </c>
      <c r="C5226" s="9">
        <v>45839</v>
      </c>
      <c r="D5226">
        <v>20</v>
      </c>
      <c r="E5226" s="16" t="s">
        <v>109</v>
      </c>
      <c r="F5226" s="16" t="s">
        <v>110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63</v>
      </c>
      <c r="C5227" s="9">
        <v>45931</v>
      </c>
      <c r="D5227">
        <v>20</v>
      </c>
      <c r="E5227" s="16" t="s">
        <v>109</v>
      </c>
      <c r="F5227" s="16" t="s">
        <v>110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63</v>
      </c>
      <c r="C5228" s="9">
        <v>45992</v>
      </c>
      <c r="D5228">
        <v>20</v>
      </c>
      <c r="E5228" s="16" t="s">
        <v>109</v>
      </c>
      <c r="F5228" s="16" t="s">
        <v>110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63</v>
      </c>
      <c r="C5229" s="9">
        <v>46082</v>
      </c>
      <c r="D5229">
        <v>20</v>
      </c>
      <c r="E5229" s="16" t="s">
        <v>109</v>
      </c>
      <c r="F5229" s="16" t="s">
        <v>110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63</v>
      </c>
      <c r="C5230" s="9">
        <v>46113</v>
      </c>
      <c r="D5230">
        <v>20</v>
      </c>
      <c r="E5230" s="16" t="s">
        <v>109</v>
      </c>
      <c r="F5230" s="16" t="s">
        <v>110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63</v>
      </c>
      <c r="C5231" s="9">
        <v>46204</v>
      </c>
      <c r="D5231">
        <v>20</v>
      </c>
      <c r="E5231" s="16" t="s">
        <v>109</v>
      </c>
      <c r="F5231" s="16" t="s">
        <v>110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63</v>
      </c>
      <c r="C5232" s="9">
        <v>45689</v>
      </c>
      <c r="D5232">
        <v>21</v>
      </c>
      <c r="E5232" s="16" t="s">
        <v>111</v>
      </c>
      <c r="F5232" s="16" t="s">
        <v>85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63</v>
      </c>
      <c r="C5233" s="9">
        <v>45717</v>
      </c>
      <c r="D5233">
        <v>21</v>
      </c>
      <c r="E5233" s="16" t="s">
        <v>111</v>
      </c>
      <c r="F5233" s="16" t="s">
        <v>85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63</v>
      </c>
      <c r="C5234" s="9">
        <v>45748</v>
      </c>
      <c r="D5234">
        <v>21</v>
      </c>
      <c r="E5234" s="16" t="s">
        <v>111</v>
      </c>
      <c r="F5234" s="16" t="s">
        <v>85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63</v>
      </c>
      <c r="C5235" s="9">
        <v>45778</v>
      </c>
      <c r="D5235">
        <v>21</v>
      </c>
      <c r="E5235" s="16" t="s">
        <v>111</v>
      </c>
      <c r="F5235" s="16" t="s">
        <v>85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63</v>
      </c>
      <c r="C5236" s="9">
        <v>45809</v>
      </c>
      <c r="D5236">
        <v>21</v>
      </c>
      <c r="E5236" s="16" t="s">
        <v>111</v>
      </c>
      <c r="F5236" s="16" t="s">
        <v>85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63</v>
      </c>
      <c r="C5237" s="9">
        <v>45839</v>
      </c>
      <c r="D5237">
        <v>21</v>
      </c>
      <c r="E5237" s="16" t="s">
        <v>111</v>
      </c>
      <c r="F5237" s="16" t="s">
        <v>85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63</v>
      </c>
      <c r="C5238" s="9">
        <v>45870</v>
      </c>
      <c r="D5238">
        <v>21</v>
      </c>
      <c r="E5238" s="16" t="s">
        <v>111</v>
      </c>
      <c r="F5238" s="16" t="s">
        <v>85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63</v>
      </c>
      <c r="C5239" s="9">
        <v>45901</v>
      </c>
      <c r="D5239">
        <v>21</v>
      </c>
      <c r="E5239" s="16" t="s">
        <v>111</v>
      </c>
      <c r="F5239" s="16" t="s">
        <v>85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63</v>
      </c>
      <c r="C5240" s="9">
        <v>45931</v>
      </c>
      <c r="D5240">
        <v>21</v>
      </c>
      <c r="E5240" s="16" t="s">
        <v>111</v>
      </c>
      <c r="F5240" s="16" t="s">
        <v>85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63</v>
      </c>
      <c r="C5241" s="9">
        <v>45962</v>
      </c>
      <c r="D5241">
        <v>21</v>
      </c>
      <c r="E5241" s="16" t="s">
        <v>111</v>
      </c>
      <c r="F5241" s="16" t="s">
        <v>85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63</v>
      </c>
      <c r="C5242" s="9">
        <v>45992</v>
      </c>
      <c r="D5242">
        <v>21</v>
      </c>
      <c r="E5242" s="16" t="s">
        <v>111</v>
      </c>
      <c r="F5242" s="16" t="s">
        <v>85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63</v>
      </c>
      <c r="C5243" s="9">
        <v>46023</v>
      </c>
      <c r="D5243">
        <v>21</v>
      </c>
      <c r="E5243" s="16" t="s">
        <v>111</v>
      </c>
      <c r="F5243" s="16" t="s">
        <v>85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63</v>
      </c>
      <c r="C5244" s="9">
        <v>46054</v>
      </c>
      <c r="D5244">
        <v>21</v>
      </c>
      <c r="E5244" s="16" t="s">
        <v>111</v>
      </c>
      <c r="F5244" s="16" t="s">
        <v>85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63</v>
      </c>
      <c r="C5245" s="9">
        <v>46082</v>
      </c>
      <c r="D5245">
        <v>21</v>
      </c>
      <c r="E5245" s="16" t="s">
        <v>111</v>
      </c>
      <c r="F5245" s="16" t="s">
        <v>85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63</v>
      </c>
      <c r="C5246" s="9">
        <v>46113</v>
      </c>
      <c r="D5246">
        <v>21</v>
      </c>
      <c r="E5246" s="16" t="s">
        <v>111</v>
      </c>
      <c r="F5246" s="16" t="s">
        <v>85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63</v>
      </c>
      <c r="C5247" s="9">
        <v>46143</v>
      </c>
      <c r="D5247">
        <v>21</v>
      </c>
      <c r="E5247" s="16" t="s">
        <v>111</v>
      </c>
      <c r="F5247" s="16" t="s">
        <v>85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63</v>
      </c>
      <c r="C5248" s="9">
        <v>46174</v>
      </c>
      <c r="D5248">
        <v>21</v>
      </c>
      <c r="E5248" s="16" t="s">
        <v>111</v>
      </c>
      <c r="F5248" s="16" t="s">
        <v>85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63</v>
      </c>
      <c r="C5249" s="9">
        <v>46204</v>
      </c>
      <c r="D5249">
        <v>21</v>
      </c>
      <c r="E5249" s="16" t="s">
        <v>111</v>
      </c>
      <c r="F5249" s="16" t="s">
        <v>85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63</v>
      </c>
      <c r="C5250" s="9">
        <v>46235</v>
      </c>
      <c r="D5250">
        <v>21</v>
      </c>
      <c r="E5250" s="16" t="s">
        <v>111</v>
      </c>
      <c r="F5250" s="16" t="s">
        <v>85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63</v>
      </c>
      <c r="C5251" s="9">
        <v>46266</v>
      </c>
      <c r="D5251">
        <v>21</v>
      </c>
      <c r="E5251" s="16" t="s">
        <v>111</v>
      </c>
      <c r="F5251" s="16" t="s">
        <v>85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63</v>
      </c>
      <c r="C5252" s="9">
        <v>45689</v>
      </c>
      <c r="D5252">
        <v>22</v>
      </c>
      <c r="E5252" s="16" t="s">
        <v>112</v>
      </c>
      <c r="F5252" s="16" t="s">
        <v>92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63</v>
      </c>
      <c r="C5253" s="9">
        <v>45717</v>
      </c>
      <c r="D5253">
        <v>22</v>
      </c>
      <c r="E5253" s="16" t="s">
        <v>112</v>
      </c>
      <c r="F5253" s="16" t="s">
        <v>92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63</v>
      </c>
      <c r="C5254" s="9">
        <v>45748</v>
      </c>
      <c r="D5254">
        <v>22</v>
      </c>
      <c r="E5254" s="16" t="s">
        <v>112</v>
      </c>
      <c r="F5254" s="16" t="s">
        <v>92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63</v>
      </c>
      <c r="C5255" s="9">
        <v>45778</v>
      </c>
      <c r="D5255">
        <v>22</v>
      </c>
      <c r="E5255" s="16" t="s">
        <v>112</v>
      </c>
      <c r="F5255" s="16" t="s">
        <v>92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63</v>
      </c>
      <c r="C5256" s="9">
        <v>45809</v>
      </c>
      <c r="D5256">
        <v>22</v>
      </c>
      <c r="E5256" s="16" t="s">
        <v>112</v>
      </c>
      <c r="F5256" s="16" t="s">
        <v>92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63</v>
      </c>
      <c r="C5257" s="9">
        <v>45839</v>
      </c>
      <c r="D5257">
        <v>22</v>
      </c>
      <c r="E5257" s="16" t="s">
        <v>112</v>
      </c>
      <c r="F5257" s="16" t="s">
        <v>92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63</v>
      </c>
      <c r="C5258" s="9">
        <v>45870</v>
      </c>
      <c r="D5258">
        <v>22</v>
      </c>
      <c r="E5258" s="16" t="s">
        <v>112</v>
      </c>
      <c r="F5258" s="16" t="s">
        <v>92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63</v>
      </c>
      <c r="C5259" s="9">
        <v>45901</v>
      </c>
      <c r="D5259">
        <v>22</v>
      </c>
      <c r="E5259" s="16" t="s">
        <v>112</v>
      </c>
      <c r="F5259" s="16" t="s">
        <v>92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63</v>
      </c>
      <c r="C5260" s="9">
        <v>45931</v>
      </c>
      <c r="D5260">
        <v>22</v>
      </c>
      <c r="E5260" s="16" t="s">
        <v>112</v>
      </c>
      <c r="F5260" s="16" t="s">
        <v>92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63</v>
      </c>
      <c r="C5261" s="9">
        <v>45962</v>
      </c>
      <c r="D5261">
        <v>22</v>
      </c>
      <c r="E5261" s="16" t="s">
        <v>112</v>
      </c>
      <c r="F5261" s="16" t="s">
        <v>92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63</v>
      </c>
      <c r="C5262" s="9">
        <v>45992</v>
      </c>
      <c r="D5262">
        <v>22</v>
      </c>
      <c r="E5262" s="16" t="s">
        <v>112</v>
      </c>
      <c r="F5262" s="16" t="s">
        <v>92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63</v>
      </c>
      <c r="C5263" s="9">
        <v>46023</v>
      </c>
      <c r="D5263">
        <v>22</v>
      </c>
      <c r="E5263" s="16" t="s">
        <v>112</v>
      </c>
      <c r="F5263" s="16" t="s">
        <v>92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63</v>
      </c>
      <c r="C5264" s="9">
        <v>46054</v>
      </c>
      <c r="D5264">
        <v>22</v>
      </c>
      <c r="E5264" s="16" t="s">
        <v>112</v>
      </c>
      <c r="F5264" s="16" t="s">
        <v>92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63</v>
      </c>
      <c r="C5265" s="9">
        <v>46082</v>
      </c>
      <c r="D5265">
        <v>22</v>
      </c>
      <c r="E5265" s="16" t="s">
        <v>112</v>
      </c>
      <c r="F5265" s="16" t="s">
        <v>92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63</v>
      </c>
      <c r="C5266" s="9">
        <v>46113</v>
      </c>
      <c r="D5266">
        <v>22</v>
      </c>
      <c r="E5266" s="16" t="s">
        <v>112</v>
      </c>
      <c r="F5266" s="16" t="s">
        <v>92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63</v>
      </c>
      <c r="C5267" s="9">
        <v>46143</v>
      </c>
      <c r="D5267">
        <v>22</v>
      </c>
      <c r="E5267" s="16" t="s">
        <v>112</v>
      </c>
      <c r="F5267" s="16" t="s">
        <v>92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63</v>
      </c>
      <c r="C5268" s="9">
        <v>46174</v>
      </c>
      <c r="D5268">
        <v>22</v>
      </c>
      <c r="E5268" s="16" t="s">
        <v>112</v>
      </c>
      <c r="F5268" s="16" t="s">
        <v>92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63</v>
      </c>
      <c r="C5269" s="9">
        <v>46204</v>
      </c>
      <c r="D5269">
        <v>22</v>
      </c>
      <c r="E5269" s="16" t="s">
        <v>112</v>
      </c>
      <c r="F5269" s="16" t="s">
        <v>92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63</v>
      </c>
      <c r="C5270" s="9">
        <v>46235</v>
      </c>
      <c r="D5270">
        <v>22</v>
      </c>
      <c r="E5270" s="16" t="s">
        <v>112</v>
      </c>
      <c r="F5270" s="16" t="s">
        <v>92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63</v>
      </c>
      <c r="C5271" s="9">
        <v>46266</v>
      </c>
      <c r="D5271">
        <v>22</v>
      </c>
      <c r="E5271" s="16" t="s">
        <v>112</v>
      </c>
      <c r="F5271" s="16" t="s">
        <v>92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63</v>
      </c>
      <c r="C5272" s="9">
        <v>45689</v>
      </c>
      <c r="D5272">
        <v>23</v>
      </c>
      <c r="E5272" s="16" t="s">
        <v>113</v>
      </c>
      <c r="F5272" s="16" t="s">
        <v>94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63</v>
      </c>
      <c r="C5273" s="9">
        <v>45717</v>
      </c>
      <c r="D5273">
        <v>23</v>
      </c>
      <c r="E5273" s="16" t="s">
        <v>113</v>
      </c>
      <c r="F5273" s="16" t="s">
        <v>94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63</v>
      </c>
      <c r="C5274" s="9">
        <v>45748</v>
      </c>
      <c r="D5274">
        <v>23</v>
      </c>
      <c r="E5274" s="16" t="s">
        <v>113</v>
      </c>
      <c r="F5274" s="16" t="s">
        <v>94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63</v>
      </c>
      <c r="C5275" s="9">
        <v>45778</v>
      </c>
      <c r="D5275">
        <v>23</v>
      </c>
      <c r="E5275" s="16" t="s">
        <v>113</v>
      </c>
      <c r="F5275" s="16" t="s">
        <v>94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63</v>
      </c>
      <c r="C5276" s="9">
        <v>45809</v>
      </c>
      <c r="D5276">
        <v>23</v>
      </c>
      <c r="E5276" s="16" t="s">
        <v>113</v>
      </c>
      <c r="F5276" s="16" t="s">
        <v>94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63</v>
      </c>
      <c r="C5277" s="9">
        <v>45839</v>
      </c>
      <c r="D5277">
        <v>23</v>
      </c>
      <c r="E5277" s="16" t="s">
        <v>113</v>
      </c>
      <c r="F5277" s="16" t="s">
        <v>94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63</v>
      </c>
      <c r="C5278" s="9">
        <v>45870</v>
      </c>
      <c r="D5278">
        <v>23</v>
      </c>
      <c r="E5278" s="16" t="s">
        <v>113</v>
      </c>
      <c r="F5278" s="16" t="s">
        <v>94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63</v>
      </c>
      <c r="C5279" s="9">
        <v>45901</v>
      </c>
      <c r="D5279">
        <v>23</v>
      </c>
      <c r="E5279" s="16" t="s">
        <v>113</v>
      </c>
      <c r="F5279" s="16" t="s">
        <v>94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63</v>
      </c>
      <c r="C5280" s="9">
        <v>45931</v>
      </c>
      <c r="D5280">
        <v>23</v>
      </c>
      <c r="E5280" s="16" t="s">
        <v>113</v>
      </c>
      <c r="F5280" s="16" t="s">
        <v>94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63</v>
      </c>
      <c r="C5281" s="9">
        <v>45962</v>
      </c>
      <c r="D5281">
        <v>23</v>
      </c>
      <c r="E5281" s="16" t="s">
        <v>113</v>
      </c>
      <c r="F5281" s="16" t="s">
        <v>94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63</v>
      </c>
      <c r="C5282" s="9">
        <v>45992</v>
      </c>
      <c r="D5282">
        <v>23</v>
      </c>
      <c r="E5282" s="16" t="s">
        <v>113</v>
      </c>
      <c r="F5282" s="16" t="s">
        <v>94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63</v>
      </c>
      <c r="C5283" s="9">
        <v>46023</v>
      </c>
      <c r="D5283">
        <v>23</v>
      </c>
      <c r="E5283" s="16" t="s">
        <v>113</v>
      </c>
      <c r="F5283" s="16" t="s">
        <v>94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63</v>
      </c>
      <c r="C5284" s="9">
        <v>46054</v>
      </c>
      <c r="D5284">
        <v>23</v>
      </c>
      <c r="E5284" s="16" t="s">
        <v>113</v>
      </c>
      <c r="F5284" s="16" t="s">
        <v>94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63</v>
      </c>
      <c r="C5285" s="9">
        <v>46082</v>
      </c>
      <c r="D5285">
        <v>23</v>
      </c>
      <c r="E5285" s="16" t="s">
        <v>113</v>
      </c>
      <c r="F5285" s="16" t="s">
        <v>94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63</v>
      </c>
      <c r="C5286" s="9">
        <v>46113</v>
      </c>
      <c r="D5286">
        <v>23</v>
      </c>
      <c r="E5286" s="16" t="s">
        <v>113</v>
      </c>
      <c r="F5286" s="16" t="s">
        <v>94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63</v>
      </c>
      <c r="C5287" s="9">
        <v>46143</v>
      </c>
      <c r="D5287">
        <v>23</v>
      </c>
      <c r="E5287" s="16" t="s">
        <v>113</v>
      </c>
      <c r="F5287" s="16" t="s">
        <v>94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63</v>
      </c>
      <c r="C5288" s="9">
        <v>46174</v>
      </c>
      <c r="D5288">
        <v>23</v>
      </c>
      <c r="E5288" s="16" t="s">
        <v>113</v>
      </c>
      <c r="F5288" s="16" t="s">
        <v>94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63</v>
      </c>
      <c r="C5289" s="9">
        <v>46204</v>
      </c>
      <c r="D5289">
        <v>23</v>
      </c>
      <c r="E5289" s="16" t="s">
        <v>113</v>
      </c>
      <c r="F5289" s="16" t="s">
        <v>94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63</v>
      </c>
      <c r="C5290" s="9">
        <v>46235</v>
      </c>
      <c r="D5290">
        <v>23</v>
      </c>
      <c r="E5290" s="16" t="s">
        <v>113</v>
      </c>
      <c r="F5290" s="16" t="s">
        <v>94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63</v>
      </c>
      <c r="C5291" s="9">
        <v>46266</v>
      </c>
      <c r="D5291">
        <v>23</v>
      </c>
      <c r="E5291" s="16" t="s">
        <v>113</v>
      </c>
      <c r="F5291" s="16" t="s">
        <v>94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63</v>
      </c>
      <c r="C5292" s="9">
        <v>45689</v>
      </c>
      <c r="D5292">
        <v>24</v>
      </c>
      <c r="E5292" s="16" t="s">
        <v>114</v>
      </c>
      <c r="F5292" s="16" t="s">
        <v>85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63</v>
      </c>
      <c r="C5293" s="9">
        <v>45717</v>
      </c>
      <c r="D5293">
        <v>24</v>
      </c>
      <c r="E5293" s="16" t="s">
        <v>114</v>
      </c>
      <c r="F5293" s="16" t="s">
        <v>85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63</v>
      </c>
      <c r="C5294" s="9">
        <v>45748</v>
      </c>
      <c r="D5294">
        <v>24</v>
      </c>
      <c r="E5294" s="16" t="s">
        <v>114</v>
      </c>
      <c r="F5294" s="16" t="s">
        <v>85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63</v>
      </c>
      <c r="C5295" s="9">
        <v>45778</v>
      </c>
      <c r="D5295">
        <v>24</v>
      </c>
      <c r="E5295" s="16" t="s">
        <v>114</v>
      </c>
      <c r="F5295" s="16" t="s">
        <v>85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63</v>
      </c>
      <c r="C5296" s="9">
        <v>45809</v>
      </c>
      <c r="D5296">
        <v>24</v>
      </c>
      <c r="E5296" s="16" t="s">
        <v>114</v>
      </c>
      <c r="F5296" s="16" t="s">
        <v>85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63</v>
      </c>
      <c r="C5297" s="9">
        <v>45839</v>
      </c>
      <c r="D5297">
        <v>24</v>
      </c>
      <c r="E5297" s="16" t="s">
        <v>114</v>
      </c>
      <c r="F5297" s="16" t="s">
        <v>85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63</v>
      </c>
      <c r="C5298" s="9">
        <v>45870</v>
      </c>
      <c r="D5298">
        <v>24</v>
      </c>
      <c r="E5298" s="16" t="s">
        <v>114</v>
      </c>
      <c r="F5298" s="16" t="s">
        <v>85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63</v>
      </c>
      <c r="C5299" s="9">
        <v>45901</v>
      </c>
      <c r="D5299">
        <v>24</v>
      </c>
      <c r="E5299" s="16" t="s">
        <v>114</v>
      </c>
      <c r="F5299" s="16" t="s">
        <v>85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63</v>
      </c>
      <c r="C5300" s="9">
        <v>45931</v>
      </c>
      <c r="D5300">
        <v>24</v>
      </c>
      <c r="E5300" s="16" t="s">
        <v>114</v>
      </c>
      <c r="F5300" s="16" t="s">
        <v>85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63</v>
      </c>
      <c r="C5301" s="9">
        <v>45962</v>
      </c>
      <c r="D5301">
        <v>24</v>
      </c>
      <c r="E5301" s="16" t="s">
        <v>114</v>
      </c>
      <c r="F5301" s="16" t="s">
        <v>85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63</v>
      </c>
      <c r="C5302" s="9">
        <v>45992</v>
      </c>
      <c r="D5302">
        <v>24</v>
      </c>
      <c r="E5302" s="16" t="s">
        <v>114</v>
      </c>
      <c r="F5302" s="16" t="s">
        <v>85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63</v>
      </c>
      <c r="C5303" s="9">
        <v>46023</v>
      </c>
      <c r="D5303">
        <v>24</v>
      </c>
      <c r="E5303" s="16" t="s">
        <v>114</v>
      </c>
      <c r="F5303" s="16" t="s">
        <v>85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63</v>
      </c>
      <c r="C5304" s="9">
        <v>46054</v>
      </c>
      <c r="D5304">
        <v>24</v>
      </c>
      <c r="E5304" s="16" t="s">
        <v>114</v>
      </c>
      <c r="F5304" s="16" t="s">
        <v>85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63</v>
      </c>
      <c r="C5305" s="9">
        <v>46082</v>
      </c>
      <c r="D5305">
        <v>24</v>
      </c>
      <c r="E5305" s="16" t="s">
        <v>114</v>
      </c>
      <c r="F5305" s="16" t="s">
        <v>85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63</v>
      </c>
      <c r="C5306" s="9">
        <v>46113</v>
      </c>
      <c r="D5306">
        <v>24</v>
      </c>
      <c r="E5306" s="16" t="s">
        <v>114</v>
      </c>
      <c r="F5306" s="16" t="s">
        <v>85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63</v>
      </c>
      <c r="C5307" s="9">
        <v>46143</v>
      </c>
      <c r="D5307">
        <v>24</v>
      </c>
      <c r="E5307" s="16" t="s">
        <v>114</v>
      </c>
      <c r="F5307" s="16" t="s">
        <v>85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63</v>
      </c>
      <c r="C5308" s="9">
        <v>46174</v>
      </c>
      <c r="D5308">
        <v>24</v>
      </c>
      <c r="E5308" s="16" t="s">
        <v>114</v>
      </c>
      <c r="F5308" s="16" t="s">
        <v>85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63</v>
      </c>
      <c r="C5309" s="9">
        <v>46204</v>
      </c>
      <c r="D5309">
        <v>24</v>
      </c>
      <c r="E5309" s="16" t="s">
        <v>114</v>
      </c>
      <c r="F5309" s="16" t="s">
        <v>85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63</v>
      </c>
      <c r="C5310" s="9">
        <v>46235</v>
      </c>
      <c r="D5310">
        <v>24</v>
      </c>
      <c r="E5310" s="16" t="s">
        <v>114</v>
      </c>
      <c r="F5310" s="16" t="s">
        <v>85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63</v>
      </c>
      <c r="C5311" s="9">
        <v>46266</v>
      </c>
      <c r="D5311">
        <v>24</v>
      </c>
      <c r="E5311" s="16" t="s">
        <v>114</v>
      </c>
      <c r="F5311" s="16" t="s">
        <v>85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63</v>
      </c>
      <c r="C5312" s="9">
        <v>45689</v>
      </c>
      <c r="D5312">
        <v>25</v>
      </c>
      <c r="E5312" s="16" t="s">
        <v>115</v>
      </c>
      <c r="F5312" s="16" t="s">
        <v>116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63</v>
      </c>
      <c r="C5313" s="9">
        <v>45717</v>
      </c>
      <c r="D5313">
        <v>25</v>
      </c>
      <c r="E5313" s="16" t="s">
        <v>115</v>
      </c>
      <c r="F5313" s="16" t="s">
        <v>116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63</v>
      </c>
      <c r="C5314" s="9">
        <v>45748</v>
      </c>
      <c r="D5314">
        <v>25</v>
      </c>
      <c r="E5314" s="16" t="s">
        <v>115</v>
      </c>
      <c r="F5314" s="16" t="s">
        <v>116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63</v>
      </c>
      <c r="C5315" s="9">
        <v>45778</v>
      </c>
      <c r="D5315">
        <v>25</v>
      </c>
      <c r="E5315" s="16" t="s">
        <v>115</v>
      </c>
      <c r="F5315" s="16" t="s">
        <v>116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63</v>
      </c>
      <c r="C5316" s="9">
        <v>45809</v>
      </c>
      <c r="D5316">
        <v>25</v>
      </c>
      <c r="E5316" s="16" t="s">
        <v>115</v>
      </c>
      <c r="F5316" s="16" t="s">
        <v>116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63</v>
      </c>
      <c r="C5317" s="9">
        <v>45839</v>
      </c>
      <c r="D5317">
        <v>25</v>
      </c>
      <c r="E5317" s="16" t="s">
        <v>115</v>
      </c>
      <c r="F5317" s="16" t="s">
        <v>116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63</v>
      </c>
      <c r="C5318" s="9">
        <v>45870</v>
      </c>
      <c r="D5318">
        <v>25</v>
      </c>
      <c r="E5318" s="16" t="s">
        <v>115</v>
      </c>
      <c r="F5318" s="16" t="s">
        <v>116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63</v>
      </c>
      <c r="C5319" s="9">
        <v>45901</v>
      </c>
      <c r="D5319">
        <v>25</v>
      </c>
      <c r="E5319" s="16" t="s">
        <v>115</v>
      </c>
      <c r="F5319" s="16" t="s">
        <v>116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63</v>
      </c>
      <c r="C5320" s="9">
        <v>45931</v>
      </c>
      <c r="D5320">
        <v>25</v>
      </c>
      <c r="E5320" s="16" t="s">
        <v>115</v>
      </c>
      <c r="F5320" s="16" t="s">
        <v>116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63</v>
      </c>
      <c r="C5321" s="9">
        <v>45962</v>
      </c>
      <c r="D5321">
        <v>25</v>
      </c>
      <c r="E5321" s="16" t="s">
        <v>115</v>
      </c>
      <c r="F5321" s="16" t="s">
        <v>116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63</v>
      </c>
      <c r="C5322" s="9">
        <v>45992</v>
      </c>
      <c r="D5322">
        <v>25</v>
      </c>
      <c r="E5322" s="16" t="s">
        <v>115</v>
      </c>
      <c r="F5322" s="16" t="s">
        <v>116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63</v>
      </c>
      <c r="C5323" s="9">
        <v>46023</v>
      </c>
      <c r="D5323">
        <v>25</v>
      </c>
      <c r="E5323" s="16" t="s">
        <v>115</v>
      </c>
      <c r="F5323" s="16" t="s">
        <v>116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63</v>
      </c>
      <c r="C5324" s="9">
        <v>46054</v>
      </c>
      <c r="D5324">
        <v>25</v>
      </c>
      <c r="E5324" s="16" t="s">
        <v>115</v>
      </c>
      <c r="F5324" s="16" t="s">
        <v>116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63</v>
      </c>
      <c r="C5325" s="9">
        <v>46082</v>
      </c>
      <c r="D5325">
        <v>25</v>
      </c>
      <c r="E5325" s="16" t="s">
        <v>115</v>
      </c>
      <c r="F5325" s="16" t="s">
        <v>116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63</v>
      </c>
      <c r="C5326" s="9">
        <v>46113</v>
      </c>
      <c r="D5326">
        <v>25</v>
      </c>
      <c r="E5326" s="16" t="s">
        <v>115</v>
      </c>
      <c r="F5326" s="16" t="s">
        <v>116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63</v>
      </c>
      <c r="C5327" s="9">
        <v>46143</v>
      </c>
      <c r="D5327">
        <v>25</v>
      </c>
      <c r="E5327" s="16" t="s">
        <v>115</v>
      </c>
      <c r="F5327" s="16" t="s">
        <v>116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63</v>
      </c>
      <c r="C5328" s="9">
        <v>46174</v>
      </c>
      <c r="D5328">
        <v>25</v>
      </c>
      <c r="E5328" s="16" t="s">
        <v>115</v>
      </c>
      <c r="F5328" s="16" t="s">
        <v>116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63</v>
      </c>
      <c r="C5329" s="9">
        <v>46204</v>
      </c>
      <c r="D5329">
        <v>25</v>
      </c>
      <c r="E5329" s="16" t="s">
        <v>115</v>
      </c>
      <c r="F5329" s="16" t="s">
        <v>116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63</v>
      </c>
      <c r="C5330" s="9">
        <v>46235</v>
      </c>
      <c r="D5330">
        <v>25</v>
      </c>
      <c r="E5330" s="16" t="s">
        <v>115</v>
      </c>
      <c r="F5330" s="16" t="s">
        <v>116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63</v>
      </c>
      <c r="C5331" s="9">
        <v>46266</v>
      </c>
      <c r="D5331">
        <v>25</v>
      </c>
      <c r="E5331" s="16" t="s">
        <v>115</v>
      </c>
      <c r="F5331" s="16" t="s">
        <v>116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63</v>
      </c>
      <c r="C5332" s="9">
        <v>45689</v>
      </c>
      <c r="D5332">
        <v>26</v>
      </c>
      <c r="E5332" s="16" t="s">
        <v>117</v>
      </c>
      <c r="F5332" s="16" t="s">
        <v>92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63</v>
      </c>
      <c r="C5333" s="9">
        <v>45717</v>
      </c>
      <c r="D5333">
        <v>26</v>
      </c>
      <c r="E5333" s="16" t="s">
        <v>117</v>
      </c>
      <c r="F5333" s="16" t="s">
        <v>92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63</v>
      </c>
      <c r="C5334" s="9">
        <v>45748</v>
      </c>
      <c r="D5334">
        <v>26</v>
      </c>
      <c r="E5334" s="16" t="s">
        <v>117</v>
      </c>
      <c r="F5334" s="16" t="s">
        <v>92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63</v>
      </c>
      <c r="C5335" s="9">
        <v>45778</v>
      </c>
      <c r="D5335">
        <v>26</v>
      </c>
      <c r="E5335" s="16" t="s">
        <v>117</v>
      </c>
      <c r="F5335" s="16" t="s">
        <v>92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63</v>
      </c>
      <c r="C5336" s="9">
        <v>45809</v>
      </c>
      <c r="D5336">
        <v>26</v>
      </c>
      <c r="E5336" s="16" t="s">
        <v>117</v>
      </c>
      <c r="F5336" s="16" t="s">
        <v>92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63</v>
      </c>
      <c r="C5337" s="9">
        <v>45839</v>
      </c>
      <c r="D5337">
        <v>26</v>
      </c>
      <c r="E5337" s="16" t="s">
        <v>117</v>
      </c>
      <c r="F5337" s="16" t="s">
        <v>92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63</v>
      </c>
      <c r="C5338" s="9">
        <v>45870</v>
      </c>
      <c r="D5338">
        <v>26</v>
      </c>
      <c r="E5338" s="16" t="s">
        <v>117</v>
      </c>
      <c r="F5338" s="16" t="s">
        <v>92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63</v>
      </c>
      <c r="C5339" s="9">
        <v>45901</v>
      </c>
      <c r="D5339">
        <v>26</v>
      </c>
      <c r="E5339" s="16" t="s">
        <v>117</v>
      </c>
      <c r="F5339" s="16" t="s">
        <v>92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63</v>
      </c>
      <c r="C5340" s="9">
        <v>45931</v>
      </c>
      <c r="D5340">
        <v>26</v>
      </c>
      <c r="E5340" s="16" t="s">
        <v>117</v>
      </c>
      <c r="F5340" s="16" t="s">
        <v>92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63</v>
      </c>
      <c r="C5341" s="9">
        <v>45962</v>
      </c>
      <c r="D5341">
        <v>26</v>
      </c>
      <c r="E5341" s="16" t="s">
        <v>117</v>
      </c>
      <c r="F5341" s="16" t="s">
        <v>92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63</v>
      </c>
      <c r="C5342" s="9">
        <v>45992</v>
      </c>
      <c r="D5342">
        <v>26</v>
      </c>
      <c r="E5342" s="16" t="s">
        <v>117</v>
      </c>
      <c r="F5342" s="16" t="s">
        <v>92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63</v>
      </c>
      <c r="C5343" s="9">
        <v>46023</v>
      </c>
      <c r="D5343">
        <v>26</v>
      </c>
      <c r="E5343" s="16" t="s">
        <v>117</v>
      </c>
      <c r="F5343" s="16" t="s">
        <v>92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63</v>
      </c>
      <c r="C5344" s="9">
        <v>46054</v>
      </c>
      <c r="D5344">
        <v>26</v>
      </c>
      <c r="E5344" s="16" t="s">
        <v>117</v>
      </c>
      <c r="F5344" s="16" t="s">
        <v>92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63</v>
      </c>
      <c r="C5345" s="9">
        <v>46082</v>
      </c>
      <c r="D5345">
        <v>26</v>
      </c>
      <c r="E5345" s="16" t="s">
        <v>117</v>
      </c>
      <c r="F5345" s="16" t="s">
        <v>92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63</v>
      </c>
      <c r="C5346" s="9">
        <v>46113</v>
      </c>
      <c r="D5346">
        <v>26</v>
      </c>
      <c r="E5346" s="16" t="s">
        <v>117</v>
      </c>
      <c r="F5346" s="16" t="s">
        <v>92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63</v>
      </c>
      <c r="C5347" s="9">
        <v>46143</v>
      </c>
      <c r="D5347">
        <v>26</v>
      </c>
      <c r="E5347" s="16" t="s">
        <v>117</v>
      </c>
      <c r="F5347" s="16" t="s">
        <v>92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63</v>
      </c>
      <c r="C5348" s="9">
        <v>46204</v>
      </c>
      <c r="D5348">
        <v>26</v>
      </c>
      <c r="E5348" s="16" t="s">
        <v>117</v>
      </c>
      <c r="F5348" s="16" t="s">
        <v>92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63</v>
      </c>
      <c r="C5349" s="9">
        <v>46235</v>
      </c>
      <c r="D5349">
        <v>26</v>
      </c>
      <c r="E5349" s="16" t="s">
        <v>117</v>
      </c>
      <c r="F5349" s="16" t="s">
        <v>92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63</v>
      </c>
      <c r="C5350" s="9">
        <v>46266</v>
      </c>
      <c r="D5350">
        <v>26</v>
      </c>
      <c r="E5350" s="16" t="s">
        <v>117</v>
      </c>
      <c r="F5350" s="16" t="s">
        <v>92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63</v>
      </c>
      <c r="C5351" s="9">
        <v>45689</v>
      </c>
      <c r="D5351">
        <v>27</v>
      </c>
      <c r="E5351" s="16" t="s">
        <v>118</v>
      </c>
      <c r="F5351" s="16" t="s">
        <v>92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63</v>
      </c>
      <c r="C5352" s="9">
        <v>45717</v>
      </c>
      <c r="D5352">
        <v>27</v>
      </c>
      <c r="E5352" s="16" t="s">
        <v>118</v>
      </c>
      <c r="F5352" s="16" t="s">
        <v>92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63</v>
      </c>
      <c r="C5353" s="9">
        <v>45748</v>
      </c>
      <c r="D5353">
        <v>27</v>
      </c>
      <c r="E5353" s="16" t="s">
        <v>118</v>
      </c>
      <c r="F5353" s="16" t="s">
        <v>92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63</v>
      </c>
      <c r="C5354" s="9">
        <v>45778</v>
      </c>
      <c r="D5354">
        <v>27</v>
      </c>
      <c r="E5354" s="16" t="s">
        <v>118</v>
      </c>
      <c r="F5354" s="16" t="s">
        <v>92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63</v>
      </c>
      <c r="C5355" s="9">
        <v>45809</v>
      </c>
      <c r="D5355">
        <v>27</v>
      </c>
      <c r="E5355" s="16" t="s">
        <v>118</v>
      </c>
      <c r="F5355" s="16" t="s">
        <v>92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63</v>
      </c>
      <c r="C5356" s="9">
        <v>45839</v>
      </c>
      <c r="D5356">
        <v>27</v>
      </c>
      <c r="E5356" s="16" t="s">
        <v>118</v>
      </c>
      <c r="F5356" s="16" t="s">
        <v>92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63</v>
      </c>
      <c r="C5357" s="9">
        <v>45870</v>
      </c>
      <c r="D5357">
        <v>27</v>
      </c>
      <c r="E5357" s="16" t="s">
        <v>118</v>
      </c>
      <c r="F5357" s="16" t="s">
        <v>92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63</v>
      </c>
      <c r="C5358" s="9">
        <v>45901</v>
      </c>
      <c r="D5358">
        <v>27</v>
      </c>
      <c r="E5358" s="16" t="s">
        <v>118</v>
      </c>
      <c r="F5358" s="16" t="s">
        <v>92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63</v>
      </c>
      <c r="C5359" s="9">
        <v>45931</v>
      </c>
      <c r="D5359">
        <v>27</v>
      </c>
      <c r="E5359" s="16" t="s">
        <v>118</v>
      </c>
      <c r="F5359" s="16" t="s">
        <v>92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63</v>
      </c>
      <c r="C5360" s="9">
        <v>45962</v>
      </c>
      <c r="D5360">
        <v>27</v>
      </c>
      <c r="E5360" s="16" t="s">
        <v>118</v>
      </c>
      <c r="F5360" s="16" t="s">
        <v>92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63</v>
      </c>
      <c r="C5361" s="9">
        <v>45992</v>
      </c>
      <c r="D5361">
        <v>27</v>
      </c>
      <c r="E5361" s="16" t="s">
        <v>118</v>
      </c>
      <c r="F5361" s="16" t="s">
        <v>92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63</v>
      </c>
      <c r="C5362" s="9">
        <v>46023</v>
      </c>
      <c r="D5362">
        <v>27</v>
      </c>
      <c r="E5362" s="16" t="s">
        <v>118</v>
      </c>
      <c r="F5362" s="16" t="s">
        <v>92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63</v>
      </c>
      <c r="C5363" s="9">
        <v>46054</v>
      </c>
      <c r="D5363">
        <v>27</v>
      </c>
      <c r="E5363" s="16" t="s">
        <v>118</v>
      </c>
      <c r="F5363" s="16" t="s">
        <v>92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63</v>
      </c>
      <c r="C5364" s="9">
        <v>46082</v>
      </c>
      <c r="D5364">
        <v>27</v>
      </c>
      <c r="E5364" s="16" t="s">
        <v>118</v>
      </c>
      <c r="F5364" s="16" t="s">
        <v>92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63</v>
      </c>
      <c r="C5365" s="9">
        <v>46113</v>
      </c>
      <c r="D5365">
        <v>27</v>
      </c>
      <c r="E5365" s="16" t="s">
        <v>118</v>
      </c>
      <c r="F5365" s="16" t="s">
        <v>92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63</v>
      </c>
      <c r="C5366" s="9">
        <v>46143</v>
      </c>
      <c r="D5366">
        <v>27</v>
      </c>
      <c r="E5366" s="16" t="s">
        <v>118</v>
      </c>
      <c r="F5366" s="16" t="s">
        <v>92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63</v>
      </c>
      <c r="C5367" s="9">
        <v>46174</v>
      </c>
      <c r="D5367">
        <v>27</v>
      </c>
      <c r="E5367" s="16" t="s">
        <v>118</v>
      </c>
      <c r="F5367" s="16" t="s">
        <v>92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63</v>
      </c>
      <c r="C5368" s="9">
        <v>46204</v>
      </c>
      <c r="D5368">
        <v>27</v>
      </c>
      <c r="E5368" s="16" t="s">
        <v>118</v>
      </c>
      <c r="F5368" s="16" t="s">
        <v>92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63</v>
      </c>
      <c r="C5369" s="9">
        <v>46235</v>
      </c>
      <c r="D5369">
        <v>27</v>
      </c>
      <c r="E5369" s="16" t="s">
        <v>118</v>
      </c>
      <c r="F5369" s="16" t="s">
        <v>92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63</v>
      </c>
      <c r="C5370" s="9">
        <v>46266</v>
      </c>
      <c r="D5370">
        <v>27</v>
      </c>
      <c r="E5370" s="16" t="s">
        <v>118</v>
      </c>
      <c r="F5370" s="16" t="s">
        <v>92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63</v>
      </c>
      <c r="C5371" s="9">
        <v>45689</v>
      </c>
      <c r="D5371">
        <v>28</v>
      </c>
      <c r="E5371" s="16" t="s">
        <v>119</v>
      </c>
      <c r="F5371" s="16" t="s">
        <v>94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63</v>
      </c>
      <c r="C5372" s="9">
        <v>45717</v>
      </c>
      <c r="D5372">
        <v>28</v>
      </c>
      <c r="E5372" s="16" t="s">
        <v>119</v>
      </c>
      <c r="F5372" s="16" t="s">
        <v>94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63</v>
      </c>
      <c r="C5373" s="9">
        <v>45748</v>
      </c>
      <c r="D5373">
        <v>28</v>
      </c>
      <c r="E5373" s="16" t="s">
        <v>119</v>
      </c>
      <c r="F5373" s="16" t="s">
        <v>94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63</v>
      </c>
      <c r="C5374" s="9">
        <v>45778</v>
      </c>
      <c r="D5374">
        <v>28</v>
      </c>
      <c r="E5374" s="16" t="s">
        <v>119</v>
      </c>
      <c r="F5374" s="16" t="s">
        <v>94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63</v>
      </c>
      <c r="C5375" s="9">
        <v>45809</v>
      </c>
      <c r="D5375">
        <v>28</v>
      </c>
      <c r="E5375" s="16" t="s">
        <v>119</v>
      </c>
      <c r="F5375" s="16" t="s">
        <v>94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63</v>
      </c>
      <c r="C5376" s="9">
        <v>45839</v>
      </c>
      <c r="D5376">
        <v>28</v>
      </c>
      <c r="E5376" s="16" t="s">
        <v>119</v>
      </c>
      <c r="F5376" s="16" t="s">
        <v>94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63</v>
      </c>
      <c r="C5377" s="9">
        <v>45870</v>
      </c>
      <c r="D5377">
        <v>28</v>
      </c>
      <c r="E5377" s="16" t="s">
        <v>119</v>
      </c>
      <c r="F5377" s="16" t="s">
        <v>94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63</v>
      </c>
      <c r="C5378" s="9">
        <v>45901</v>
      </c>
      <c r="D5378">
        <v>28</v>
      </c>
      <c r="E5378" s="16" t="s">
        <v>119</v>
      </c>
      <c r="F5378" s="16" t="s">
        <v>94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63</v>
      </c>
      <c r="C5379" s="9">
        <v>45931</v>
      </c>
      <c r="D5379">
        <v>28</v>
      </c>
      <c r="E5379" s="16" t="s">
        <v>119</v>
      </c>
      <c r="F5379" s="16" t="s">
        <v>94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63</v>
      </c>
      <c r="C5380" s="9">
        <v>45962</v>
      </c>
      <c r="D5380">
        <v>28</v>
      </c>
      <c r="E5380" s="16" t="s">
        <v>119</v>
      </c>
      <c r="F5380" s="16" t="s">
        <v>94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63</v>
      </c>
      <c r="C5381" s="9">
        <v>45992</v>
      </c>
      <c r="D5381">
        <v>28</v>
      </c>
      <c r="E5381" s="16" t="s">
        <v>119</v>
      </c>
      <c r="F5381" s="16" t="s">
        <v>94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63</v>
      </c>
      <c r="C5382" s="9">
        <v>46023</v>
      </c>
      <c r="D5382">
        <v>28</v>
      </c>
      <c r="E5382" s="16" t="s">
        <v>119</v>
      </c>
      <c r="F5382" s="16" t="s">
        <v>94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63</v>
      </c>
      <c r="C5383" s="9">
        <v>46054</v>
      </c>
      <c r="D5383">
        <v>28</v>
      </c>
      <c r="E5383" s="16" t="s">
        <v>119</v>
      </c>
      <c r="F5383" s="16" t="s">
        <v>94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63</v>
      </c>
      <c r="C5384" s="9">
        <v>46082</v>
      </c>
      <c r="D5384">
        <v>28</v>
      </c>
      <c r="E5384" s="16" t="s">
        <v>119</v>
      </c>
      <c r="F5384" s="16" t="s">
        <v>94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63</v>
      </c>
      <c r="C5385" s="9">
        <v>46113</v>
      </c>
      <c r="D5385">
        <v>28</v>
      </c>
      <c r="E5385" s="16" t="s">
        <v>119</v>
      </c>
      <c r="F5385" s="16" t="s">
        <v>94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63</v>
      </c>
      <c r="C5386" s="9">
        <v>46143</v>
      </c>
      <c r="D5386">
        <v>28</v>
      </c>
      <c r="E5386" s="16" t="s">
        <v>119</v>
      </c>
      <c r="F5386" s="16" t="s">
        <v>94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63</v>
      </c>
      <c r="C5387" s="9">
        <v>46174</v>
      </c>
      <c r="D5387">
        <v>28</v>
      </c>
      <c r="E5387" s="16" t="s">
        <v>119</v>
      </c>
      <c r="F5387" s="16" t="s">
        <v>94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63</v>
      </c>
      <c r="C5388" s="9">
        <v>46204</v>
      </c>
      <c r="D5388">
        <v>28</v>
      </c>
      <c r="E5388" s="16" t="s">
        <v>119</v>
      </c>
      <c r="F5388" s="16" t="s">
        <v>94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63</v>
      </c>
      <c r="C5389" s="9">
        <v>46235</v>
      </c>
      <c r="D5389">
        <v>28</v>
      </c>
      <c r="E5389" s="16" t="s">
        <v>119</v>
      </c>
      <c r="F5389" s="16" t="s">
        <v>94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63</v>
      </c>
      <c r="C5390" s="9">
        <v>46266</v>
      </c>
      <c r="D5390">
        <v>28</v>
      </c>
      <c r="E5390" s="16" t="s">
        <v>119</v>
      </c>
      <c r="F5390" s="16" t="s">
        <v>94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63</v>
      </c>
      <c r="C5391" s="9">
        <v>45689</v>
      </c>
      <c r="D5391">
        <v>29</v>
      </c>
      <c r="E5391" s="16" t="s">
        <v>120</v>
      </c>
      <c r="F5391" s="16" t="s">
        <v>89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63</v>
      </c>
      <c r="C5392" s="9">
        <v>45717</v>
      </c>
      <c r="D5392">
        <v>29</v>
      </c>
      <c r="E5392" s="16" t="s">
        <v>120</v>
      </c>
      <c r="F5392" s="16" t="s">
        <v>89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63</v>
      </c>
      <c r="C5393" s="9">
        <v>45748</v>
      </c>
      <c r="D5393">
        <v>29</v>
      </c>
      <c r="E5393" s="16" t="s">
        <v>120</v>
      </c>
      <c r="F5393" s="16" t="s">
        <v>89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63</v>
      </c>
      <c r="C5394" s="9">
        <v>45778</v>
      </c>
      <c r="D5394">
        <v>29</v>
      </c>
      <c r="E5394" s="16" t="s">
        <v>120</v>
      </c>
      <c r="F5394" s="16" t="s">
        <v>89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63</v>
      </c>
      <c r="C5395" s="9">
        <v>45809</v>
      </c>
      <c r="D5395">
        <v>29</v>
      </c>
      <c r="E5395" s="16" t="s">
        <v>120</v>
      </c>
      <c r="F5395" s="16" t="s">
        <v>89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63</v>
      </c>
      <c r="C5396" s="9">
        <v>45839</v>
      </c>
      <c r="D5396">
        <v>29</v>
      </c>
      <c r="E5396" s="16" t="s">
        <v>120</v>
      </c>
      <c r="F5396" s="16" t="s">
        <v>89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63</v>
      </c>
      <c r="C5397" s="9">
        <v>45870</v>
      </c>
      <c r="D5397">
        <v>29</v>
      </c>
      <c r="E5397" s="16" t="s">
        <v>120</v>
      </c>
      <c r="F5397" s="16" t="s">
        <v>89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63</v>
      </c>
      <c r="C5398" s="9">
        <v>45901</v>
      </c>
      <c r="D5398">
        <v>29</v>
      </c>
      <c r="E5398" s="16" t="s">
        <v>120</v>
      </c>
      <c r="F5398" s="16" t="s">
        <v>89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63</v>
      </c>
      <c r="C5399" s="9">
        <v>45931</v>
      </c>
      <c r="D5399">
        <v>29</v>
      </c>
      <c r="E5399" s="16" t="s">
        <v>120</v>
      </c>
      <c r="F5399" s="16" t="s">
        <v>89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63</v>
      </c>
      <c r="C5400" s="9">
        <v>45962</v>
      </c>
      <c r="D5400">
        <v>29</v>
      </c>
      <c r="E5400" s="16" t="s">
        <v>120</v>
      </c>
      <c r="F5400" s="16" t="s">
        <v>89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63</v>
      </c>
      <c r="C5401" s="9">
        <v>45992</v>
      </c>
      <c r="D5401">
        <v>29</v>
      </c>
      <c r="E5401" s="16" t="s">
        <v>120</v>
      </c>
      <c r="F5401" s="16" t="s">
        <v>89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63</v>
      </c>
      <c r="C5402" s="9">
        <v>46023</v>
      </c>
      <c r="D5402">
        <v>29</v>
      </c>
      <c r="E5402" s="16" t="s">
        <v>120</v>
      </c>
      <c r="F5402" s="16" t="s">
        <v>89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63</v>
      </c>
      <c r="C5403" s="9">
        <v>46054</v>
      </c>
      <c r="D5403">
        <v>29</v>
      </c>
      <c r="E5403" s="16" t="s">
        <v>120</v>
      </c>
      <c r="F5403" s="16" t="s">
        <v>89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63</v>
      </c>
      <c r="C5404" s="9">
        <v>46082</v>
      </c>
      <c r="D5404">
        <v>29</v>
      </c>
      <c r="E5404" s="16" t="s">
        <v>120</v>
      </c>
      <c r="F5404" s="16" t="s">
        <v>89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63</v>
      </c>
      <c r="C5405" s="9">
        <v>46113</v>
      </c>
      <c r="D5405">
        <v>29</v>
      </c>
      <c r="E5405" s="16" t="s">
        <v>120</v>
      </c>
      <c r="F5405" s="16" t="s">
        <v>89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63</v>
      </c>
      <c r="C5406" s="9">
        <v>46143</v>
      </c>
      <c r="D5406">
        <v>29</v>
      </c>
      <c r="E5406" s="16" t="s">
        <v>120</v>
      </c>
      <c r="F5406" s="16" t="s">
        <v>89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63</v>
      </c>
      <c r="C5407" s="9">
        <v>46174</v>
      </c>
      <c r="D5407">
        <v>29</v>
      </c>
      <c r="E5407" s="16" t="s">
        <v>120</v>
      </c>
      <c r="F5407" s="16" t="s">
        <v>89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63</v>
      </c>
      <c r="C5408" s="9">
        <v>46204</v>
      </c>
      <c r="D5408">
        <v>29</v>
      </c>
      <c r="E5408" s="16" t="s">
        <v>120</v>
      </c>
      <c r="F5408" s="16" t="s">
        <v>89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63</v>
      </c>
      <c r="C5409" s="9">
        <v>46235</v>
      </c>
      <c r="D5409">
        <v>29</v>
      </c>
      <c r="E5409" s="16" t="s">
        <v>120</v>
      </c>
      <c r="F5409" s="16" t="s">
        <v>89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63</v>
      </c>
      <c r="C5410" s="9">
        <v>46266</v>
      </c>
      <c r="D5410">
        <v>29</v>
      </c>
      <c r="E5410" s="16" t="s">
        <v>120</v>
      </c>
      <c r="F5410" s="16" t="s">
        <v>89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63</v>
      </c>
      <c r="C5411" s="9">
        <v>45689</v>
      </c>
      <c r="D5411">
        <v>30</v>
      </c>
      <c r="E5411" s="16" t="s">
        <v>121</v>
      </c>
      <c r="F5411" s="16" t="s">
        <v>94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63</v>
      </c>
      <c r="C5412" s="9">
        <v>45717</v>
      </c>
      <c r="D5412">
        <v>30</v>
      </c>
      <c r="E5412" s="16" t="s">
        <v>121</v>
      </c>
      <c r="F5412" s="16" t="s">
        <v>94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63</v>
      </c>
      <c r="C5413" s="9">
        <v>45748</v>
      </c>
      <c r="D5413">
        <v>30</v>
      </c>
      <c r="E5413" s="16" t="s">
        <v>121</v>
      </c>
      <c r="F5413" s="16" t="s">
        <v>94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63</v>
      </c>
      <c r="C5414" s="9">
        <v>45778</v>
      </c>
      <c r="D5414">
        <v>30</v>
      </c>
      <c r="E5414" s="16" t="s">
        <v>121</v>
      </c>
      <c r="F5414" s="16" t="s">
        <v>94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63</v>
      </c>
      <c r="C5415" s="9">
        <v>45809</v>
      </c>
      <c r="D5415">
        <v>30</v>
      </c>
      <c r="E5415" s="16" t="s">
        <v>121</v>
      </c>
      <c r="F5415" s="16" t="s">
        <v>94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63</v>
      </c>
      <c r="C5416" s="9">
        <v>45839</v>
      </c>
      <c r="D5416">
        <v>30</v>
      </c>
      <c r="E5416" s="16" t="s">
        <v>121</v>
      </c>
      <c r="F5416" s="16" t="s">
        <v>94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63</v>
      </c>
      <c r="C5417" s="9">
        <v>45870</v>
      </c>
      <c r="D5417">
        <v>30</v>
      </c>
      <c r="E5417" s="16" t="s">
        <v>121</v>
      </c>
      <c r="F5417" s="16" t="s">
        <v>94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63</v>
      </c>
      <c r="C5418" s="9">
        <v>45901</v>
      </c>
      <c r="D5418">
        <v>30</v>
      </c>
      <c r="E5418" s="16" t="s">
        <v>121</v>
      </c>
      <c r="F5418" s="16" t="s">
        <v>94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63</v>
      </c>
      <c r="C5419" s="9">
        <v>45931</v>
      </c>
      <c r="D5419">
        <v>30</v>
      </c>
      <c r="E5419" s="16" t="s">
        <v>121</v>
      </c>
      <c r="F5419" s="16" t="s">
        <v>94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63</v>
      </c>
      <c r="C5420" s="9">
        <v>45962</v>
      </c>
      <c r="D5420">
        <v>30</v>
      </c>
      <c r="E5420" s="16" t="s">
        <v>121</v>
      </c>
      <c r="F5420" s="16" t="s">
        <v>94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63</v>
      </c>
      <c r="C5421" s="9">
        <v>45992</v>
      </c>
      <c r="D5421">
        <v>30</v>
      </c>
      <c r="E5421" s="16" t="s">
        <v>121</v>
      </c>
      <c r="F5421" s="16" t="s">
        <v>94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63</v>
      </c>
      <c r="C5422" s="9">
        <v>46023</v>
      </c>
      <c r="D5422">
        <v>30</v>
      </c>
      <c r="E5422" s="16" t="s">
        <v>121</v>
      </c>
      <c r="F5422" s="16" t="s">
        <v>94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63</v>
      </c>
      <c r="C5423" s="9">
        <v>46054</v>
      </c>
      <c r="D5423">
        <v>30</v>
      </c>
      <c r="E5423" s="16" t="s">
        <v>121</v>
      </c>
      <c r="F5423" s="16" t="s">
        <v>94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63</v>
      </c>
      <c r="C5424" s="9">
        <v>46082</v>
      </c>
      <c r="D5424">
        <v>30</v>
      </c>
      <c r="E5424" s="16" t="s">
        <v>121</v>
      </c>
      <c r="F5424" s="16" t="s">
        <v>94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63</v>
      </c>
      <c r="C5425" s="9">
        <v>46113</v>
      </c>
      <c r="D5425">
        <v>30</v>
      </c>
      <c r="E5425" s="16" t="s">
        <v>121</v>
      </c>
      <c r="F5425" s="16" t="s">
        <v>94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63</v>
      </c>
      <c r="C5426" s="9">
        <v>46143</v>
      </c>
      <c r="D5426">
        <v>30</v>
      </c>
      <c r="E5426" s="16" t="s">
        <v>121</v>
      </c>
      <c r="F5426" s="16" t="s">
        <v>94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63</v>
      </c>
      <c r="C5427" s="9">
        <v>46174</v>
      </c>
      <c r="D5427">
        <v>30</v>
      </c>
      <c r="E5427" s="16" t="s">
        <v>121</v>
      </c>
      <c r="F5427" s="16" t="s">
        <v>94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63</v>
      </c>
      <c r="C5428" s="9">
        <v>46204</v>
      </c>
      <c r="D5428">
        <v>30</v>
      </c>
      <c r="E5428" s="16" t="s">
        <v>121</v>
      </c>
      <c r="F5428" s="16" t="s">
        <v>94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63</v>
      </c>
      <c r="C5429" s="9">
        <v>46235</v>
      </c>
      <c r="D5429">
        <v>30</v>
      </c>
      <c r="E5429" s="16" t="s">
        <v>121</v>
      </c>
      <c r="F5429" s="16" t="s">
        <v>94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63</v>
      </c>
      <c r="C5430" s="9">
        <v>46266</v>
      </c>
      <c r="D5430">
        <v>30</v>
      </c>
      <c r="E5430" s="16" t="s">
        <v>121</v>
      </c>
      <c r="F5430" s="16" t="s">
        <v>94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63</v>
      </c>
      <c r="C5431" s="9">
        <v>45689</v>
      </c>
      <c r="D5431">
        <v>31</v>
      </c>
      <c r="E5431" s="16" t="s">
        <v>122</v>
      </c>
      <c r="F5431" s="16" t="s">
        <v>94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63</v>
      </c>
      <c r="C5432" s="9">
        <v>45717</v>
      </c>
      <c r="D5432">
        <v>31</v>
      </c>
      <c r="E5432" s="16" t="s">
        <v>122</v>
      </c>
      <c r="F5432" s="16" t="s">
        <v>94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63</v>
      </c>
      <c r="C5433" s="9">
        <v>45748</v>
      </c>
      <c r="D5433">
        <v>31</v>
      </c>
      <c r="E5433" s="16" t="s">
        <v>122</v>
      </c>
      <c r="F5433" s="16" t="s">
        <v>94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63</v>
      </c>
      <c r="C5434" s="9">
        <v>45778</v>
      </c>
      <c r="D5434">
        <v>31</v>
      </c>
      <c r="E5434" s="16" t="s">
        <v>122</v>
      </c>
      <c r="F5434" s="16" t="s">
        <v>94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63</v>
      </c>
      <c r="C5435" s="9">
        <v>45809</v>
      </c>
      <c r="D5435">
        <v>31</v>
      </c>
      <c r="E5435" s="16" t="s">
        <v>122</v>
      </c>
      <c r="F5435" s="16" t="s">
        <v>94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63</v>
      </c>
      <c r="C5436" s="9">
        <v>45839</v>
      </c>
      <c r="D5436">
        <v>31</v>
      </c>
      <c r="E5436" s="16" t="s">
        <v>122</v>
      </c>
      <c r="F5436" s="16" t="s">
        <v>94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63</v>
      </c>
      <c r="C5437" s="9">
        <v>45870</v>
      </c>
      <c r="D5437">
        <v>31</v>
      </c>
      <c r="E5437" s="16" t="s">
        <v>122</v>
      </c>
      <c r="F5437" s="16" t="s">
        <v>94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63</v>
      </c>
      <c r="C5438" s="9">
        <v>45901</v>
      </c>
      <c r="D5438">
        <v>31</v>
      </c>
      <c r="E5438" s="16" t="s">
        <v>122</v>
      </c>
      <c r="F5438" s="16" t="s">
        <v>94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63</v>
      </c>
      <c r="C5439" s="9">
        <v>45931</v>
      </c>
      <c r="D5439">
        <v>31</v>
      </c>
      <c r="E5439" s="16" t="s">
        <v>122</v>
      </c>
      <c r="F5439" s="16" t="s">
        <v>94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63</v>
      </c>
      <c r="C5440" s="9">
        <v>45962</v>
      </c>
      <c r="D5440">
        <v>31</v>
      </c>
      <c r="E5440" s="16" t="s">
        <v>122</v>
      </c>
      <c r="F5440" s="16" t="s">
        <v>94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63</v>
      </c>
      <c r="C5441" s="9">
        <v>45992</v>
      </c>
      <c r="D5441">
        <v>31</v>
      </c>
      <c r="E5441" s="16" t="s">
        <v>122</v>
      </c>
      <c r="F5441" s="16" t="s">
        <v>94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63</v>
      </c>
      <c r="C5442" s="9">
        <v>46023</v>
      </c>
      <c r="D5442">
        <v>31</v>
      </c>
      <c r="E5442" s="16" t="s">
        <v>122</v>
      </c>
      <c r="F5442" s="16" t="s">
        <v>94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63</v>
      </c>
      <c r="C5443" s="9">
        <v>46054</v>
      </c>
      <c r="D5443">
        <v>31</v>
      </c>
      <c r="E5443" s="16" t="s">
        <v>122</v>
      </c>
      <c r="F5443" s="16" t="s">
        <v>94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63</v>
      </c>
      <c r="C5444" s="9">
        <v>46082</v>
      </c>
      <c r="D5444">
        <v>31</v>
      </c>
      <c r="E5444" s="16" t="s">
        <v>122</v>
      </c>
      <c r="F5444" s="16" t="s">
        <v>94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63</v>
      </c>
      <c r="C5445" s="9">
        <v>46113</v>
      </c>
      <c r="D5445">
        <v>31</v>
      </c>
      <c r="E5445" s="16" t="s">
        <v>122</v>
      </c>
      <c r="F5445" s="16" t="s">
        <v>94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63</v>
      </c>
      <c r="C5446" s="9">
        <v>46143</v>
      </c>
      <c r="D5446">
        <v>31</v>
      </c>
      <c r="E5446" s="16" t="s">
        <v>122</v>
      </c>
      <c r="F5446" s="16" t="s">
        <v>94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63</v>
      </c>
      <c r="C5447" s="9">
        <v>46174</v>
      </c>
      <c r="D5447">
        <v>31</v>
      </c>
      <c r="E5447" s="16" t="s">
        <v>122</v>
      </c>
      <c r="F5447" s="16" t="s">
        <v>94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63</v>
      </c>
      <c r="C5448" s="9">
        <v>46204</v>
      </c>
      <c r="D5448">
        <v>31</v>
      </c>
      <c r="E5448" s="16" t="s">
        <v>122</v>
      </c>
      <c r="F5448" s="16" t="s">
        <v>94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63</v>
      </c>
      <c r="C5449" s="9">
        <v>46235</v>
      </c>
      <c r="D5449">
        <v>31</v>
      </c>
      <c r="E5449" s="16" t="s">
        <v>122</v>
      </c>
      <c r="F5449" s="16" t="s">
        <v>94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63</v>
      </c>
      <c r="C5450" s="9">
        <v>46266</v>
      </c>
      <c r="D5450">
        <v>31</v>
      </c>
      <c r="E5450" s="16" t="s">
        <v>122</v>
      </c>
      <c r="F5450" s="16" t="s">
        <v>94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63</v>
      </c>
      <c r="C5451" s="9">
        <v>45689</v>
      </c>
      <c r="D5451">
        <v>32</v>
      </c>
      <c r="E5451" s="16" t="s">
        <v>123</v>
      </c>
      <c r="F5451" s="16" t="s">
        <v>94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63</v>
      </c>
      <c r="C5452" s="9">
        <v>45717</v>
      </c>
      <c r="D5452">
        <v>32</v>
      </c>
      <c r="E5452" s="16" t="s">
        <v>123</v>
      </c>
      <c r="F5452" s="16" t="s">
        <v>94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63</v>
      </c>
      <c r="C5453" s="9">
        <v>45748</v>
      </c>
      <c r="D5453">
        <v>32</v>
      </c>
      <c r="E5453" s="16" t="s">
        <v>123</v>
      </c>
      <c r="F5453" s="16" t="s">
        <v>94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63</v>
      </c>
      <c r="C5454" s="9">
        <v>45778</v>
      </c>
      <c r="D5454">
        <v>32</v>
      </c>
      <c r="E5454" s="16" t="s">
        <v>123</v>
      </c>
      <c r="F5454" s="16" t="s">
        <v>94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63</v>
      </c>
      <c r="C5455" s="9">
        <v>45809</v>
      </c>
      <c r="D5455">
        <v>32</v>
      </c>
      <c r="E5455" s="16" t="s">
        <v>123</v>
      </c>
      <c r="F5455" s="16" t="s">
        <v>94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63</v>
      </c>
      <c r="C5456" s="9">
        <v>45839</v>
      </c>
      <c r="D5456">
        <v>32</v>
      </c>
      <c r="E5456" s="16" t="s">
        <v>123</v>
      </c>
      <c r="F5456" s="16" t="s">
        <v>94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63</v>
      </c>
      <c r="C5457" s="9">
        <v>45870</v>
      </c>
      <c r="D5457">
        <v>32</v>
      </c>
      <c r="E5457" s="16" t="s">
        <v>123</v>
      </c>
      <c r="F5457" s="16" t="s">
        <v>94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63</v>
      </c>
      <c r="C5458" s="9">
        <v>45901</v>
      </c>
      <c r="D5458">
        <v>32</v>
      </c>
      <c r="E5458" s="16" t="s">
        <v>123</v>
      </c>
      <c r="F5458" s="16" t="s">
        <v>94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63</v>
      </c>
      <c r="C5459" s="9">
        <v>45931</v>
      </c>
      <c r="D5459">
        <v>32</v>
      </c>
      <c r="E5459" s="16" t="s">
        <v>123</v>
      </c>
      <c r="F5459" s="16" t="s">
        <v>94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63</v>
      </c>
      <c r="C5460" s="9">
        <v>45962</v>
      </c>
      <c r="D5460">
        <v>32</v>
      </c>
      <c r="E5460" s="16" t="s">
        <v>123</v>
      </c>
      <c r="F5460" s="16" t="s">
        <v>94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63</v>
      </c>
      <c r="C5461" s="9">
        <v>45992</v>
      </c>
      <c r="D5461">
        <v>32</v>
      </c>
      <c r="E5461" s="16" t="s">
        <v>123</v>
      </c>
      <c r="F5461" s="16" t="s">
        <v>94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63</v>
      </c>
      <c r="C5462" s="9">
        <v>46023</v>
      </c>
      <c r="D5462">
        <v>32</v>
      </c>
      <c r="E5462" s="16" t="s">
        <v>123</v>
      </c>
      <c r="F5462" s="16" t="s">
        <v>94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63</v>
      </c>
      <c r="C5463" s="9">
        <v>46054</v>
      </c>
      <c r="D5463">
        <v>32</v>
      </c>
      <c r="E5463" s="16" t="s">
        <v>123</v>
      </c>
      <c r="F5463" s="16" t="s">
        <v>94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63</v>
      </c>
      <c r="C5464" s="9">
        <v>46082</v>
      </c>
      <c r="D5464">
        <v>32</v>
      </c>
      <c r="E5464" s="16" t="s">
        <v>123</v>
      </c>
      <c r="F5464" s="16" t="s">
        <v>94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63</v>
      </c>
      <c r="C5465" s="9">
        <v>46113</v>
      </c>
      <c r="D5465">
        <v>32</v>
      </c>
      <c r="E5465" s="16" t="s">
        <v>123</v>
      </c>
      <c r="F5465" s="16" t="s">
        <v>94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63</v>
      </c>
      <c r="C5466" s="9">
        <v>46143</v>
      </c>
      <c r="D5466">
        <v>32</v>
      </c>
      <c r="E5466" s="16" t="s">
        <v>123</v>
      </c>
      <c r="F5466" s="16" t="s">
        <v>94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63</v>
      </c>
      <c r="C5467" s="9">
        <v>46174</v>
      </c>
      <c r="D5467">
        <v>32</v>
      </c>
      <c r="E5467" s="16" t="s">
        <v>123</v>
      </c>
      <c r="F5467" s="16" t="s">
        <v>94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63</v>
      </c>
      <c r="C5468" s="9">
        <v>46204</v>
      </c>
      <c r="D5468">
        <v>32</v>
      </c>
      <c r="E5468" s="16" t="s">
        <v>123</v>
      </c>
      <c r="F5468" s="16" t="s">
        <v>94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63</v>
      </c>
      <c r="C5469" s="9">
        <v>46235</v>
      </c>
      <c r="D5469">
        <v>32</v>
      </c>
      <c r="E5469" s="16" t="s">
        <v>123</v>
      </c>
      <c r="F5469" s="16" t="s">
        <v>94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63</v>
      </c>
      <c r="C5470" s="9">
        <v>46266</v>
      </c>
      <c r="D5470">
        <v>32</v>
      </c>
      <c r="E5470" s="16" t="s">
        <v>123</v>
      </c>
      <c r="F5470" s="16" t="s">
        <v>94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63</v>
      </c>
      <c r="C5471" s="9">
        <v>45689</v>
      </c>
      <c r="D5471">
        <v>33</v>
      </c>
      <c r="E5471" s="16" t="s">
        <v>124</v>
      </c>
      <c r="F5471" s="16" t="s">
        <v>94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63</v>
      </c>
      <c r="C5472" s="9">
        <v>45717</v>
      </c>
      <c r="D5472">
        <v>33</v>
      </c>
      <c r="E5472" s="16" t="s">
        <v>124</v>
      </c>
      <c r="F5472" s="16" t="s">
        <v>94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63</v>
      </c>
      <c r="C5473" s="9">
        <v>45748</v>
      </c>
      <c r="D5473">
        <v>33</v>
      </c>
      <c r="E5473" s="16" t="s">
        <v>124</v>
      </c>
      <c r="F5473" s="16" t="s">
        <v>94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63</v>
      </c>
      <c r="C5474" s="9">
        <v>45778</v>
      </c>
      <c r="D5474">
        <v>33</v>
      </c>
      <c r="E5474" s="16" t="s">
        <v>124</v>
      </c>
      <c r="F5474" s="16" t="s">
        <v>94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63</v>
      </c>
      <c r="C5475" s="9">
        <v>45809</v>
      </c>
      <c r="D5475">
        <v>33</v>
      </c>
      <c r="E5475" s="16" t="s">
        <v>124</v>
      </c>
      <c r="F5475" s="16" t="s">
        <v>94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63</v>
      </c>
      <c r="C5476" s="9">
        <v>45839</v>
      </c>
      <c r="D5476">
        <v>33</v>
      </c>
      <c r="E5476" s="16" t="s">
        <v>124</v>
      </c>
      <c r="F5476" s="16" t="s">
        <v>94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63</v>
      </c>
      <c r="C5477" s="9">
        <v>45870</v>
      </c>
      <c r="D5477">
        <v>33</v>
      </c>
      <c r="E5477" s="16" t="s">
        <v>124</v>
      </c>
      <c r="F5477" s="16" t="s">
        <v>94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63</v>
      </c>
      <c r="C5478" s="9">
        <v>45901</v>
      </c>
      <c r="D5478">
        <v>33</v>
      </c>
      <c r="E5478" s="16" t="s">
        <v>124</v>
      </c>
      <c r="F5478" s="16" t="s">
        <v>94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63</v>
      </c>
      <c r="C5479" s="9">
        <v>45931</v>
      </c>
      <c r="D5479">
        <v>33</v>
      </c>
      <c r="E5479" s="16" t="s">
        <v>124</v>
      </c>
      <c r="F5479" s="16" t="s">
        <v>94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63</v>
      </c>
      <c r="C5480" s="9">
        <v>45962</v>
      </c>
      <c r="D5480">
        <v>33</v>
      </c>
      <c r="E5480" s="16" t="s">
        <v>124</v>
      </c>
      <c r="F5480" s="16" t="s">
        <v>94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63</v>
      </c>
      <c r="C5481" s="9">
        <v>45992</v>
      </c>
      <c r="D5481">
        <v>33</v>
      </c>
      <c r="E5481" s="16" t="s">
        <v>124</v>
      </c>
      <c r="F5481" s="16" t="s">
        <v>94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63</v>
      </c>
      <c r="C5482" s="9">
        <v>46023</v>
      </c>
      <c r="D5482">
        <v>33</v>
      </c>
      <c r="E5482" s="16" t="s">
        <v>124</v>
      </c>
      <c r="F5482" s="16" t="s">
        <v>94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63</v>
      </c>
      <c r="C5483" s="9">
        <v>46054</v>
      </c>
      <c r="D5483">
        <v>33</v>
      </c>
      <c r="E5483" s="16" t="s">
        <v>124</v>
      </c>
      <c r="F5483" s="16" t="s">
        <v>94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63</v>
      </c>
      <c r="C5484" s="9">
        <v>46082</v>
      </c>
      <c r="D5484">
        <v>33</v>
      </c>
      <c r="E5484" s="16" t="s">
        <v>124</v>
      </c>
      <c r="F5484" s="16" t="s">
        <v>94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63</v>
      </c>
      <c r="C5485" s="9">
        <v>46113</v>
      </c>
      <c r="D5485">
        <v>33</v>
      </c>
      <c r="E5485" s="16" t="s">
        <v>124</v>
      </c>
      <c r="F5485" s="16" t="s">
        <v>94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63</v>
      </c>
      <c r="C5486" s="9">
        <v>46143</v>
      </c>
      <c r="D5486">
        <v>33</v>
      </c>
      <c r="E5486" s="16" t="s">
        <v>124</v>
      </c>
      <c r="F5486" s="16" t="s">
        <v>94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63</v>
      </c>
      <c r="C5487" s="9">
        <v>46174</v>
      </c>
      <c r="D5487">
        <v>33</v>
      </c>
      <c r="E5487" s="16" t="s">
        <v>124</v>
      </c>
      <c r="F5487" s="16" t="s">
        <v>94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63</v>
      </c>
      <c r="C5488" s="9">
        <v>46204</v>
      </c>
      <c r="D5488">
        <v>33</v>
      </c>
      <c r="E5488" s="16" t="s">
        <v>124</v>
      </c>
      <c r="F5488" s="16" t="s">
        <v>94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63</v>
      </c>
      <c r="C5489" s="9">
        <v>46235</v>
      </c>
      <c r="D5489">
        <v>33</v>
      </c>
      <c r="E5489" s="16" t="s">
        <v>124</v>
      </c>
      <c r="F5489" s="16" t="s">
        <v>94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63</v>
      </c>
      <c r="C5490" s="9">
        <v>46266</v>
      </c>
      <c r="D5490">
        <v>33</v>
      </c>
      <c r="E5490" s="16" t="s">
        <v>124</v>
      </c>
      <c r="F5490" s="16" t="s">
        <v>94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63</v>
      </c>
      <c r="C5491" s="9">
        <v>45689</v>
      </c>
      <c r="D5491">
        <v>34</v>
      </c>
      <c r="E5491" s="16" t="s">
        <v>125</v>
      </c>
      <c r="F5491" s="16" t="s">
        <v>116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63</v>
      </c>
      <c r="C5492" s="9">
        <v>45717</v>
      </c>
      <c r="D5492">
        <v>34</v>
      </c>
      <c r="E5492" s="16" t="s">
        <v>125</v>
      </c>
      <c r="F5492" s="16" t="s">
        <v>116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63</v>
      </c>
      <c r="C5493" s="9">
        <v>45748</v>
      </c>
      <c r="D5493">
        <v>34</v>
      </c>
      <c r="E5493" s="16" t="s">
        <v>125</v>
      </c>
      <c r="F5493" s="16" t="s">
        <v>116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63</v>
      </c>
      <c r="C5494" s="9">
        <v>45778</v>
      </c>
      <c r="D5494">
        <v>34</v>
      </c>
      <c r="E5494" s="16" t="s">
        <v>125</v>
      </c>
      <c r="F5494" s="16" t="s">
        <v>116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63</v>
      </c>
      <c r="C5495" s="9">
        <v>45809</v>
      </c>
      <c r="D5495">
        <v>34</v>
      </c>
      <c r="E5495" s="16" t="s">
        <v>125</v>
      </c>
      <c r="F5495" s="16" t="s">
        <v>116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63</v>
      </c>
      <c r="C5496" s="9">
        <v>45839</v>
      </c>
      <c r="D5496">
        <v>34</v>
      </c>
      <c r="E5496" s="16" t="s">
        <v>125</v>
      </c>
      <c r="F5496" s="16" t="s">
        <v>116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63</v>
      </c>
      <c r="C5497" s="9">
        <v>45870</v>
      </c>
      <c r="D5497">
        <v>34</v>
      </c>
      <c r="E5497" s="16" t="s">
        <v>125</v>
      </c>
      <c r="F5497" s="16" t="s">
        <v>116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63</v>
      </c>
      <c r="C5498" s="9">
        <v>45901</v>
      </c>
      <c r="D5498">
        <v>34</v>
      </c>
      <c r="E5498" s="16" t="s">
        <v>125</v>
      </c>
      <c r="F5498" s="16" t="s">
        <v>116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63</v>
      </c>
      <c r="C5499" s="9">
        <v>45931</v>
      </c>
      <c r="D5499">
        <v>34</v>
      </c>
      <c r="E5499" s="16" t="s">
        <v>125</v>
      </c>
      <c r="F5499" s="16" t="s">
        <v>116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63</v>
      </c>
      <c r="C5500" s="9">
        <v>45962</v>
      </c>
      <c r="D5500">
        <v>34</v>
      </c>
      <c r="E5500" s="16" t="s">
        <v>125</v>
      </c>
      <c r="F5500" s="16" t="s">
        <v>116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63</v>
      </c>
      <c r="C5501" s="9">
        <v>45992</v>
      </c>
      <c r="D5501">
        <v>34</v>
      </c>
      <c r="E5501" s="16" t="s">
        <v>125</v>
      </c>
      <c r="F5501" s="16" t="s">
        <v>116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63</v>
      </c>
      <c r="C5502" s="9">
        <v>46023</v>
      </c>
      <c r="D5502">
        <v>34</v>
      </c>
      <c r="E5502" s="16" t="s">
        <v>125</v>
      </c>
      <c r="F5502" s="16" t="s">
        <v>116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63</v>
      </c>
      <c r="C5503" s="9">
        <v>46054</v>
      </c>
      <c r="D5503">
        <v>34</v>
      </c>
      <c r="E5503" s="16" t="s">
        <v>125</v>
      </c>
      <c r="F5503" s="16" t="s">
        <v>116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63</v>
      </c>
      <c r="C5504" s="9">
        <v>46082</v>
      </c>
      <c r="D5504">
        <v>34</v>
      </c>
      <c r="E5504" s="16" t="s">
        <v>125</v>
      </c>
      <c r="F5504" s="16" t="s">
        <v>116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63</v>
      </c>
      <c r="C5505" s="9">
        <v>46113</v>
      </c>
      <c r="D5505">
        <v>34</v>
      </c>
      <c r="E5505" s="16" t="s">
        <v>125</v>
      </c>
      <c r="F5505" s="16" t="s">
        <v>116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63</v>
      </c>
      <c r="C5506" s="9">
        <v>46143</v>
      </c>
      <c r="D5506">
        <v>34</v>
      </c>
      <c r="E5506" s="16" t="s">
        <v>125</v>
      </c>
      <c r="F5506" s="16" t="s">
        <v>116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63</v>
      </c>
      <c r="C5507" s="9">
        <v>46174</v>
      </c>
      <c r="D5507">
        <v>34</v>
      </c>
      <c r="E5507" s="16" t="s">
        <v>125</v>
      </c>
      <c r="F5507" s="16" t="s">
        <v>116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63</v>
      </c>
      <c r="C5508" s="9">
        <v>46204</v>
      </c>
      <c r="D5508">
        <v>34</v>
      </c>
      <c r="E5508" s="16" t="s">
        <v>125</v>
      </c>
      <c r="F5508" s="16" t="s">
        <v>116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63</v>
      </c>
      <c r="C5509" s="9">
        <v>46235</v>
      </c>
      <c r="D5509">
        <v>34</v>
      </c>
      <c r="E5509" s="16" t="s">
        <v>125</v>
      </c>
      <c r="F5509" s="16" t="s">
        <v>116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63</v>
      </c>
      <c r="C5510" s="9">
        <v>46266</v>
      </c>
      <c r="D5510">
        <v>34</v>
      </c>
      <c r="E5510" s="16" t="s">
        <v>125</v>
      </c>
      <c r="F5510" s="16" t="s">
        <v>116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63</v>
      </c>
      <c r="C5511" s="9">
        <v>45689</v>
      </c>
      <c r="D5511">
        <v>35</v>
      </c>
      <c r="E5511" s="16" t="s">
        <v>126</v>
      </c>
      <c r="F5511" s="16" t="s">
        <v>92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63</v>
      </c>
      <c r="C5512" s="9">
        <v>45748</v>
      </c>
      <c r="D5512">
        <v>35</v>
      </c>
      <c r="E5512" s="16" t="s">
        <v>126</v>
      </c>
      <c r="F5512" s="16" t="s">
        <v>92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63</v>
      </c>
      <c r="C5513" s="9">
        <v>45778</v>
      </c>
      <c r="D5513">
        <v>35</v>
      </c>
      <c r="E5513" s="16" t="s">
        <v>126</v>
      </c>
      <c r="F5513" s="16" t="s">
        <v>92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63</v>
      </c>
      <c r="C5514" s="9">
        <v>45809</v>
      </c>
      <c r="D5514">
        <v>35</v>
      </c>
      <c r="E5514" s="16" t="s">
        <v>126</v>
      </c>
      <c r="F5514" s="16" t="s">
        <v>92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63</v>
      </c>
      <c r="C5515" s="9">
        <v>45839</v>
      </c>
      <c r="D5515">
        <v>35</v>
      </c>
      <c r="E5515" s="16" t="s">
        <v>126</v>
      </c>
      <c r="F5515" s="16" t="s">
        <v>92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63</v>
      </c>
      <c r="C5516" s="9">
        <v>45870</v>
      </c>
      <c r="D5516">
        <v>35</v>
      </c>
      <c r="E5516" s="16" t="s">
        <v>126</v>
      </c>
      <c r="F5516" s="16" t="s">
        <v>92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63</v>
      </c>
      <c r="C5517" s="9">
        <v>45931</v>
      </c>
      <c r="D5517">
        <v>35</v>
      </c>
      <c r="E5517" s="16" t="s">
        <v>126</v>
      </c>
      <c r="F5517" s="16" t="s">
        <v>92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63</v>
      </c>
      <c r="C5518" s="9">
        <v>45962</v>
      </c>
      <c r="D5518">
        <v>35</v>
      </c>
      <c r="E5518" s="16" t="s">
        <v>126</v>
      </c>
      <c r="F5518" s="16" t="s">
        <v>92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63</v>
      </c>
      <c r="C5519" s="9">
        <v>45992</v>
      </c>
      <c r="D5519">
        <v>35</v>
      </c>
      <c r="E5519" s="16" t="s">
        <v>126</v>
      </c>
      <c r="F5519" s="16" t="s">
        <v>92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63</v>
      </c>
      <c r="C5520" s="9">
        <v>46023</v>
      </c>
      <c r="D5520">
        <v>35</v>
      </c>
      <c r="E5520" s="16" t="s">
        <v>126</v>
      </c>
      <c r="F5520" s="16" t="s">
        <v>92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63</v>
      </c>
      <c r="C5521" s="9">
        <v>46082</v>
      </c>
      <c r="D5521">
        <v>35</v>
      </c>
      <c r="E5521" s="16" t="s">
        <v>126</v>
      </c>
      <c r="F5521" s="16" t="s">
        <v>92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63</v>
      </c>
      <c r="C5522" s="9">
        <v>46113</v>
      </c>
      <c r="D5522">
        <v>35</v>
      </c>
      <c r="E5522" s="16" t="s">
        <v>126</v>
      </c>
      <c r="F5522" s="16" t="s">
        <v>92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63</v>
      </c>
      <c r="C5523" s="9">
        <v>46143</v>
      </c>
      <c r="D5523">
        <v>35</v>
      </c>
      <c r="E5523" s="16" t="s">
        <v>126</v>
      </c>
      <c r="F5523" s="16" t="s">
        <v>92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63</v>
      </c>
      <c r="C5524" s="9">
        <v>46174</v>
      </c>
      <c r="D5524">
        <v>35</v>
      </c>
      <c r="E5524" s="16" t="s">
        <v>126</v>
      </c>
      <c r="F5524" s="16" t="s">
        <v>92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63</v>
      </c>
      <c r="C5525" s="9">
        <v>46204</v>
      </c>
      <c r="D5525">
        <v>35</v>
      </c>
      <c r="E5525" s="16" t="s">
        <v>126</v>
      </c>
      <c r="F5525" s="16" t="s">
        <v>92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63</v>
      </c>
      <c r="C5526" s="9">
        <v>46266</v>
      </c>
      <c r="D5526">
        <v>35</v>
      </c>
      <c r="E5526" s="16" t="s">
        <v>126</v>
      </c>
      <c r="F5526" s="16" t="s">
        <v>92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63</v>
      </c>
      <c r="C5527" s="9">
        <v>45689</v>
      </c>
      <c r="D5527">
        <v>36</v>
      </c>
      <c r="E5527" s="16" t="s">
        <v>127</v>
      </c>
      <c r="F5527" s="16" t="s">
        <v>100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63</v>
      </c>
      <c r="C5528" s="9">
        <v>45717</v>
      </c>
      <c r="D5528">
        <v>36</v>
      </c>
      <c r="E5528" s="16" t="s">
        <v>127</v>
      </c>
      <c r="F5528" s="16" t="s">
        <v>100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63</v>
      </c>
      <c r="C5529" s="9">
        <v>45748</v>
      </c>
      <c r="D5529">
        <v>36</v>
      </c>
      <c r="E5529" s="16" t="s">
        <v>127</v>
      </c>
      <c r="F5529" s="16" t="s">
        <v>100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63</v>
      </c>
      <c r="C5530" s="9">
        <v>45778</v>
      </c>
      <c r="D5530">
        <v>36</v>
      </c>
      <c r="E5530" s="16" t="s">
        <v>127</v>
      </c>
      <c r="F5530" s="16" t="s">
        <v>100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63</v>
      </c>
      <c r="C5531" s="9">
        <v>45809</v>
      </c>
      <c r="D5531">
        <v>36</v>
      </c>
      <c r="E5531" s="16" t="s">
        <v>127</v>
      </c>
      <c r="F5531" s="16" t="s">
        <v>100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63</v>
      </c>
      <c r="C5532" s="9">
        <v>45839</v>
      </c>
      <c r="D5532">
        <v>36</v>
      </c>
      <c r="E5532" s="16" t="s">
        <v>127</v>
      </c>
      <c r="F5532" s="16" t="s">
        <v>100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63</v>
      </c>
      <c r="C5533" s="9">
        <v>45870</v>
      </c>
      <c r="D5533">
        <v>36</v>
      </c>
      <c r="E5533" s="16" t="s">
        <v>127</v>
      </c>
      <c r="F5533" s="16" t="s">
        <v>100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63</v>
      </c>
      <c r="C5534" s="9">
        <v>45901</v>
      </c>
      <c r="D5534">
        <v>36</v>
      </c>
      <c r="E5534" s="16" t="s">
        <v>127</v>
      </c>
      <c r="F5534" s="16" t="s">
        <v>100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63</v>
      </c>
      <c r="C5535" s="9">
        <v>45931</v>
      </c>
      <c r="D5535">
        <v>36</v>
      </c>
      <c r="E5535" s="16" t="s">
        <v>127</v>
      </c>
      <c r="F5535" s="16" t="s">
        <v>100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63</v>
      </c>
      <c r="C5536" s="9">
        <v>45962</v>
      </c>
      <c r="D5536">
        <v>36</v>
      </c>
      <c r="E5536" s="16" t="s">
        <v>127</v>
      </c>
      <c r="F5536" s="16" t="s">
        <v>100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63</v>
      </c>
      <c r="C5537" s="9">
        <v>45992</v>
      </c>
      <c r="D5537">
        <v>36</v>
      </c>
      <c r="E5537" s="16" t="s">
        <v>127</v>
      </c>
      <c r="F5537" s="16" t="s">
        <v>100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63</v>
      </c>
      <c r="C5538" s="9">
        <v>46023</v>
      </c>
      <c r="D5538">
        <v>36</v>
      </c>
      <c r="E5538" s="16" t="s">
        <v>127</v>
      </c>
      <c r="F5538" s="16" t="s">
        <v>100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63</v>
      </c>
      <c r="C5539" s="9">
        <v>46054</v>
      </c>
      <c r="D5539">
        <v>36</v>
      </c>
      <c r="E5539" s="16" t="s">
        <v>127</v>
      </c>
      <c r="F5539" s="16" t="s">
        <v>100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63</v>
      </c>
      <c r="C5540" s="9">
        <v>46082</v>
      </c>
      <c r="D5540">
        <v>36</v>
      </c>
      <c r="E5540" s="16" t="s">
        <v>127</v>
      </c>
      <c r="F5540" s="16" t="s">
        <v>100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63</v>
      </c>
      <c r="C5541" s="9">
        <v>46113</v>
      </c>
      <c r="D5541">
        <v>36</v>
      </c>
      <c r="E5541" s="16" t="s">
        <v>127</v>
      </c>
      <c r="F5541" s="16" t="s">
        <v>100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63</v>
      </c>
      <c r="C5542" s="9">
        <v>46143</v>
      </c>
      <c r="D5542">
        <v>36</v>
      </c>
      <c r="E5542" s="16" t="s">
        <v>127</v>
      </c>
      <c r="F5542" s="16" t="s">
        <v>100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63</v>
      </c>
      <c r="C5543" s="9">
        <v>46174</v>
      </c>
      <c r="D5543">
        <v>36</v>
      </c>
      <c r="E5543" s="16" t="s">
        <v>127</v>
      </c>
      <c r="F5543" s="16" t="s">
        <v>100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63</v>
      </c>
      <c r="C5544" s="9">
        <v>46204</v>
      </c>
      <c r="D5544">
        <v>36</v>
      </c>
      <c r="E5544" s="16" t="s">
        <v>127</v>
      </c>
      <c r="F5544" s="16" t="s">
        <v>100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63</v>
      </c>
      <c r="C5545" s="9">
        <v>46235</v>
      </c>
      <c r="D5545">
        <v>36</v>
      </c>
      <c r="E5545" s="16" t="s">
        <v>127</v>
      </c>
      <c r="F5545" s="16" t="s">
        <v>100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63</v>
      </c>
      <c r="C5546" s="9">
        <v>46266</v>
      </c>
      <c r="D5546">
        <v>36</v>
      </c>
      <c r="E5546" s="16" t="s">
        <v>127</v>
      </c>
      <c r="F5546" s="16" t="s">
        <v>100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63</v>
      </c>
      <c r="C5547" s="9">
        <v>45689</v>
      </c>
      <c r="D5547">
        <v>37</v>
      </c>
      <c r="E5547" s="16" t="s">
        <v>128</v>
      </c>
      <c r="F5547" s="16" t="s">
        <v>92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63</v>
      </c>
      <c r="C5548" s="9">
        <v>45717</v>
      </c>
      <c r="D5548">
        <v>37</v>
      </c>
      <c r="E5548" s="16" t="s">
        <v>128</v>
      </c>
      <c r="F5548" s="16" t="s">
        <v>92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63</v>
      </c>
      <c r="C5549" s="9">
        <v>45748</v>
      </c>
      <c r="D5549">
        <v>37</v>
      </c>
      <c r="E5549" s="16" t="s">
        <v>128</v>
      </c>
      <c r="F5549" s="16" t="s">
        <v>92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63</v>
      </c>
      <c r="C5550" s="9">
        <v>45778</v>
      </c>
      <c r="D5550">
        <v>37</v>
      </c>
      <c r="E5550" s="16" t="s">
        <v>128</v>
      </c>
      <c r="F5550" s="16" t="s">
        <v>92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63</v>
      </c>
      <c r="C5551" s="9">
        <v>45809</v>
      </c>
      <c r="D5551">
        <v>37</v>
      </c>
      <c r="E5551" s="16" t="s">
        <v>128</v>
      </c>
      <c r="F5551" s="16" t="s">
        <v>92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63</v>
      </c>
      <c r="C5552" s="9">
        <v>45839</v>
      </c>
      <c r="D5552">
        <v>37</v>
      </c>
      <c r="E5552" s="16" t="s">
        <v>128</v>
      </c>
      <c r="F5552" s="16" t="s">
        <v>92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63</v>
      </c>
      <c r="C5553" s="9">
        <v>45870</v>
      </c>
      <c r="D5553">
        <v>37</v>
      </c>
      <c r="E5553" s="16" t="s">
        <v>128</v>
      </c>
      <c r="F5553" s="16" t="s">
        <v>92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63</v>
      </c>
      <c r="C5554" s="9">
        <v>45901</v>
      </c>
      <c r="D5554">
        <v>37</v>
      </c>
      <c r="E5554" s="16" t="s">
        <v>128</v>
      </c>
      <c r="F5554" s="16" t="s">
        <v>92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63</v>
      </c>
      <c r="C5555" s="9">
        <v>45931</v>
      </c>
      <c r="D5555">
        <v>37</v>
      </c>
      <c r="E5555" s="16" t="s">
        <v>128</v>
      </c>
      <c r="F5555" s="16" t="s">
        <v>92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63</v>
      </c>
      <c r="C5556" s="9">
        <v>45962</v>
      </c>
      <c r="D5556">
        <v>37</v>
      </c>
      <c r="E5556" s="16" t="s">
        <v>128</v>
      </c>
      <c r="F5556" s="16" t="s">
        <v>92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63</v>
      </c>
      <c r="C5557" s="9">
        <v>45992</v>
      </c>
      <c r="D5557">
        <v>37</v>
      </c>
      <c r="E5557" s="16" t="s">
        <v>128</v>
      </c>
      <c r="F5557" s="16" t="s">
        <v>92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63</v>
      </c>
      <c r="C5558" s="9">
        <v>46023</v>
      </c>
      <c r="D5558">
        <v>37</v>
      </c>
      <c r="E5558" s="16" t="s">
        <v>128</v>
      </c>
      <c r="F5558" s="16" t="s">
        <v>92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63</v>
      </c>
      <c r="C5559" s="9">
        <v>46054</v>
      </c>
      <c r="D5559">
        <v>37</v>
      </c>
      <c r="E5559" s="16" t="s">
        <v>128</v>
      </c>
      <c r="F5559" s="16" t="s">
        <v>92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63</v>
      </c>
      <c r="C5560" s="9">
        <v>46082</v>
      </c>
      <c r="D5560">
        <v>37</v>
      </c>
      <c r="E5560" s="16" t="s">
        <v>128</v>
      </c>
      <c r="F5560" s="16" t="s">
        <v>92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63</v>
      </c>
      <c r="C5561" s="9">
        <v>46113</v>
      </c>
      <c r="D5561">
        <v>37</v>
      </c>
      <c r="E5561" s="16" t="s">
        <v>128</v>
      </c>
      <c r="F5561" s="16" t="s">
        <v>92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63</v>
      </c>
      <c r="C5562" s="9">
        <v>46143</v>
      </c>
      <c r="D5562">
        <v>37</v>
      </c>
      <c r="E5562" s="16" t="s">
        <v>128</v>
      </c>
      <c r="F5562" s="16" t="s">
        <v>92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63</v>
      </c>
      <c r="C5563" s="9">
        <v>46174</v>
      </c>
      <c r="D5563">
        <v>37</v>
      </c>
      <c r="E5563" s="16" t="s">
        <v>128</v>
      </c>
      <c r="F5563" s="16" t="s">
        <v>92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63</v>
      </c>
      <c r="C5564" s="9">
        <v>46204</v>
      </c>
      <c r="D5564">
        <v>37</v>
      </c>
      <c r="E5564" s="16" t="s">
        <v>128</v>
      </c>
      <c r="F5564" s="16" t="s">
        <v>92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63</v>
      </c>
      <c r="C5565" s="9">
        <v>46235</v>
      </c>
      <c r="D5565">
        <v>37</v>
      </c>
      <c r="E5565" s="16" t="s">
        <v>128</v>
      </c>
      <c r="F5565" s="16" t="s">
        <v>92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63</v>
      </c>
      <c r="C5566" s="9">
        <v>46266</v>
      </c>
      <c r="D5566">
        <v>37</v>
      </c>
      <c r="E5566" s="16" t="s">
        <v>128</v>
      </c>
      <c r="F5566" s="16" t="s">
        <v>92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63</v>
      </c>
      <c r="C5567" s="9">
        <v>45689</v>
      </c>
      <c r="D5567">
        <v>38</v>
      </c>
      <c r="E5567" s="16" t="s">
        <v>129</v>
      </c>
      <c r="F5567" s="16" t="s">
        <v>85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63</v>
      </c>
      <c r="C5568" s="9">
        <v>45717</v>
      </c>
      <c r="D5568">
        <v>38</v>
      </c>
      <c r="E5568" s="16" t="s">
        <v>129</v>
      </c>
      <c r="F5568" s="16" t="s">
        <v>85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63</v>
      </c>
      <c r="C5569" s="9">
        <v>45748</v>
      </c>
      <c r="D5569">
        <v>38</v>
      </c>
      <c r="E5569" s="16" t="s">
        <v>129</v>
      </c>
      <c r="F5569" s="16" t="s">
        <v>85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63</v>
      </c>
      <c r="C5570" s="9">
        <v>45778</v>
      </c>
      <c r="D5570">
        <v>38</v>
      </c>
      <c r="E5570" s="16" t="s">
        <v>129</v>
      </c>
      <c r="F5570" s="16" t="s">
        <v>85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63</v>
      </c>
      <c r="C5571" s="9">
        <v>45809</v>
      </c>
      <c r="D5571">
        <v>38</v>
      </c>
      <c r="E5571" s="16" t="s">
        <v>129</v>
      </c>
      <c r="F5571" s="16" t="s">
        <v>85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63</v>
      </c>
      <c r="C5572" s="9">
        <v>45839</v>
      </c>
      <c r="D5572">
        <v>38</v>
      </c>
      <c r="E5572" s="16" t="s">
        <v>129</v>
      </c>
      <c r="F5572" s="16" t="s">
        <v>85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63</v>
      </c>
      <c r="C5573" s="9">
        <v>45870</v>
      </c>
      <c r="D5573">
        <v>38</v>
      </c>
      <c r="E5573" s="16" t="s">
        <v>129</v>
      </c>
      <c r="F5573" s="16" t="s">
        <v>85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63</v>
      </c>
      <c r="C5574" s="9">
        <v>45901</v>
      </c>
      <c r="D5574">
        <v>38</v>
      </c>
      <c r="E5574" s="16" t="s">
        <v>129</v>
      </c>
      <c r="F5574" s="16" t="s">
        <v>85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63</v>
      </c>
      <c r="C5575" s="9">
        <v>45931</v>
      </c>
      <c r="D5575">
        <v>38</v>
      </c>
      <c r="E5575" s="16" t="s">
        <v>129</v>
      </c>
      <c r="F5575" s="16" t="s">
        <v>85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63</v>
      </c>
      <c r="C5576" s="9">
        <v>45962</v>
      </c>
      <c r="D5576">
        <v>38</v>
      </c>
      <c r="E5576" s="16" t="s">
        <v>129</v>
      </c>
      <c r="F5576" s="16" t="s">
        <v>85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63</v>
      </c>
      <c r="C5577" s="9">
        <v>45992</v>
      </c>
      <c r="D5577">
        <v>38</v>
      </c>
      <c r="E5577" s="16" t="s">
        <v>129</v>
      </c>
      <c r="F5577" s="16" t="s">
        <v>85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63</v>
      </c>
      <c r="C5578" s="9">
        <v>46023</v>
      </c>
      <c r="D5578">
        <v>38</v>
      </c>
      <c r="E5578" s="16" t="s">
        <v>129</v>
      </c>
      <c r="F5578" s="16" t="s">
        <v>85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63</v>
      </c>
      <c r="C5579" s="9">
        <v>46054</v>
      </c>
      <c r="D5579">
        <v>38</v>
      </c>
      <c r="E5579" s="16" t="s">
        <v>129</v>
      </c>
      <c r="F5579" s="16" t="s">
        <v>85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63</v>
      </c>
      <c r="C5580" s="9">
        <v>46082</v>
      </c>
      <c r="D5580">
        <v>38</v>
      </c>
      <c r="E5580" s="16" t="s">
        <v>129</v>
      </c>
      <c r="F5580" s="16" t="s">
        <v>85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63</v>
      </c>
      <c r="C5581" s="9">
        <v>46113</v>
      </c>
      <c r="D5581">
        <v>38</v>
      </c>
      <c r="E5581" s="16" t="s">
        <v>129</v>
      </c>
      <c r="F5581" s="16" t="s">
        <v>85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63</v>
      </c>
      <c r="C5582" s="9">
        <v>46143</v>
      </c>
      <c r="D5582">
        <v>38</v>
      </c>
      <c r="E5582" s="16" t="s">
        <v>129</v>
      </c>
      <c r="F5582" s="16" t="s">
        <v>85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63</v>
      </c>
      <c r="C5583" s="9">
        <v>46174</v>
      </c>
      <c r="D5583">
        <v>38</v>
      </c>
      <c r="E5583" s="16" t="s">
        <v>129</v>
      </c>
      <c r="F5583" s="16" t="s">
        <v>85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63</v>
      </c>
      <c r="C5584" s="9">
        <v>46204</v>
      </c>
      <c r="D5584">
        <v>38</v>
      </c>
      <c r="E5584" s="16" t="s">
        <v>129</v>
      </c>
      <c r="F5584" s="16" t="s">
        <v>85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63</v>
      </c>
      <c r="C5585" s="9">
        <v>46235</v>
      </c>
      <c r="D5585">
        <v>38</v>
      </c>
      <c r="E5585" s="16" t="s">
        <v>129</v>
      </c>
      <c r="F5585" s="16" t="s">
        <v>85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63</v>
      </c>
      <c r="C5586" s="9">
        <v>46266</v>
      </c>
      <c r="D5586">
        <v>38</v>
      </c>
      <c r="E5586" s="16" t="s">
        <v>129</v>
      </c>
      <c r="F5586" s="16" t="s">
        <v>85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63</v>
      </c>
      <c r="C5587" s="9">
        <v>45689</v>
      </c>
      <c r="D5587">
        <v>39</v>
      </c>
      <c r="E5587" s="16" t="s">
        <v>130</v>
      </c>
      <c r="F5587" s="16" t="s">
        <v>89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63</v>
      </c>
      <c r="C5588" s="9">
        <v>45717</v>
      </c>
      <c r="D5588">
        <v>39</v>
      </c>
      <c r="E5588" s="16" t="s">
        <v>130</v>
      </c>
      <c r="F5588" s="16" t="s">
        <v>89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63</v>
      </c>
      <c r="C5589" s="9">
        <v>45748</v>
      </c>
      <c r="D5589">
        <v>39</v>
      </c>
      <c r="E5589" s="16" t="s">
        <v>130</v>
      </c>
      <c r="F5589" s="16" t="s">
        <v>89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63</v>
      </c>
      <c r="C5590" s="9">
        <v>45778</v>
      </c>
      <c r="D5590">
        <v>39</v>
      </c>
      <c r="E5590" s="16" t="s">
        <v>130</v>
      </c>
      <c r="F5590" s="16" t="s">
        <v>89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63</v>
      </c>
      <c r="C5591" s="9">
        <v>45809</v>
      </c>
      <c r="D5591">
        <v>39</v>
      </c>
      <c r="E5591" s="16" t="s">
        <v>130</v>
      </c>
      <c r="F5591" s="16" t="s">
        <v>89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63</v>
      </c>
      <c r="C5592" s="9">
        <v>45839</v>
      </c>
      <c r="D5592">
        <v>39</v>
      </c>
      <c r="E5592" s="16" t="s">
        <v>130</v>
      </c>
      <c r="F5592" s="16" t="s">
        <v>89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63</v>
      </c>
      <c r="C5593" s="9">
        <v>45870</v>
      </c>
      <c r="D5593">
        <v>39</v>
      </c>
      <c r="E5593" s="16" t="s">
        <v>130</v>
      </c>
      <c r="F5593" s="16" t="s">
        <v>89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63</v>
      </c>
      <c r="C5594" s="9">
        <v>45901</v>
      </c>
      <c r="D5594">
        <v>39</v>
      </c>
      <c r="E5594" s="16" t="s">
        <v>130</v>
      </c>
      <c r="F5594" s="16" t="s">
        <v>89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63</v>
      </c>
      <c r="C5595" s="9">
        <v>45931</v>
      </c>
      <c r="D5595">
        <v>39</v>
      </c>
      <c r="E5595" s="16" t="s">
        <v>130</v>
      </c>
      <c r="F5595" s="16" t="s">
        <v>89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63</v>
      </c>
      <c r="C5596" s="9">
        <v>45962</v>
      </c>
      <c r="D5596">
        <v>39</v>
      </c>
      <c r="E5596" s="16" t="s">
        <v>130</v>
      </c>
      <c r="F5596" s="16" t="s">
        <v>89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63</v>
      </c>
      <c r="C5597" s="9">
        <v>45992</v>
      </c>
      <c r="D5597">
        <v>39</v>
      </c>
      <c r="E5597" s="16" t="s">
        <v>130</v>
      </c>
      <c r="F5597" s="16" t="s">
        <v>89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63</v>
      </c>
      <c r="C5598" s="9">
        <v>46023</v>
      </c>
      <c r="D5598">
        <v>39</v>
      </c>
      <c r="E5598" s="16" t="s">
        <v>130</v>
      </c>
      <c r="F5598" s="16" t="s">
        <v>89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63</v>
      </c>
      <c r="C5599" s="9">
        <v>46054</v>
      </c>
      <c r="D5599">
        <v>39</v>
      </c>
      <c r="E5599" s="16" t="s">
        <v>130</v>
      </c>
      <c r="F5599" s="16" t="s">
        <v>89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63</v>
      </c>
      <c r="C5600" s="9">
        <v>46082</v>
      </c>
      <c r="D5600">
        <v>39</v>
      </c>
      <c r="E5600" s="16" t="s">
        <v>130</v>
      </c>
      <c r="F5600" s="16" t="s">
        <v>89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63</v>
      </c>
      <c r="C5601" s="9">
        <v>46113</v>
      </c>
      <c r="D5601">
        <v>39</v>
      </c>
      <c r="E5601" s="16" t="s">
        <v>130</v>
      </c>
      <c r="F5601" s="16" t="s">
        <v>89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63</v>
      </c>
      <c r="C5602" s="9">
        <v>46143</v>
      </c>
      <c r="D5602">
        <v>39</v>
      </c>
      <c r="E5602" s="16" t="s">
        <v>130</v>
      </c>
      <c r="F5602" s="16" t="s">
        <v>89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63</v>
      </c>
      <c r="C5603" s="9">
        <v>46174</v>
      </c>
      <c r="D5603">
        <v>39</v>
      </c>
      <c r="E5603" s="16" t="s">
        <v>130</v>
      </c>
      <c r="F5603" s="16" t="s">
        <v>89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63</v>
      </c>
      <c r="C5604" s="9">
        <v>46204</v>
      </c>
      <c r="D5604">
        <v>39</v>
      </c>
      <c r="E5604" s="16" t="s">
        <v>130</v>
      </c>
      <c r="F5604" s="16" t="s">
        <v>89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63</v>
      </c>
      <c r="C5605" s="9">
        <v>46235</v>
      </c>
      <c r="D5605">
        <v>39</v>
      </c>
      <c r="E5605" s="16" t="s">
        <v>130</v>
      </c>
      <c r="F5605" s="16" t="s">
        <v>89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63</v>
      </c>
      <c r="C5606" s="9">
        <v>46266</v>
      </c>
      <c r="D5606">
        <v>39</v>
      </c>
      <c r="E5606" s="16" t="s">
        <v>130</v>
      </c>
      <c r="F5606" s="16" t="s">
        <v>89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63</v>
      </c>
      <c r="C5607" s="9">
        <v>45689</v>
      </c>
      <c r="D5607">
        <v>40</v>
      </c>
      <c r="E5607" s="16" t="s">
        <v>131</v>
      </c>
      <c r="F5607" s="16" t="s">
        <v>110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63</v>
      </c>
      <c r="C5608" s="9">
        <v>45717</v>
      </c>
      <c r="D5608">
        <v>40</v>
      </c>
      <c r="E5608" s="16" t="s">
        <v>131</v>
      </c>
      <c r="F5608" s="16" t="s">
        <v>110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63</v>
      </c>
      <c r="C5609" s="9">
        <v>45748</v>
      </c>
      <c r="D5609">
        <v>40</v>
      </c>
      <c r="E5609" s="16" t="s">
        <v>131</v>
      </c>
      <c r="F5609" s="16" t="s">
        <v>110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63</v>
      </c>
      <c r="C5610" s="9">
        <v>45809</v>
      </c>
      <c r="D5610">
        <v>40</v>
      </c>
      <c r="E5610" s="16" t="s">
        <v>131</v>
      </c>
      <c r="F5610" s="16" t="s">
        <v>110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63</v>
      </c>
      <c r="C5611" s="9">
        <v>45870</v>
      </c>
      <c r="D5611">
        <v>40</v>
      </c>
      <c r="E5611" s="16" t="s">
        <v>131</v>
      </c>
      <c r="F5611" s="16" t="s">
        <v>110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63</v>
      </c>
      <c r="C5612" s="9">
        <v>45901</v>
      </c>
      <c r="D5612">
        <v>40</v>
      </c>
      <c r="E5612" s="16" t="s">
        <v>131</v>
      </c>
      <c r="F5612" s="16" t="s">
        <v>110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63</v>
      </c>
      <c r="C5613" s="9">
        <v>45931</v>
      </c>
      <c r="D5613">
        <v>40</v>
      </c>
      <c r="E5613" s="16" t="s">
        <v>131</v>
      </c>
      <c r="F5613" s="16" t="s">
        <v>110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63</v>
      </c>
      <c r="C5614" s="9">
        <v>45992</v>
      </c>
      <c r="D5614">
        <v>40</v>
      </c>
      <c r="E5614" s="16" t="s">
        <v>131</v>
      </c>
      <c r="F5614" s="16" t="s">
        <v>110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63</v>
      </c>
      <c r="C5615" s="9">
        <v>46023</v>
      </c>
      <c r="D5615">
        <v>40</v>
      </c>
      <c r="E5615" s="16" t="s">
        <v>131</v>
      </c>
      <c r="F5615" s="16" t="s">
        <v>110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63</v>
      </c>
      <c r="C5616" s="9">
        <v>46082</v>
      </c>
      <c r="D5616">
        <v>40</v>
      </c>
      <c r="E5616" s="16" t="s">
        <v>131</v>
      </c>
      <c r="F5616" s="16" t="s">
        <v>110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63</v>
      </c>
      <c r="C5617" s="9">
        <v>46113</v>
      </c>
      <c r="D5617">
        <v>40</v>
      </c>
      <c r="E5617" s="16" t="s">
        <v>131</v>
      </c>
      <c r="F5617" s="16" t="s">
        <v>110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63</v>
      </c>
      <c r="C5618" s="9">
        <v>46204</v>
      </c>
      <c r="D5618">
        <v>40</v>
      </c>
      <c r="E5618" s="16" t="s">
        <v>131</v>
      </c>
      <c r="F5618" s="16" t="s">
        <v>110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63</v>
      </c>
      <c r="C5619" s="9">
        <v>46266</v>
      </c>
      <c r="D5619">
        <v>40</v>
      </c>
      <c r="E5619" s="16" t="s">
        <v>131</v>
      </c>
      <c r="F5619" s="16" t="s">
        <v>110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63</v>
      </c>
      <c r="C5620" s="9">
        <v>45689</v>
      </c>
      <c r="D5620">
        <v>41</v>
      </c>
      <c r="E5620" s="16" t="s">
        <v>132</v>
      </c>
      <c r="F5620" s="16" t="s">
        <v>89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63</v>
      </c>
      <c r="C5621" s="9">
        <v>45717</v>
      </c>
      <c r="D5621">
        <v>41</v>
      </c>
      <c r="E5621" s="16" t="s">
        <v>132</v>
      </c>
      <c r="F5621" s="16" t="s">
        <v>89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63</v>
      </c>
      <c r="C5622" s="9">
        <v>45748</v>
      </c>
      <c r="D5622">
        <v>41</v>
      </c>
      <c r="E5622" s="16" t="s">
        <v>132</v>
      </c>
      <c r="F5622" s="16" t="s">
        <v>89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63</v>
      </c>
      <c r="C5623" s="9">
        <v>45778</v>
      </c>
      <c r="D5623">
        <v>41</v>
      </c>
      <c r="E5623" s="16" t="s">
        <v>132</v>
      </c>
      <c r="F5623" s="16" t="s">
        <v>89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63</v>
      </c>
      <c r="C5624" s="9">
        <v>45809</v>
      </c>
      <c r="D5624">
        <v>41</v>
      </c>
      <c r="E5624" s="16" t="s">
        <v>132</v>
      </c>
      <c r="F5624" s="16" t="s">
        <v>89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63</v>
      </c>
      <c r="C5625" s="9">
        <v>45839</v>
      </c>
      <c r="D5625">
        <v>41</v>
      </c>
      <c r="E5625" s="16" t="s">
        <v>132</v>
      </c>
      <c r="F5625" s="16" t="s">
        <v>89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63</v>
      </c>
      <c r="C5626" s="9">
        <v>45870</v>
      </c>
      <c r="D5626">
        <v>41</v>
      </c>
      <c r="E5626" s="16" t="s">
        <v>132</v>
      </c>
      <c r="F5626" s="16" t="s">
        <v>89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63</v>
      </c>
      <c r="C5627" s="9">
        <v>45901</v>
      </c>
      <c r="D5627">
        <v>41</v>
      </c>
      <c r="E5627" s="16" t="s">
        <v>132</v>
      </c>
      <c r="F5627" s="16" t="s">
        <v>89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63</v>
      </c>
      <c r="C5628" s="9">
        <v>45931</v>
      </c>
      <c r="D5628">
        <v>41</v>
      </c>
      <c r="E5628" s="16" t="s">
        <v>132</v>
      </c>
      <c r="F5628" s="16" t="s">
        <v>89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63</v>
      </c>
      <c r="C5629" s="9">
        <v>45962</v>
      </c>
      <c r="D5629">
        <v>41</v>
      </c>
      <c r="E5629" s="16" t="s">
        <v>132</v>
      </c>
      <c r="F5629" s="16" t="s">
        <v>89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63</v>
      </c>
      <c r="C5630" s="9">
        <v>45992</v>
      </c>
      <c r="D5630">
        <v>41</v>
      </c>
      <c r="E5630" s="16" t="s">
        <v>132</v>
      </c>
      <c r="F5630" s="16" t="s">
        <v>89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63</v>
      </c>
      <c r="C5631" s="9">
        <v>46023</v>
      </c>
      <c r="D5631">
        <v>41</v>
      </c>
      <c r="E5631" s="16" t="s">
        <v>132</v>
      </c>
      <c r="F5631" s="16" t="s">
        <v>89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63</v>
      </c>
      <c r="C5632" s="9">
        <v>46054</v>
      </c>
      <c r="D5632">
        <v>41</v>
      </c>
      <c r="E5632" s="16" t="s">
        <v>132</v>
      </c>
      <c r="F5632" s="16" t="s">
        <v>89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63</v>
      </c>
      <c r="C5633" s="9">
        <v>46082</v>
      </c>
      <c r="D5633">
        <v>41</v>
      </c>
      <c r="E5633" s="16" t="s">
        <v>132</v>
      </c>
      <c r="F5633" s="16" t="s">
        <v>89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63</v>
      </c>
      <c r="C5634" s="9">
        <v>46113</v>
      </c>
      <c r="D5634">
        <v>41</v>
      </c>
      <c r="E5634" s="16" t="s">
        <v>132</v>
      </c>
      <c r="F5634" s="16" t="s">
        <v>89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63</v>
      </c>
      <c r="C5635" s="9">
        <v>46143</v>
      </c>
      <c r="D5635">
        <v>41</v>
      </c>
      <c r="E5635" s="16" t="s">
        <v>132</v>
      </c>
      <c r="F5635" s="16" t="s">
        <v>89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63</v>
      </c>
      <c r="C5636" s="9">
        <v>46174</v>
      </c>
      <c r="D5636">
        <v>41</v>
      </c>
      <c r="E5636" s="16" t="s">
        <v>132</v>
      </c>
      <c r="F5636" s="16" t="s">
        <v>89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63</v>
      </c>
      <c r="C5637" s="9">
        <v>46204</v>
      </c>
      <c r="D5637">
        <v>41</v>
      </c>
      <c r="E5637" s="16" t="s">
        <v>132</v>
      </c>
      <c r="F5637" s="16" t="s">
        <v>89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63</v>
      </c>
      <c r="C5638" s="9">
        <v>46235</v>
      </c>
      <c r="D5638">
        <v>41</v>
      </c>
      <c r="E5638" s="16" t="s">
        <v>132</v>
      </c>
      <c r="F5638" s="16" t="s">
        <v>89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63</v>
      </c>
      <c r="C5639" s="9">
        <v>46266</v>
      </c>
      <c r="D5639">
        <v>41</v>
      </c>
      <c r="E5639" s="16" t="s">
        <v>132</v>
      </c>
      <c r="F5639" s="16" t="s">
        <v>89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63</v>
      </c>
      <c r="C5640" s="9">
        <v>45689</v>
      </c>
      <c r="D5640">
        <v>42</v>
      </c>
      <c r="E5640" s="16" t="s">
        <v>133</v>
      </c>
      <c r="F5640" s="16" t="s">
        <v>85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63</v>
      </c>
      <c r="C5641" s="9">
        <v>45717</v>
      </c>
      <c r="D5641">
        <v>42</v>
      </c>
      <c r="E5641" s="16" t="s">
        <v>133</v>
      </c>
      <c r="F5641" s="16" t="s">
        <v>85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63</v>
      </c>
      <c r="C5642" s="9">
        <v>45748</v>
      </c>
      <c r="D5642">
        <v>42</v>
      </c>
      <c r="E5642" s="16" t="s">
        <v>133</v>
      </c>
      <c r="F5642" s="16" t="s">
        <v>85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63</v>
      </c>
      <c r="C5643" s="9">
        <v>45778</v>
      </c>
      <c r="D5643">
        <v>42</v>
      </c>
      <c r="E5643" s="16" t="s">
        <v>133</v>
      </c>
      <c r="F5643" s="16" t="s">
        <v>85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63</v>
      </c>
      <c r="C5644" s="9">
        <v>45809</v>
      </c>
      <c r="D5644">
        <v>42</v>
      </c>
      <c r="E5644" s="16" t="s">
        <v>133</v>
      </c>
      <c r="F5644" s="16" t="s">
        <v>85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63</v>
      </c>
      <c r="C5645" s="9">
        <v>45839</v>
      </c>
      <c r="D5645">
        <v>42</v>
      </c>
      <c r="E5645" s="16" t="s">
        <v>133</v>
      </c>
      <c r="F5645" s="16" t="s">
        <v>85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63</v>
      </c>
      <c r="C5646" s="9">
        <v>45870</v>
      </c>
      <c r="D5646">
        <v>42</v>
      </c>
      <c r="E5646" s="16" t="s">
        <v>133</v>
      </c>
      <c r="F5646" s="16" t="s">
        <v>85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63</v>
      </c>
      <c r="C5647" s="9">
        <v>45901</v>
      </c>
      <c r="D5647">
        <v>42</v>
      </c>
      <c r="E5647" s="16" t="s">
        <v>133</v>
      </c>
      <c r="F5647" s="16" t="s">
        <v>85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63</v>
      </c>
      <c r="C5648" s="9">
        <v>45931</v>
      </c>
      <c r="D5648">
        <v>42</v>
      </c>
      <c r="E5648" s="16" t="s">
        <v>133</v>
      </c>
      <c r="F5648" s="16" t="s">
        <v>85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63</v>
      </c>
      <c r="C5649" s="9">
        <v>45962</v>
      </c>
      <c r="D5649">
        <v>42</v>
      </c>
      <c r="E5649" s="16" t="s">
        <v>133</v>
      </c>
      <c r="F5649" s="16" t="s">
        <v>85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63</v>
      </c>
      <c r="C5650" s="9">
        <v>45992</v>
      </c>
      <c r="D5650">
        <v>42</v>
      </c>
      <c r="E5650" s="16" t="s">
        <v>133</v>
      </c>
      <c r="F5650" s="16" t="s">
        <v>85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63</v>
      </c>
      <c r="C5651" s="9">
        <v>46023</v>
      </c>
      <c r="D5651">
        <v>42</v>
      </c>
      <c r="E5651" s="16" t="s">
        <v>133</v>
      </c>
      <c r="F5651" s="16" t="s">
        <v>85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63</v>
      </c>
      <c r="C5652" s="9">
        <v>46054</v>
      </c>
      <c r="D5652">
        <v>42</v>
      </c>
      <c r="E5652" s="16" t="s">
        <v>133</v>
      </c>
      <c r="F5652" s="16" t="s">
        <v>85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63</v>
      </c>
      <c r="C5653" s="9">
        <v>46082</v>
      </c>
      <c r="D5653">
        <v>42</v>
      </c>
      <c r="E5653" s="16" t="s">
        <v>133</v>
      </c>
      <c r="F5653" s="16" t="s">
        <v>85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63</v>
      </c>
      <c r="C5654" s="9">
        <v>46113</v>
      </c>
      <c r="D5654">
        <v>42</v>
      </c>
      <c r="E5654" s="16" t="s">
        <v>133</v>
      </c>
      <c r="F5654" s="16" t="s">
        <v>85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63</v>
      </c>
      <c r="C5655" s="9">
        <v>46143</v>
      </c>
      <c r="D5655">
        <v>42</v>
      </c>
      <c r="E5655" s="16" t="s">
        <v>133</v>
      </c>
      <c r="F5655" s="16" t="s">
        <v>85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63</v>
      </c>
      <c r="C5656" s="9">
        <v>46174</v>
      </c>
      <c r="D5656">
        <v>42</v>
      </c>
      <c r="E5656" s="16" t="s">
        <v>133</v>
      </c>
      <c r="F5656" s="16" t="s">
        <v>85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63</v>
      </c>
      <c r="C5657" s="9">
        <v>46204</v>
      </c>
      <c r="D5657">
        <v>42</v>
      </c>
      <c r="E5657" s="16" t="s">
        <v>133</v>
      </c>
      <c r="F5657" s="16" t="s">
        <v>85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63</v>
      </c>
      <c r="C5658" s="9">
        <v>46235</v>
      </c>
      <c r="D5658">
        <v>42</v>
      </c>
      <c r="E5658" s="16" t="s">
        <v>133</v>
      </c>
      <c r="F5658" s="16" t="s">
        <v>85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63</v>
      </c>
      <c r="C5659" s="9">
        <v>46266</v>
      </c>
      <c r="D5659">
        <v>42</v>
      </c>
      <c r="E5659" s="16" t="s">
        <v>133</v>
      </c>
      <c r="F5659" s="16" t="s">
        <v>85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63</v>
      </c>
      <c r="C5660" s="9">
        <v>45689</v>
      </c>
      <c r="D5660">
        <v>43</v>
      </c>
      <c r="E5660" s="16" t="s">
        <v>134</v>
      </c>
      <c r="F5660" s="16" t="s">
        <v>92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63</v>
      </c>
      <c r="C5661" s="9">
        <v>45717</v>
      </c>
      <c r="D5661">
        <v>43</v>
      </c>
      <c r="E5661" s="16" t="s">
        <v>134</v>
      </c>
      <c r="F5661" s="16" t="s">
        <v>92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63</v>
      </c>
      <c r="C5662" s="9">
        <v>45748</v>
      </c>
      <c r="D5662">
        <v>43</v>
      </c>
      <c r="E5662" s="16" t="s">
        <v>134</v>
      </c>
      <c r="F5662" s="16" t="s">
        <v>92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63</v>
      </c>
      <c r="C5663" s="9">
        <v>45778</v>
      </c>
      <c r="D5663">
        <v>43</v>
      </c>
      <c r="E5663" s="16" t="s">
        <v>134</v>
      </c>
      <c r="F5663" s="16" t="s">
        <v>92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63</v>
      </c>
      <c r="C5664" s="9">
        <v>45809</v>
      </c>
      <c r="D5664">
        <v>43</v>
      </c>
      <c r="E5664" s="16" t="s">
        <v>134</v>
      </c>
      <c r="F5664" s="16" t="s">
        <v>92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63</v>
      </c>
      <c r="C5665" s="9">
        <v>45839</v>
      </c>
      <c r="D5665">
        <v>43</v>
      </c>
      <c r="E5665" s="16" t="s">
        <v>134</v>
      </c>
      <c r="F5665" s="16" t="s">
        <v>92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63</v>
      </c>
      <c r="C5666" s="9">
        <v>45870</v>
      </c>
      <c r="D5666">
        <v>43</v>
      </c>
      <c r="E5666" s="16" t="s">
        <v>134</v>
      </c>
      <c r="F5666" s="16" t="s">
        <v>92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63</v>
      </c>
      <c r="C5667" s="9">
        <v>45931</v>
      </c>
      <c r="D5667">
        <v>43</v>
      </c>
      <c r="E5667" s="16" t="s">
        <v>134</v>
      </c>
      <c r="F5667" s="16" t="s">
        <v>92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63</v>
      </c>
      <c r="C5668" s="9">
        <v>45962</v>
      </c>
      <c r="D5668">
        <v>43</v>
      </c>
      <c r="E5668" s="16" t="s">
        <v>134</v>
      </c>
      <c r="F5668" s="16" t="s">
        <v>92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63</v>
      </c>
      <c r="C5669" s="9">
        <v>45992</v>
      </c>
      <c r="D5669">
        <v>43</v>
      </c>
      <c r="E5669" s="16" t="s">
        <v>134</v>
      </c>
      <c r="F5669" s="16" t="s">
        <v>92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63</v>
      </c>
      <c r="C5670" s="9">
        <v>46023</v>
      </c>
      <c r="D5670">
        <v>43</v>
      </c>
      <c r="E5670" s="16" t="s">
        <v>134</v>
      </c>
      <c r="F5670" s="16" t="s">
        <v>92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63</v>
      </c>
      <c r="C5671" s="9">
        <v>46054</v>
      </c>
      <c r="D5671">
        <v>43</v>
      </c>
      <c r="E5671" s="16" t="s">
        <v>134</v>
      </c>
      <c r="F5671" s="16" t="s">
        <v>92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63</v>
      </c>
      <c r="C5672" s="9">
        <v>46082</v>
      </c>
      <c r="D5672">
        <v>43</v>
      </c>
      <c r="E5672" s="16" t="s">
        <v>134</v>
      </c>
      <c r="F5672" s="16" t="s">
        <v>92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63</v>
      </c>
      <c r="C5673" s="9">
        <v>46113</v>
      </c>
      <c r="D5673">
        <v>43</v>
      </c>
      <c r="E5673" s="16" t="s">
        <v>134</v>
      </c>
      <c r="F5673" s="16" t="s">
        <v>92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63</v>
      </c>
      <c r="C5674" s="9">
        <v>46143</v>
      </c>
      <c r="D5674">
        <v>43</v>
      </c>
      <c r="E5674" s="16" t="s">
        <v>134</v>
      </c>
      <c r="F5674" s="16" t="s">
        <v>92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63</v>
      </c>
      <c r="C5675" s="9">
        <v>46174</v>
      </c>
      <c r="D5675">
        <v>43</v>
      </c>
      <c r="E5675" s="16" t="s">
        <v>134</v>
      </c>
      <c r="F5675" s="16" t="s">
        <v>92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63</v>
      </c>
      <c r="C5676" s="9">
        <v>46235</v>
      </c>
      <c r="D5676">
        <v>43</v>
      </c>
      <c r="E5676" s="16" t="s">
        <v>134</v>
      </c>
      <c r="F5676" s="16" t="s">
        <v>92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63</v>
      </c>
      <c r="C5677" s="9">
        <v>46266</v>
      </c>
      <c r="D5677">
        <v>43</v>
      </c>
      <c r="E5677" s="16" t="s">
        <v>134</v>
      </c>
      <c r="F5677" s="16" t="s">
        <v>92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63</v>
      </c>
      <c r="C5678" s="9">
        <v>45689</v>
      </c>
      <c r="D5678">
        <v>44</v>
      </c>
      <c r="E5678" s="16" t="s">
        <v>135</v>
      </c>
      <c r="F5678" s="16" t="s">
        <v>92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63</v>
      </c>
      <c r="C5679" s="9">
        <v>45717</v>
      </c>
      <c r="D5679">
        <v>44</v>
      </c>
      <c r="E5679" s="16" t="s">
        <v>135</v>
      </c>
      <c r="F5679" s="16" t="s">
        <v>92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63</v>
      </c>
      <c r="C5680" s="9">
        <v>45748</v>
      </c>
      <c r="D5680">
        <v>44</v>
      </c>
      <c r="E5680" s="16" t="s">
        <v>135</v>
      </c>
      <c r="F5680" s="16" t="s">
        <v>92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63</v>
      </c>
      <c r="C5681" s="9">
        <v>45778</v>
      </c>
      <c r="D5681">
        <v>44</v>
      </c>
      <c r="E5681" s="16" t="s">
        <v>135</v>
      </c>
      <c r="F5681" s="16" t="s">
        <v>92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63</v>
      </c>
      <c r="C5682" s="9">
        <v>45809</v>
      </c>
      <c r="D5682">
        <v>44</v>
      </c>
      <c r="E5682" s="16" t="s">
        <v>135</v>
      </c>
      <c r="F5682" s="16" t="s">
        <v>92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63</v>
      </c>
      <c r="C5683" s="9">
        <v>45839</v>
      </c>
      <c r="D5683">
        <v>44</v>
      </c>
      <c r="E5683" s="16" t="s">
        <v>135</v>
      </c>
      <c r="F5683" s="16" t="s">
        <v>92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63</v>
      </c>
      <c r="C5684" s="9">
        <v>45870</v>
      </c>
      <c r="D5684">
        <v>44</v>
      </c>
      <c r="E5684" s="16" t="s">
        <v>135</v>
      </c>
      <c r="F5684" s="16" t="s">
        <v>92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63</v>
      </c>
      <c r="C5685" s="9">
        <v>45901</v>
      </c>
      <c r="D5685">
        <v>44</v>
      </c>
      <c r="E5685" s="16" t="s">
        <v>135</v>
      </c>
      <c r="F5685" s="16" t="s">
        <v>92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63</v>
      </c>
      <c r="C5686" s="9">
        <v>45931</v>
      </c>
      <c r="D5686">
        <v>44</v>
      </c>
      <c r="E5686" s="16" t="s">
        <v>135</v>
      </c>
      <c r="F5686" s="16" t="s">
        <v>92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63</v>
      </c>
      <c r="C5687" s="9">
        <v>45962</v>
      </c>
      <c r="D5687">
        <v>44</v>
      </c>
      <c r="E5687" s="16" t="s">
        <v>135</v>
      </c>
      <c r="F5687" s="16" t="s">
        <v>92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63</v>
      </c>
      <c r="C5688" s="9">
        <v>45992</v>
      </c>
      <c r="D5688">
        <v>44</v>
      </c>
      <c r="E5688" s="16" t="s">
        <v>135</v>
      </c>
      <c r="F5688" s="16" t="s">
        <v>92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63</v>
      </c>
      <c r="C5689" s="9">
        <v>46023</v>
      </c>
      <c r="D5689">
        <v>44</v>
      </c>
      <c r="E5689" s="16" t="s">
        <v>135</v>
      </c>
      <c r="F5689" s="16" t="s">
        <v>92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63</v>
      </c>
      <c r="C5690" s="9">
        <v>46054</v>
      </c>
      <c r="D5690">
        <v>44</v>
      </c>
      <c r="E5690" s="16" t="s">
        <v>135</v>
      </c>
      <c r="F5690" s="16" t="s">
        <v>92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63</v>
      </c>
      <c r="C5691" s="9">
        <v>46082</v>
      </c>
      <c r="D5691">
        <v>44</v>
      </c>
      <c r="E5691" s="16" t="s">
        <v>135</v>
      </c>
      <c r="F5691" s="16" t="s">
        <v>92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63</v>
      </c>
      <c r="C5692" s="9">
        <v>46113</v>
      </c>
      <c r="D5692">
        <v>44</v>
      </c>
      <c r="E5692" s="16" t="s">
        <v>135</v>
      </c>
      <c r="F5692" s="16" t="s">
        <v>92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63</v>
      </c>
      <c r="C5693" s="9">
        <v>46143</v>
      </c>
      <c r="D5693">
        <v>44</v>
      </c>
      <c r="E5693" s="16" t="s">
        <v>135</v>
      </c>
      <c r="F5693" s="16" t="s">
        <v>92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63</v>
      </c>
      <c r="C5694" s="9">
        <v>46174</v>
      </c>
      <c r="D5694">
        <v>44</v>
      </c>
      <c r="E5694" s="16" t="s">
        <v>135</v>
      </c>
      <c r="F5694" s="16" t="s">
        <v>92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63</v>
      </c>
      <c r="C5695" s="9">
        <v>46204</v>
      </c>
      <c r="D5695">
        <v>44</v>
      </c>
      <c r="E5695" s="16" t="s">
        <v>135</v>
      </c>
      <c r="F5695" s="16" t="s">
        <v>92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63</v>
      </c>
      <c r="C5696" s="9">
        <v>46235</v>
      </c>
      <c r="D5696">
        <v>44</v>
      </c>
      <c r="E5696" s="16" t="s">
        <v>135</v>
      </c>
      <c r="F5696" s="16" t="s">
        <v>92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63</v>
      </c>
      <c r="C5697" s="9">
        <v>46266</v>
      </c>
      <c r="D5697">
        <v>44</v>
      </c>
      <c r="E5697" s="16" t="s">
        <v>135</v>
      </c>
      <c r="F5697" s="16" t="s">
        <v>92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63</v>
      </c>
      <c r="C5698" s="9">
        <v>45689</v>
      </c>
      <c r="D5698">
        <v>45</v>
      </c>
      <c r="E5698" s="16" t="s">
        <v>136</v>
      </c>
      <c r="F5698" s="16" t="s">
        <v>85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63</v>
      </c>
      <c r="C5699" s="9">
        <v>45717</v>
      </c>
      <c r="D5699">
        <v>45</v>
      </c>
      <c r="E5699" s="16" t="s">
        <v>136</v>
      </c>
      <c r="F5699" s="16" t="s">
        <v>85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63</v>
      </c>
      <c r="C5700" s="9">
        <v>45748</v>
      </c>
      <c r="D5700">
        <v>45</v>
      </c>
      <c r="E5700" s="16" t="s">
        <v>136</v>
      </c>
      <c r="F5700" s="16" t="s">
        <v>85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63</v>
      </c>
      <c r="C5701" s="9">
        <v>45778</v>
      </c>
      <c r="D5701">
        <v>45</v>
      </c>
      <c r="E5701" s="16" t="s">
        <v>136</v>
      </c>
      <c r="F5701" s="16" t="s">
        <v>85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63</v>
      </c>
      <c r="C5702" s="9">
        <v>45809</v>
      </c>
      <c r="D5702">
        <v>45</v>
      </c>
      <c r="E5702" s="16" t="s">
        <v>136</v>
      </c>
      <c r="F5702" s="16" t="s">
        <v>85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63</v>
      </c>
      <c r="C5703" s="9">
        <v>45839</v>
      </c>
      <c r="D5703">
        <v>45</v>
      </c>
      <c r="E5703" s="16" t="s">
        <v>136</v>
      </c>
      <c r="F5703" s="16" t="s">
        <v>85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63</v>
      </c>
      <c r="C5704" s="9">
        <v>45870</v>
      </c>
      <c r="D5704">
        <v>45</v>
      </c>
      <c r="E5704" s="16" t="s">
        <v>136</v>
      </c>
      <c r="F5704" s="16" t="s">
        <v>85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63</v>
      </c>
      <c r="C5705" s="9">
        <v>45901</v>
      </c>
      <c r="D5705">
        <v>45</v>
      </c>
      <c r="E5705" s="16" t="s">
        <v>136</v>
      </c>
      <c r="F5705" s="16" t="s">
        <v>85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63</v>
      </c>
      <c r="C5706" s="9">
        <v>45931</v>
      </c>
      <c r="D5706">
        <v>45</v>
      </c>
      <c r="E5706" s="16" t="s">
        <v>136</v>
      </c>
      <c r="F5706" s="16" t="s">
        <v>85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63</v>
      </c>
      <c r="C5707" s="9">
        <v>45962</v>
      </c>
      <c r="D5707">
        <v>45</v>
      </c>
      <c r="E5707" s="16" t="s">
        <v>136</v>
      </c>
      <c r="F5707" s="16" t="s">
        <v>85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63</v>
      </c>
      <c r="C5708" s="9">
        <v>45992</v>
      </c>
      <c r="D5708">
        <v>45</v>
      </c>
      <c r="E5708" s="16" t="s">
        <v>136</v>
      </c>
      <c r="F5708" s="16" t="s">
        <v>85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63</v>
      </c>
      <c r="C5709" s="9">
        <v>46023</v>
      </c>
      <c r="D5709">
        <v>45</v>
      </c>
      <c r="E5709" s="16" t="s">
        <v>136</v>
      </c>
      <c r="F5709" s="16" t="s">
        <v>85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63</v>
      </c>
      <c r="C5710" s="9">
        <v>46054</v>
      </c>
      <c r="D5710">
        <v>45</v>
      </c>
      <c r="E5710" s="16" t="s">
        <v>136</v>
      </c>
      <c r="F5710" s="16" t="s">
        <v>85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63</v>
      </c>
      <c r="C5711" s="9">
        <v>46082</v>
      </c>
      <c r="D5711">
        <v>45</v>
      </c>
      <c r="E5711" s="16" t="s">
        <v>136</v>
      </c>
      <c r="F5711" s="16" t="s">
        <v>85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63</v>
      </c>
      <c r="C5712" s="9">
        <v>46113</v>
      </c>
      <c r="D5712">
        <v>45</v>
      </c>
      <c r="E5712" s="16" t="s">
        <v>136</v>
      </c>
      <c r="F5712" s="16" t="s">
        <v>85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63</v>
      </c>
      <c r="C5713" s="9">
        <v>46143</v>
      </c>
      <c r="D5713">
        <v>45</v>
      </c>
      <c r="E5713" s="16" t="s">
        <v>136</v>
      </c>
      <c r="F5713" s="16" t="s">
        <v>85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63</v>
      </c>
      <c r="C5714" s="9">
        <v>46174</v>
      </c>
      <c r="D5714">
        <v>45</v>
      </c>
      <c r="E5714" s="16" t="s">
        <v>136</v>
      </c>
      <c r="F5714" s="16" t="s">
        <v>85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63</v>
      </c>
      <c r="C5715" s="9">
        <v>46204</v>
      </c>
      <c r="D5715">
        <v>45</v>
      </c>
      <c r="E5715" s="16" t="s">
        <v>136</v>
      </c>
      <c r="F5715" s="16" t="s">
        <v>85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63</v>
      </c>
      <c r="C5716" s="9">
        <v>46235</v>
      </c>
      <c r="D5716">
        <v>45</v>
      </c>
      <c r="E5716" s="16" t="s">
        <v>136</v>
      </c>
      <c r="F5716" s="16" t="s">
        <v>85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63</v>
      </c>
      <c r="C5717" s="9">
        <v>46266</v>
      </c>
      <c r="D5717">
        <v>45</v>
      </c>
      <c r="E5717" s="16" t="s">
        <v>136</v>
      </c>
      <c r="F5717" s="16" t="s">
        <v>85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63</v>
      </c>
      <c r="C5718" s="9">
        <v>45689</v>
      </c>
      <c r="D5718">
        <v>46</v>
      </c>
      <c r="E5718" s="16" t="s">
        <v>137</v>
      </c>
      <c r="F5718" s="16" t="s">
        <v>110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63</v>
      </c>
      <c r="C5719" s="9">
        <v>45717</v>
      </c>
      <c r="D5719">
        <v>46</v>
      </c>
      <c r="E5719" s="16" t="s">
        <v>137</v>
      </c>
      <c r="F5719" s="16" t="s">
        <v>110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63</v>
      </c>
      <c r="C5720" s="9">
        <v>45748</v>
      </c>
      <c r="D5720">
        <v>46</v>
      </c>
      <c r="E5720" s="16" t="s">
        <v>137</v>
      </c>
      <c r="F5720" s="16" t="s">
        <v>110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63</v>
      </c>
      <c r="C5721" s="9">
        <v>45778</v>
      </c>
      <c r="D5721">
        <v>46</v>
      </c>
      <c r="E5721" s="16" t="s">
        <v>137</v>
      </c>
      <c r="F5721" s="16" t="s">
        <v>110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63</v>
      </c>
      <c r="C5722" s="9">
        <v>45809</v>
      </c>
      <c r="D5722">
        <v>46</v>
      </c>
      <c r="E5722" s="16" t="s">
        <v>137</v>
      </c>
      <c r="F5722" s="16" t="s">
        <v>110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63</v>
      </c>
      <c r="C5723" s="9">
        <v>45839</v>
      </c>
      <c r="D5723">
        <v>46</v>
      </c>
      <c r="E5723" s="16" t="s">
        <v>137</v>
      </c>
      <c r="F5723" s="16" t="s">
        <v>110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63</v>
      </c>
      <c r="C5724" s="9">
        <v>45870</v>
      </c>
      <c r="D5724">
        <v>46</v>
      </c>
      <c r="E5724" s="16" t="s">
        <v>137</v>
      </c>
      <c r="F5724" s="16" t="s">
        <v>110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63</v>
      </c>
      <c r="C5725" s="9">
        <v>45901</v>
      </c>
      <c r="D5725">
        <v>46</v>
      </c>
      <c r="E5725" s="16" t="s">
        <v>137</v>
      </c>
      <c r="F5725" s="16" t="s">
        <v>110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63</v>
      </c>
      <c r="C5726" s="9">
        <v>45931</v>
      </c>
      <c r="D5726">
        <v>46</v>
      </c>
      <c r="E5726" s="16" t="s">
        <v>137</v>
      </c>
      <c r="F5726" s="16" t="s">
        <v>110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63</v>
      </c>
      <c r="C5727" s="9">
        <v>45962</v>
      </c>
      <c r="D5727">
        <v>46</v>
      </c>
      <c r="E5727" s="16" t="s">
        <v>137</v>
      </c>
      <c r="F5727" s="16" t="s">
        <v>110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63</v>
      </c>
      <c r="C5728" s="9">
        <v>45992</v>
      </c>
      <c r="D5728">
        <v>46</v>
      </c>
      <c r="E5728" s="16" t="s">
        <v>137</v>
      </c>
      <c r="F5728" s="16" t="s">
        <v>110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63</v>
      </c>
      <c r="C5729" s="9">
        <v>46023</v>
      </c>
      <c r="D5729">
        <v>46</v>
      </c>
      <c r="E5729" s="16" t="s">
        <v>137</v>
      </c>
      <c r="F5729" s="16" t="s">
        <v>110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63</v>
      </c>
      <c r="C5730" s="9">
        <v>46054</v>
      </c>
      <c r="D5730">
        <v>46</v>
      </c>
      <c r="E5730" s="16" t="s">
        <v>137</v>
      </c>
      <c r="F5730" s="16" t="s">
        <v>110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63</v>
      </c>
      <c r="C5731" s="9">
        <v>46082</v>
      </c>
      <c r="D5731">
        <v>46</v>
      </c>
      <c r="E5731" s="16" t="s">
        <v>137</v>
      </c>
      <c r="F5731" s="16" t="s">
        <v>110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63</v>
      </c>
      <c r="C5732" s="9">
        <v>46113</v>
      </c>
      <c r="D5732">
        <v>46</v>
      </c>
      <c r="E5732" s="16" t="s">
        <v>137</v>
      </c>
      <c r="F5732" s="16" t="s">
        <v>110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63</v>
      </c>
      <c r="C5733" s="9">
        <v>46143</v>
      </c>
      <c r="D5733">
        <v>46</v>
      </c>
      <c r="E5733" s="16" t="s">
        <v>137</v>
      </c>
      <c r="F5733" s="16" t="s">
        <v>110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63</v>
      </c>
      <c r="C5734" s="9">
        <v>46174</v>
      </c>
      <c r="D5734">
        <v>46</v>
      </c>
      <c r="E5734" s="16" t="s">
        <v>137</v>
      </c>
      <c r="F5734" s="16" t="s">
        <v>110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63</v>
      </c>
      <c r="C5735" s="9">
        <v>46204</v>
      </c>
      <c r="D5735">
        <v>46</v>
      </c>
      <c r="E5735" s="16" t="s">
        <v>137</v>
      </c>
      <c r="F5735" s="16" t="s">
        <v>110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63</v>
      </c>
      <c r="C5736" s="9">
        <v>46235</v>
      </c>
      <c r="D5736">
        <v>46</v>
      </c>
      <c r="E5736" s="16" t="s">
        <v>137</v>
      </c>
      <c r="F5736" s="16" t="s">
        <v>110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63</v>
      </c>
      <c r="C5737" s="9">
        <v>46266</v>
      </c>
      <c r="D5737">
        <v>46</v>
      </c>
      <c r="E5737" s="16" t="s">
        <v>137</v>
      </c>
      <c r="F5737" s="16" t="s">
        <v>110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63</v>
      </c>
      <c r="C5738" s="9">
        <v>45689</v>
      </c>
      <c r="D5738">
        <v>47</v>
      </c>
      <c r="E5738" s="16" t="s">
        <v>138</v>
      </c>
      <c r="F5738" s="16" t="s">
        <v>94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63</v>
      </c>
      <c r="C5739" s="9">
        <v>45717</v>
      </c>
      <c r="D5739">
        <v>47</v>
      </c>
      <c r="E5739" s="16" t="s">
        <v>138</v>
      </c>
      <c r="F5739" s="16" t="s">
        <v>94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63</v>
      </c>
      <c r="C5740" s="9">
        <v>45748</v>
      </c>
      <c r="D5740">
        <v>47</v>
      </c>
      <c r="E5740" s="16" t="s">
        <v>138</v>
      </c>
      <c r="F5740" s="16" t="s">
        <v>94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63</v>
      </c>
      <c r="C5741" s="9">
        <v>45778</v>
      </c>
      <c r="D5741">
        <v>47</v>
      </c>
      <c r="E5741" s="16" t="s">
        <v>138</v>
      </c>
      <c r="F5741" s="16" t="s">
        <v>94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63</v>
      </c>
      <c r="C5742" s="9">
        <v>45809</v>
      </c>
      <c r="D5742">
        <v>47</v>
      </c>
      <c r="E5742" s="16" t="s">
        <v>138</v>
      </c>
      <c r="F5742" s="16" t="s">
        <v>94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63</v>
      </c>
      <c r="C5743" s="9">
        <v>45839</v>
      </c>
      <c r="D5743">
        <v>47</v>
      </c>
      <c r="E5743" s="16" t="s">
        <v>138</v>
      </c>
      <c r="F5743" s="16" t="s">
        <v>94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63</v>
      </c>
      <c r="C5744" s="9">
        <v>45870</v>
      </c>
      <c r="D5744">
        <v>47</v>
      </c>
      <c r="E5744" s="16" t="s">
        <v>138</v>
      </c>
      <c r="F5744" s="16" t="s">
        <v>94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63</v>
      </c>
      <c r="C5745" s="9">
        <v>45901</v>
      </c>
      <c r="D5745">
        <v>47</v>
      </c>
      <c r="E5745" s="16" t="s">
        <v>138</v>
      </c>
      <c r="F5745" s="16" t="s">
        <v>94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63</v>
      </c>
      <c r="C5746" s="9">
        <v>45931</v>
      </c>
      <c r="D5746">
        <v>47</v>
      </c>
      <c r="E5746" s="16" t="s">
        <v>138</v>
      </c>
      <c r="F5746" s="16" t="s">
        <v>94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63</v>
      </c>
      <c r="C5747" s="9">
        <v>45962</v>
      </c>
      <c r="D5747">
        <v>47</v>
      </c>
      <c r="E5747" s="16" t="s">
        <v>138</v>
      </c>
      <c r="F5747" s="16" t="s">
        <v>94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63</v>
      </c>
      <c r="C5748" s="9">
        <v>45992</v>
      </c>
      <c r="D5748">
        <v>47</v>
      </c>
      <c r="E5748" s="16" t="s">
        <v>138</v>
      </c>
      <c r="F5748" s="16" t="s">
        <v>94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63</v>
      </c>
      <c r="C5749" s="9">
        <v>46023</v>
      </c>
      <c r="D5749">
        <v>47</v>
      </c>
      <c r="E5749" s="16" t="s">
        <v>138</v>
      </c>
      <c r="F5749" s="16" t="s">
        <v>94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63</v>
      </c>
      <c r="C5750" s="9">
        <v>46054</v>
      </c>
      <c r="D5750">
        <v>47</v>
      </c>
      <c r="E5750" s="16" t="s">
        <v>138</v>
      </c>
      <c r="F5750" s="16" t="s">
        <v>94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63</v>
      </c>
      <c r="C5751" s="9">
        <v>46082</v>
      </c>
      <c r="D5751">
        <v>47</v>
      </c>
      <c r="E5751" s="16" t="s">
        <v>138</v>
      </c>
      <c r="F5751" s="16" t="s">
        <v>94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63</v>
      </c>
      <c r="C5752" s="9">
        <v>46113</v>
      </c>
      <c r="D5752">
        <v>47</v>
      </c>
      <c r="E5752" s="16" t="s">
        <v>138</v>
      </c>
      <c r="F5752" s="16" t="s">
        <v>94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63</v>
      </c>
      <c r="C5753" s="9">
        <v>46143</v>
      </c>
      <c r="D5753">
        <v>47</v>
      </c>
      <c r="E5753" s="16" t="s">
        <v>138</v>
      </c>
      <c r="F5753" s="16" t="s">
        <v>94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63</v>
      </c>
      <c r="C5754" s="9">
        <v>46174</v>
      </c>
      <c r="D5754">
        <v>47</v>
      </c>
      <c r="E5754" s="16" t="s">
        <v>138</v>
      </c>
      <c r="F5754" s="16" t="s">
        <v>94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63</v>
      </c>
      <c r="C5755" s="9">
        <v>46204</v>
      </c>
      <c r="D5755">
        <v>47</v>
      </c>
      <c r="E5755" s="16" t="s">
        <v>138</v>
      </c>
      <c r="F5755" s="16" t="s">
        <v>94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63</v>
      </c>
      <c r="C5756" s="9">
        <v>46235</v>
      </c>
      <c r="D5756">
        <v>47</v>
      </c>
      <c r="E5756" s="16" t="s">
        <v>138</v>
      </c>
      <c r="F5756" s="16" t="s">
        <v>94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63</v>
      </c>
      <c r="C5757" s="9">
        <v>46266</v>
      </c>
      <c r="D5757">
        <v>47</v>
      </c>
      <c r="E5757" s="16" t="s">
        <v>138</v>
      </c>
      <c r="F5757" s="16" t="s">
        <v>94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63</v>
      </c>
      <c r="C5758" s="9">
        <v>45689</v>
      </c>
      <c r="D5758">
        <v>48</v>
      </c>
      <c r="E5758" s="16" t="s">
        <v>139</v>
      </c>
      <c r="F5758" s="16" t="s">
        <v>140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63</v>
      </c>
      <c r="C5759" s="9">
        <v>45717</v>
      </c>
      <c r="D5759">
        <v>48</v>
      </c>
      <c r="E5759" s="16" t="s">
        <v>139</v>
      </c>
      <c r="F5759" s="16" t="s">
        <v>140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63</v>
      </c>
      <c r="C5760" s="9">
        <v>45748</v>
      </c>
      <c r="D5760">
        <v>48</v>
      </c>
      <c r="E5760" s="16" t="s">
        <v>139</v>
      </c>
      <c r="F5760" s="16" t="s">
        <v>140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63</v>
      </c>
      <c r="C5761" s="9">
        <v>45778</v>
      </c>
      <c r="D5761">
        <v>48</v>
      </c>
      <c r="E5761" s="16" t="s">
        <v>139</v>
      </c>
      <c r="F5761" s="16" t="s">
        <v>140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63</v>
      </c>
      <c r="C5762" s="9">
        <v>45809</v>
      </c>
      <c r="D5762">
        <v>48</v>
      </c>
      <c r="E5762" s="16" t="s">
        <v>139</v>
      </c>
      <c r="F5762" s="16" t="s">
        <v>140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63</v>
      </c>
      <c r="C5763" s="9">
        <v>45839</v>
      </c>
      <c r="D5763">
        <v>48</v>
      </c>
      <c r="E5763" s="16" t="s">
        <v>139</v>
      </c>
      <c r="F5763" s="16" t="s">
        <v>140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63</v>
      </c>
      <c r="C5764" s="9">
        <v>45870</v>
      </c>
      <c r="D5764">
        <v>48</v>
      </c>
      <c r="E5764" s="16" t="s">
        <v>139</v>
      </c>
      <c r="F5764" s="16" t="s">
        <v>140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63</v>
      </c>
      <c r="C5765" s="9">
        <v>45901</v>
      </c>
      <c r="D5765">
        <v>48</v>
      </c>
      <c r="E5765" s="16" t="s">
        <v>139</v>
      </c>
      <c r="F5765" s="16" t="s">
        <v>140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63</v>
      </c>
      <c r="C5766" s="9">
        <v>45931</v>
      </c>
      <c r="D5766">
        <v>48</v>
      </c>
      <c r="E5766" s="16" t="s">
        <v>139</v>
      </c>
      <c r="F5766" s="16" t="s">
        <v>140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63</v>
      </c>
      <c r="C5767" s="9">
        <v>45962</v>
      </c>
      <c r="D5767">
        <v>48</v>
      </c>
      <c r="E5767" s="16" t="s">
        <v>139</v>
      </c>
      <c r="F5767" s="16" t="s">
        <v>140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63</v>
      </c>
      <c r="C5768" s="9">
        <v>45992</v>
      </c>
      <c r="D5768">
        <v>48</v>
      </c>
      <c r="E5768" s="16" t="s">
        <v>139</v>
      </c>
      <c r="F5768" s="16" t="s">
        <v>140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63</v>
      </c>
      <c r="C5769" s="9">
        <v>46023</v>
      </c>
      <c r="D5769">
        <v>48</v>
      </c>
      <c r="E5769" s="16" t="s">
        <v>139</v>
      </c>
      <c r="F5769" s="16" t="s">
        <v>140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63</v>
      </c>
      <c r="C5770" s="9">
        <v>46054</v>
      </c>
      <c r="D5770">
        <v>48</v>
      </c>
      <c r="E5770" s="16" t="s">
        <v>139</v>
      </c>
      <c r="F5770" s="16" t="s">
        <v>140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63</v>
      </c>
      <c r="C5771" s="9">
        <v>46082</v>
      </c>
      <c r="D5771">
        <v>48</v>
      </c>
      <c r="E5771" s="16" t="s">
        <v>139</v>
      </c>
      <c r="F5771" s="16" t="s">
        <v>140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63</v>
      </c>
      <c r="C5772" s="9">
        <v>46113</v>
      </c>
      <c r="D5772">
        <v>48</v>
      </c>
      <c r="E5772" s="16" t="s">
        <v>139</v>
      </c>
      <c r="F5772" s="16" t="s">
        <v>140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63</v>
      </c>
      <c r="C5773" s="9">
        <v>46143</v>
      </c>
      <c r="D5773">
        <v>48</v>
      </c>
      <c r="E5773" s="16" t="s">
        <v>139</v>
      </c>
      <c r="F5773" s="16" t="s">
        <v>140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63</v>
      </c>
      <c r="C5774" s="9">
        <v>46174</v>
      </c>
      <c r="D5774">
        <v>48</v>
      </c>
      <c r="E5774" s="16" t="s">
        <v>139</v>
      </c>
      <c r="F5774" s="16" t="s">
        <v>140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63</v>
      </c>
      <c r="C5775" s="9">
        <v>46204</v>
      </c>
      <c r="D5775">
        <v>48</v>
      </c>
      <c r="E5775" s="16" t="s">
        <v>139</v>
      </c>
      <c r="F5775" s="16" t="s">
        <v>140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63</v>
      </c>
      <c r="C5776" s="9">
        <v>46235</v>
      </c>
      <c r="D5776">
        <v>48</v>
      </c>
      <c r="E5776" s="16" t="s">
        <v>139</v>
      </c>
      <c r="F5776" s="16" t="s">
        <v>140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63</v>
      </c>
      <c r="C5777" s="9">
        <v>46266</v>
      </c>
      <c r="D5777">
        <v>48</v>
      </c>
      <c r="E5777" s="16" t="s">
        <v>139</v>
      </c>
      <c r="F5777" s="16" t="s">
        <v>140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63</v>
      </c>
      <c r="C5778" s="9">
        <v>45689</v>
      </c>
      <c r="D5778">
        <v>49</v>
      </c>
      <c r="E5778" s="16" t="s">
        <v>141</v>
      </c>
      <c r="F5778" s="16" t="s">
        <v>140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63</v>
      </c>
      <c r="C5779" s="9">
        <v>45717</v>
      </c>
      <c r="D5779">
        <v>49</v>
      </c>
      <c r="E5779" s="16" t="s">
        <v>141</v>
      </c>
      <c r="F5779" s="16" t="s">
        <v>140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63</v>
      </c>
      <c r="C5780" s="9">
        <v>45748</v>
      </c>
      <c r="D5780">
        <v>49</v>
      </c>
      <c r="E5780" s="16" t="s">
        <v>141</v>
      </c>
      <c r="F5780" s="16" t="s">
        <v>140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63</v>
      </c>
      <c r="C5781" s="9">
        <v>45778</v>
      </c>
      <c r="D5781">
        <v>49</v>
      </c>
      <c r="E5781" s="16" t="s">
        <v>141</v>
      </c>
      <c r="F5781" s="16" t="s">
        <v>140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63</v>
      </c>
      <c r="C5782" s="9">
        <v>45809</v>
      </c>
      <c r="D5782">
        <v>49</v>
      </c>
      <c r="E5782" s="16" t="s">
        <v>141</v>
      </c>
      <c r="F5782" s="16" t="s">
        <v>140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63</v>
      </c>
      <c r="C5783" s="9">
        <v>45839</v>
      </c>
      <c r="D5783">
        <v>49</v>
      </c>
      <c r="E5783" s="16" t="s">
        <v>141</v>
      </c>
      <c r="F5783" s="16" t="s">
        <v>140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63</v>
      </c>
      <c r="C5784" s="9">
        <v>45870</v>
      </c>
      <c r="D5784">
        <v>49</v>
      </c>
      <c r="E5784" s="16" t="s">
        <v>141</v>
      </c>
      <c r="F5784" s="16" t="s">
        <v>140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63</v>
      </c>
      <c r="C5785" s="9">
        <v>45901</v>
      </c>
      <c r="D5785">
        <v>49</v>
      </c>
      <c r="E5785" s="16" t="s">
        <v>141</v>
      </c>
      <c r="F5785" s="16" t="s">
        <v>140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63</v>
      </c>
      <c r="C5786" s="9">
        <v>45931</v>
      </c>
      <c r="D5786">
        <v>49</v>
      </c>
      <c r="E5786" s="16" t="s">
        <v>141</v>
      </c>
      <c r="F5786" s="16" t="s">
        <v>140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63</v>
      </c>
      <c r="C5787" s="9">
        <v>45962</v>
      </c>
      <c r="D5787">
        <v>49</v>
      </c>
      <c r="E5787" s="16" t="s">
        <v>141</v>
      </c>
      <c r="F5787" s="16" t="s">
        <v>140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63</v>
      </c>
      <c r="C5788" s="9">
        <v>45992</v>
      </c>
      <c r="D5788">
        <v>49</v>
      </c>
      <c r="E5788" s="16" t="s">
        <v>141</v>
      </c>
      <c r="F5788" s="16" t="s">
        <v>140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63</v>
      </c>
      <c r="C5789" s="9">
        <v>46023</v>
      </c>
      <c r="D5789">
        <v>49</v>
      </c>
      <c r="E5789" s="16" t="s">
        <v>141</v>
      </c>
      <c r="F5789" s="16" t="s">
        <v>140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63</v>
      </c>
      <c r="C5790" s="9">
        <v>46054</v>
      </c>
      <c r="D5790">
        <v>49</v>
      </c>
      <c r="E5790" s="16" t="s">
        <v>141</v>
      </c>
      <c r="F5790" s="16" t="s">
        <v>140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63</v>
      </c>
      <c r="C5791" s="9">
        <v>46082</v>
      </c>
      <c r="D5791">
        <v>49</v>
      </c>
      <c r="E5791" s="16" t="s">
        <v>141</v>
      </c>
      <c r="F5791" s="16" t="s">
        <v>140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63</v>
      </c>
      <c r="C5792" s="9">
        <v>46113</v>
      </c>
      <c r="D5792">
        <v>49</v>
      </c>
      <c r="E5792" s="16" t="s">
        <v>141</v>
      </c>
      <c r="F5792" s="16" t="s">
        <v>140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63</v>
      </c>
      <c r="C5793" s="9">
        <v>46143</v>
      </c>
      <c r="D5793">
        <v>49</v>
      </c>
      <c r="E5793" s="16" t="s">
        <v>141</v>
      </c>
      <c r="F5793" s="16" t="s">
        <v>140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63</v>
      </c>
      <c r="C5794" s="9">
        <v>46174</v>
      </c>
      <c r="D5794">
        <v>49</v>
      </c>
      <c r="E5794" s="16" t="s">
        <v>141</v>
      </c>
      <c r="F5794" s="16" t="s">
        <v>140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63</v>
      </c>
      <c r="C5795" s="9">
        <v>46204</v>
      </c>
      <c r="D5795">
        <v>49</v>
      </c>
      <c r="E5795" s="16" t="s">
        <v>141</v>
      </c>
      <c r="F5795" s="16" t="s">
        <v>140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63</v>
      </c>
      <c r="C5796" s="9">
        <v>46235</v>
      </c>
      <c r="D5796">
        <v>49</v>
      </c>
      <c r="E5796" s="16" t="s">
        <v>141</v>
      </c>
      <c r="F5796" s="16" t="s">
        <v>140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63</v>
      </c>
      <c r="C5797" s="9">
        <v>46266</v>
      </c>
      <c r="D5797">
        <v>49</v>
      </c>
      <c r="E5797" s="16" t="s">
        <v>141</v>
      </c>
      <c r="F5797" s="16" t="s">
        <v>140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63</v>
      </c>
      <c r="C5798" s="9">
        <v>45689</v>
      </c>
      <c r="D5798">
        <v>50</v>
      </c>
      <c r="E5798" s="16" t="s">
        <v>142</v>
      </c>
      <c r="F5798" s="16" t="s">
        <v>140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63</v>
      </c>
      <c r="C5799" s="9">
        <v>45717</v>
      </c>
      <c r="D5799">
        <v>50</v>
      </c>
      <c r="E5799" s="16" t="s">
        <v>142</v>
      </c>
      <c r="F5799" s="16" t="s">
        <v>140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63</v>
      </c>
      <c r="C5800" s="9">
        <v>45748</v>
      </c>
      <c r="D5800">
        <v>50</v>
      </c>
      <c r="E5800" s="16" t="s">
        <v>142</v>
      </c>
      <c r="F5800" s="16" t="s">
        <v>140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63</v>
      </c>
      <c r="C5801" s="9">
        <v>45778</v>
      </c>
      <c r="D5801">
        <v>50</v>
      </c>
      <c r="E5801" s="16" t="s">
        <v>142</v>
      </c>
      <c r="F5801" s="16" t="s">
        <v>140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63</v>
      </c>
      <c r="C5802" s="9">
        <v>45809</v>
      </c>
      <c r="D5802">
        <v>50</v>
      </c>
      <c r="E5802" s="16" t="s">
        <v>142</v>
      </c>
      <c r="F5802" s="16" t="s">
        <v>140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63</v>
      </c>
      <c r="C5803" s="9">
        <v>45839</v>
      </c>
      <c r="D5803">
        <v>50</v>
      </c>
      <c r="E5803" s="16" t="s">
        <v>142</v>
      </c>
      <c r="F5803" s="16" t="s">
        <v>140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63</v>
      </c>
      <c r="C5804" s="9">
        <v>45870</v>
      </c>
      <c r="D5804">
        <v>50</v>
      </c>
      <c r="E5804" s="16" t="s">
        <v>142</v>
      </c>
      <c r="F5804" s="16" t="s">
        <v>140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63</v>
      </c>
      <c r="C5805" s="9">
        <v>45901</v>
      </c>
      <c r="D5805">
        <v>50</v>
      </c>
      <c r="E5805" s="16" t="s">
        <v>142</v>
      </c>
      <c r="F5805" s="16" t="s">
        <v>140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63</v>
      </c>
      <c r="C5806" s="9">
        <v>45931</v>
      </c>
      <c r="D5806">
        <v>50</v>
      </c>
      <c r="E5806" s="16" t="s">
        <v>142</v>
      </c>
      <c r="F5806" s="16" t="s">
        <v>140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63</v>
      </c>
      <c r="C5807" s="9">
        <v>45962</v>
      </c>
      <c r="D5807">
        <v>50</v>
      </c>
      <c r="E5807" s="16" t="s">
        <v>142</v>
      </c>
      <c r="F5807" s="16" t="s">
        <v>140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63</v>
      </c>
      <c r="C5808" s="9">
        <v>45992</v>
      </c>
      <c r="D5808">
        <v>50</v>
      </c>
      <c r="E5808" s="16" t="s">
        <v>142</v>
      </c>
      <c r="F5808" s="16" t="s">
        <v>140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63</v>
      </c>
      <c r="C5809" s="9">
        <v>46023</v>
      </c>
      <c r="D5809">
        <v>50</v>
      </c>
      <c r="E5809" s="16" t="s">
        <v>142</v>
      </c>
      <c r="F5809" s="16" t="s">
        <v>140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63</v>
      </c>
      <c r="C5810" s="9">
        <v>46054</v>
      </c>
      <c r="D5810">
        <v>50</v>
      </c>
      <c r="E5810" s="16" t="s">
        <v>142</v>
      </c>
      <c r="F5810" s="16" t="s">
        <v>140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63</v>
      </c>
      <c r="C5811" s="9">
        <v>46082</v>
      </c>
      <c r="D5811">
        <v>50</v>
      </c>
      <c r="E5811" s="16" t="s">
        <v>142</v>
      </c>
      <c r="F5811" s="16" t="s">
        <v>140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63</v>
      </c>
      <c r="C5812" s="9">
        <v>46113</v>
      </c>
      <c r="D5812">
        <v>50</v>
      </c>
      <c r="E5812" s="16" t="s">
        <v>142</v>
      </c>
      <c r="F5812" s="16" t="s">
        <v>140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63</v>
      </c>
      <c r="C5813" s="9">
        <v>46143</v>
      </c>
      <c r="D5813">
        <v>50</v>
      </c>
      <c r="E5813" s="16" t="s">
        <v>142</v>
      </c>
      <c r="F5813" s="16" t="s">
        <v>140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63</v>
      </c>
      <c r="C5814" s="9">
        <v>46174</v>
      </c>
      <c r="D5814">
        <v>50</v>
      </c>
      <c r="E5814" s="16" t="s">
        <v>142</v>
      </c>
      <c r="F5814" s="16" t="s">
        <v>140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63</v>
      </c>
      <c r="C5815" s="9">
        <v>46204</v>
      </c>
      <c r="D5815">
        <v>50</v>
      </c>
      <c r="E5815" s="16" t="s">
        <v>142</v>
      </c>
      <c r="F5815" s="16" t="s">
        <v>140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63</v>
      </c>
      <c r="C5816" s="9">
        <v>46235</v>
      </c>
      <c r="D5816">
        <v>50</v>
      </c>
      <c r="E5816" s="16" t="s">
        <v>142</v>
      </c>
      <c r="F5816" s="16" t="s">
        <v>140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63</v>
      </c>
      <c r="C5817" s="9">
        <v>46266</v>
      </c>
      <c r="D5817">
        <v>50</v>
      </c>
      <c r="E5817" s="16" t="s">
        <v>142</v>
      </c>
      <c r="F5817" s="16" t="s">
        <v>140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63</v>
      </c>
      <c r="C5818" s="9">
        <v>45689</v>
      </c>
      <c r="D5818">
        <v>51</v>
      </c>
      <c r="E5818" s="16" t="s">
        <v>143</v>
      </c>
      <c r="F5818" s="16" t="s">
        <v>83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63</v>
      </c>
      <c r="C5819" s="9">
        <v>45717</v>
      </c>
      <c r="D5819">
        <v>51</v>
      </c>
      <c r="E5819" s="16" t="s">
        <v>143</v>
      </c>
      <c r="F5819" s="16" t="s">
        <v>83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63</v>
      </c>
      <c r="C5820" s="9">
        <v>45748</v>
      </c>
      <c r="D5820">
        <v>51</v>
      </c>
      <c r="E5820" s="16" t="s">
        <v>143</v>
      </c>
      <c r="F5820" s="16" t="s">
        <v>83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63</v>
      </c>
      <c r="C5821" s="9">
        <v>45778</v>
      </c>
      <c r="D5821">
        <v>51</v>
      </c>
      <c r="E5821" s="16" t="s">
        <v>143</v>
      </c>
      <c r="F5821" s="16" t="s">
        <v>83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63</v>
      </c>
      <c r="C5822" s="9">
        <v>45809</v>
      </c>
      <c r="D5822">
        <v>51</v>
      </c>
      <c r="E5822" s="16" t="s">
        <v>143</v>
      </c>
      <c r="F5822" s="16" t="s">
        <v>83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63</v>
      </c>
      <c r="C5823" s="9">
        <v>45839</v>
      </c>
      <c r="D5823">
        <v>51</v>
      </c>
      <c r="E5823" s="16" t="s">
        <v>143</v>
      </c>
      <c r="F5823" s="16" t="s">
        <v>83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63</v>
      </c>
      <c r="C5824" s="9">
        <v>45870</v>
      </c>
      <c r="D5824">
        <v>51</v>
      </c>
      <c r="E5824" s="16" t="s">
        <v>143</v>
      </c>
      <c r="F5824" s="16" t="s">
        <v>83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63</v>
      </c>
      <c r="C5825" s="9">
        <v>45901</v>
      </c>
      <c r="D5825">
        <v>51</v>
      </c>
      <c r="E5825" s="16" t="s">
        <v>143</v>
      </c>
      <c r="F5825" s="16" t="s">
        <v>83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63</v>
      </c>
      <c r="C5826" s="9">
        <v>45931</v>
      </c>
      <c r="D5826">
        <v>51</v>
      </c>
      <c r="E5826" s="16" t="s">
        <v>143</v>
      </c>
      <c r="F5826" s="16" t="s">
        <v>83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63</v>
      </c>
      <c r="C5827" s="9">
        <v>45962</v>
      </c>
      <c r="D5827">
        <v>51</v>
      </c>
      <c r="E5827" s="16" t="s">
        <v>143</v>
      </c>
      <c r="F5827" s="16" t="s">
        <v>83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63</v>
      </c>
      <c r="C5828" s="9">
        <v>45992</v>
      </c>
      <c r="D5828">
        <v>51</v>
      </c>
      <c r="E5828" s="16" t="s">
        <v>143</v>
      </c>
      <c r="F5828" s="16" t="s">
        <v>83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63</v>
      </c>
      <c r="C5829" s="9">
        <v>46023</v>
      </c>
      <c r="D5829">
        <v>51</v>
      </c>
      <c r="E5829" s="16" t="s">
        <v>143</v>
      </c>
      <c r="F5829" s="16" t="s">
        <v>83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63</v>
      </c>
      <c r="C5830" s="9">
        <v>46054</v>
      </c>
      <c r="D5830">
        <v>51</v>
      </c>
      <c r="E5830" s="16" t="s">
        <v>143</v>
      </c>
      <c r="F5830" s="16" t="s">
        <v>83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63</v>
      </c>
      <c r="C5831" s="9">
        <v>46082</v>
      </c>
      <c r="D5831">
        <v>51</v>
      </c>
      <c r="E5831" s="16" t="s">
        <v>143</v>
      </c>
      <c r="F5831" s="16" t="s">
        <v>83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63</v>
      </c>
      <c r="C5832" s="9">
        <v>46113</v>
      </c>
      <c r="D5832">
        <v>51</v>
      </c>
      <c r="E5832" s="16" t="s">
        <v>143</v>
      </c>
      <c r="F5832" s="16" t="s">
        <v>83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63</v>
      </c>
      <c r="C5833" s="9">
        <v>46143</v>
      </c>
      <c r="D5833">
        <v>51</v>
      </c>
      <c r="E5833" s="16" t="s">
        <v>143</v>
      </c>
      <c r="F5833" s="16" t="s">
        <v>83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63</v>
      </c>
      <c r="C5834" s="9">
        <v>46174</v>
      </c>
      <c r="D5834">
        <v>51</v>
      </c>
      <c r="E5834" s="16" t="s">
        <v>143</v>
      </c>
      <c r="F5834" s="16" t="s">
        <v>83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63</v>
      </c>
      <c r="C5835" s="9">
        <v>46204</v>
      </c>
      <c r="D5835">
        <v>51</v>
      </c>
      <c r="E5835" s="16" t="s">
        <v>143</v>
      </c>
      <c r="F5835" s="16" t="s">
        <v>83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63</v>
      </c>
      <c r="C5836" s="9">
        <v>46235</v>
      </c>
      <c r="D5836">
        <v>51</v>
      </c>
      <c r="E5836" s="16" t="s">
        <v>143</v>
      </c>
      <c r="F5836" s="16" t="s">
        <v>83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63</v>
      </c>
      <c r="C5837" s="9">
        <v>46266</v>
      </c>
      <c r="D5837">
        <v>51</v>
      </c>
      <c r="E5837" s="16" t="s">
        <v>143</v>
      </c>
      <c r="F5837" s="16" t="s">
        <v>83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63</v>
      </c>
      <c r="C5838" s="9">
        <v>45717</v>
      </c>
      <c r="D5838">
        <v>52</v>
      </c>
      <c r="E5838" s="16" t="s">
        <v>144</v>
      </c>
      <c r="F5838" s="16" t="s">
        <v>110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63</v>
      </c>
      <c r="C5839" s="9">
        <v>45748</v>
      </c>
      <c r="D5839">
        <v>52</v>
      </c>
      <c r="E5839" s="16" t="s">
        <v>144</v>
      </c>
      <c r="F5839" s="16" t="s">
        <v>110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63</v>
      </c>
      <c r="C5840" s="9">
        <v>45809</v>
      </c>
      <c r="D5840">
        <v>52</v>
      </c>
      <c r="E5840" s="16" t="s">
        <v>144</v>
      </c>
      <c r="F5840" s="16" t="s">
        <v>110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63</v>
      </c>
      <c r="C5841" s="9">
        <v>45870</v>
      </c>
      <c r="D5841">
        <v>52</v>
      </c>
      <c r="E5841" s="16" t="s">
        <v>144</v>
      </c>
      <c r="F5841" s="16" t="s">
        <v>110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63</v>
      </c>
      <c r="C5842" s="9">
        <v>45901</v>
      </c>
      <c r="D5842">
        <v>52</v>
      </c>
      <c r="E5842" s="16" t="s">
        <v>144</v>
      </c>
      <c r="F5842" s="16" t="s">
        <v>110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63</v>
      </c>
      <c r="C5843" s="9">
        <v>45962</v>
      </c>
      <c r="D5843">
        <v>52</v>
      </c>
      <c r="E5843" s="16" t="s">
        <v>144</v>
      </c>
      <c r="F5843" s="16" t="s">
        <v>110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63</v>
      </c>
      <c r="C5844" s="9">
        <v>46023</v>
      </c>
      <c r="D5844">
        <v>52</v>
      </c>
      <c r="E5844" s="16" t="s">
        <v>144</v>
      </c>
      <c r="F5844" s="16" t="s">
        <v>110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63</v>
      </c>
      <c r="C5845" s="9">
        <v>46082</v>
      </c>
      <c r="D5845">
        <v>52</v>
      </c>
      <c r="E5845" s="16" t="s">
        <v>144</v>
      </c>
      <c r="F5845" s="16" t="s">
        <v>110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63</v>
      </c>
      <c r="C5846" s="9">
        <v>46113</v>
      </c>
      <c r="D5846">
        <v>52</v>
      </c>
      <c r="E5846" s="16" t="s">
        <v>144</v>
      </c>
      <c r="F5846" s="16" t="s">
        <v>110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63</v>
      </c>
      <c r="C5847" s="9">
        <v>46143</v>
      </c>
      <c r="D5847">
        <v>52</v>
      </c>
      <c r="E5847" s="16" t="s">
        <v>144</v>
      </c>
      <c r="F5847" s="16" t="s">
        <v>110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63</v>
      </c>
      <c r="C5848" s="9">
        <v>46204</v>
      </c>
      <c r="D5848">
        <v>52</v>
      </c>
      <c r="E5848" s="16" t="s">
        <v>144</v>
      </c>
      <c r="F5848" s="16" t="s">
        <v>110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63</v>
      </c>
      <c r="C5849" s="9">
        <v>46266</v>
      </c>
      <c r="D5849">
        <v>52</v>
      </c>
      <c r="E5849" s="16" t="s">
        <v>144</v>
      </c>
      <c r="F5849" s="16" t="s">
        <v>110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63</v>
      </c>
      <c r="C5850" s="9">
        <v>45689</v>
      </c>
      <c r="D5850">
        <v>53</v>
      </c>
      <c r="E5850" s="16" t="s">
        <v>145</v>
      </c>
      <c r="F5850" s="16" t="s">
        <v>105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63</v>
      </c>
      <c r="C5851" s="9">
        <v>45717</v>
      </c>
      <c r="D5851">
        <v>53</v>
      </c>
      <c r="E5851" s="16" t="s">
        <v>145</v>
      </c>
      <c r="F5851" s="16" t="s">
        <v>105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63</v>
      </c>
      <c r="C5852" s="9">
        <v>45748</v>
      </c>
      <c r="D5852">
        <v>53</v>
      </c>
      <c r="E5852" s="16" t="s">
        <v>145</v>
      </c>
      <c r="F5852" s="16" t="s">
        <v>105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63</v>
      </c>
      <c r="C5853" s="9">
        <v>45778</v>
      </c>
      <c r="D5853">
        <v>53</v>
      </c>
      <c r="E5853" s="16" t="s">
        <v>145</v>
      </c>
      <c r="F5853" s="16" t="s">
        <v>105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63</v>
      </c>
      <c r="C5854" s="9">
        <v>45809</v>
      </c>
      <c r="D5854">
        <v>53</v>
      </c>
      <c r="E5854" s="16" t="s">
        <v>145</v>
      </c>
      <c r="F5854" s="16" t="s">
        <v>105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63</v>
      </c>
      <c r="C5855" s="9">
        <v>45839</v>
      </c>
      <c r="D5855">
        <v>53</v>
      </c>
      <c r="E5855" s="16" t="s">
        <v>145</v>
      </c>
      <c r="F5855" s="16" t="s">
        <v>105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63</v>
      </c>
      <c r="C5856" s="9">
        <v>45870</v>
      </c>
      <c r="D5856">
        <v>53</v>
      </c>
      <c r="E5856" s="16" t="s">
        <v>145</v>
      </c>
      <c r="F5856" s="16" t="s">
        <v>105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63</v>
      </c>
      <c r="C5857" s="9">
        <v>45901</v>
      </c>
      <c r="D5857">
        <v>53</v>
      </c>
      <c r="E5857" s="16" t="s">
        <v>145</v>
      </c>
      <c r="F5857" s="16" t="s">
        <v>105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63</v>
      </c>
      <c r="C5858" s="9">
        <v>45931</v>
      </c>
      <c r="D5858">
        <v>53</v>
      </c>
      <c r="E5858" s="16" t="s">
        <v>145</v>
      </c>
      <c r="F5858" s="16" t="s">
        <v>105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63</v>
      </c>
      <c r="C5859" s="9">
        <v>45962</v>
      </c>
      <c r="D5859">
        <v>53</v>
      </c>
      <c r="E5859" s="16" t="s">
        <v>145</v>
      </c>
      <c r="F5859" s="16" t="s">
        <v>105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63</v>
      </c>
      <c r="C5860" s="9">
        <v>45992</v>
      </c>
      <c r="D5860">
        <v>53</v>
      </c>
      <c r="E5860" s="16" t="s">
        <v>145</v>
      </c>
      <c r="F5860" s="16" t="s">
        <v>105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63</v>
      </c>
      <c r="C5861" s="9">
        <v>46023</v>
      </c>
      <c r="D5861">
        <v>53</v>
      </c>
      <c r="E5861" s="16" t="s">
        <v>145</v>
      </c>
      <c r="F5861" s="16" t="s">
        <v>105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63</v>
      </c>
      <c r="C5862" s="9">
        <v>46054</v>
      </c>
      <c r="D5862">
        <v>53</v>
      </c>
      <c r="E5862" s="16" t="s">
        <v>145</v>
      </c>
      <c r="F5862" s="16" t="s">
        <v>105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63</v>
      </c>
      <c r="C5863" s="9">
        <v>46082</v>
      </c>
      <c r="D5863">
        <v>53</v>
      </c>
      <c r="E5863" s="16" t="s">
        <v>145</v>
      </c>
      <c r="F5863" s="16" t="s">
        <v>105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63</v>
      </c>
      <c r="C5864" s="9">
        <v>46113</v>
      </c>
      <c r="D5864">
        <v>53</v>
      </c>
      <c r="E5864" s="16" t="s">
        <v>145</v>
      </c>
      <c r="F5864" s="16" t="s">
        <v>105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63</v>
      </c>
      <c r="C5865" s="9">
        <v>46143</v>
      </c>
      <c r="D5865">
        <v>53</v>
      </c>
      <c r="E5865" s="16" t="s">
        <v>145</v>
      </c>
      <c r="F5865" s="16" t="s">
        <v>105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63</v>
      </c>
      <c r="C5866" s="9">
        <v>46174</v>
      </c>
      <c r="D5866">
        <v>53</v>
      </c>
      <c r="E5866" s="16" t="s">
        <v>145</v>
      </c>
      <c r="F5866" s="16" t="s">
        <v>105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63</v>
      </c>
      <c r="C5867" s="9">
        <v>46204</v>
      </c>
      <c r="D5867">
        <v>53</v>
      </c>
      <c r="E5867" s="16" t="s">
        <v>145</v>
      </c>
      <c r="F5867" s="16" t="s">
        <v>105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63</v>
      </c>
      <c r="C5868" s="9">
        <v>46235</v>
      </c>
      <c r="D5868">
        <v>53</v>
      </c>
      <c r="E5868" s="16" t="s">
        <v>145</v>
      </c>
      <c r="F5868" s="16" t="s">
        <v>105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63</v>
      </c>
      <c r="C5869" s="9">
        <v>46266</v>
      </c>
      <c r="D5869">
        <v>53</v>
      </c>
      <c r="E5869" s="16" t="s">
        <v>145</v>
      </c>
      <c r="F5869" s="16" t="s">
        <v>105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63</v>
      </c>
      <c r="C5870" s="9">
        <v>45689</v>
      </c>
      <c r="D5870">
        <v>54</v>
      </c>
      <c r="E5870" s="16" t="s">
        <v>146</v>
      </c>
      <c r="F5870" s="16" t="s">
        <v>105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63</v>
      </c>
      <c r="C5871" s="9">
        <v>45717</v>
      </c>
      <c r="D5871">
        <v>54</v>
      </c>
      <c r="E5871" s="16" t="s">
        <v>146</v>
      </c>
      <c r="F5871" s="16" t="s">
        <v>105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63</v>
      </c>
      <c r="C5872" s="9">
        <v>45748</v>
      </c>
      <c r="D5872">
        <v>54</v>
      </c>
      <c r="E5872" s="16" t="s">
        <v>146</v>
      </c>
      <c r="F5872" s="16" t="s">
        <v>105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63</v>
      </c>
      <c r="C5873" s="9">
        <v>45778</v>
      </c>
      <c r="D5873">
        <v>54</v>
      </c>
      <c r="E5873" s="16" t="s">
        <v>146</v>
      </c>
      <c r="F5873" s="16" t="s">
        <v>105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63</v>
      </c>
      <c r="C5874" s="9">
        <v>45809</v>
      </c>
      <c r="D5874">
        <v>54</v>
      </c>
      <c r="E5874" s="16" t="s">
        <v>146</v>
      </c>
      <c r="F5874" s="16" t="s">
        <v>105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63</v>
      </c>
      <c r="C5875" s="9">
        <v>45839</v>
      </c>
      <c r="D5875">
        <v>54</v>
      </c>
      <c r="E5875" s="16" t="s">
        <v>146</v>
      </c>
      <c r="F5875" s="16" t="s">
        <v>105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63</v>
      </c>
      <c r="C5876" s="9">
        <v>45870</v>
      </c>
      <c r="D5876">
        <v>54</v>
      </c>
      <c r="E5876" s="16" t="s">
        <v>146</v>
      </c>
      <c r="F5876" s="16" t="s">
        <v>105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63</v>
      </c>
      <c r="C5877" s="9">
        <v>45901</v>
      </c>
      <c r="D5877">
        <v>54</v>
      </c>
      <c r="E5877" s="16" t="s">
        <v>146</v>
      </c>
      <c r="F5877" s="16" t="s">
        <v>105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63</v>
      </c>
      <c r="C5878" s="9">
        <v>45931</v>
      </c>
      <c r="D5878">
        <v>54</v>
      </c>
      <c r="E5878" s="16" t="s">
        <v>146</v>
      </c>
      <c r="F5878" s="16" t="s">
        <v>105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63</v>
      </c>
      <c r="C5879" s="9">
        <v>45962</v>
      </c>
      <c r="D5879">
        <v>54</v>
      </c>
      <c r="E5879" s="16" t="s">
        <v>146</v>
      </c>
      <c r="F5879" s="16" t="s">
        <v>105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63</v>
      </c>
      <c r="C5880" s="9">
        <v>45992</v>
      </c>
      <c r="D5880">
        <v>54</v>
      </c>
      <c r="E5880" s="16" t="s">
        <v>146</v>
      </c>
      <c r="F5880" s="16" t="s">
        <v>105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63</v>
      </c>
      <c r="C5881" s="9">
        <v>46023</v>
      </c>
      <c r="D5881">
        <v>54</v>
      </c>
      <c r="E5881" s="16" t="s">
        <v>146</v>
      </c>
      <c r="F5881" s="16" t="s">
        <v>105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63</v>
      </c>
      <c r="C5882" s="9">
        <v>46054</v>
      </c>
      <c r="D5882">
        <v>54</v>
      </c>
      <c r="E5882" s="16" t="s">
        <v>146</v>
      </c>
      <c r="F5882" s="16" t="s">
        <v>105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63</v>
      </c>
      <c r="C5883" s="9">
        <v>46082</v>
      </c>
      <c r="D5883">
        <v>54</v>
      </c>
      <c r="E5883" s="16" t="s">
        <v>146</v>
      </c>
      <c r="F5883" s="16" t="s">
        <v>105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63</v>
      </c>
      <c r="C5884" s="9">
        <v>46113</v>
      </c>
      <c r="D5884">
        <v>54</v>
      </c>
      <c r="E5884" s="16" t="s">
        <v>146</v>
      </c>
      <c r="F5884" s="16" t="s">
        <v>105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63</v>
      </c>
      <c r="C5885" s="9">
        <v>46143</v>
      </c>
      <c r="D5885">
        <v>54</v>
      </c>
      <c r="E5885" s="16" t="s">
        <v>146</v>
      </c>
      <c r="F5885" s="16" t="s">
        <v>105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63</v>
      </c>
      <c r="C5886" s="9">
        <v>46174</v>
      </c>
      <c r="D5886">
        <v>54</v>
      </c>
      <c r="E5886" s="16" t="s">
        <v>146</v>
      </c>
      <c r="F5886" s="16" t="s">
        <v>105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63</v>
      </c>
      <c r="C5887" s="9">
        <v>46204</v>
      </c>
      <c r="D5887">
        <v>54</v>
      </c>
      <c r="E5887" s="16" t="s">
        <v>146</v>
      </c>
      <c r="F5887" s="16" t="s">
        <v>105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63</v>
      </c>
      <c r="C5888" s="9">
        <v>46235</v>
      </c>
      <c r="D5888">
        <v>54</v>
      </c>
      <c r="E5888" s="16" t="s">
        <v>146</v>
      </c>
      <c r="F5888" s="16" t="s">
        <v>105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63</v>
      </c>
      <c r="C5889" s="9">
        <v>46266</v>
      </c>
      <c r="D5889">
        <v>54</v>
      </c>
      <c r="E5889" s="16" t="s">
        <v>146</v>
      </c>
      <c r="F5889" s="16" t="s">
        <v>105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63</v>
      </c>
      <c r="C5890" s="9">
        <v>45689</v>
      </c>
      <c r="D5890">
        <v>55</v>
      </c>
      <c r="E5890" s="16" t="s">
        <v>147</v>
      </c>
      <c r="F5890" s="16" t="s">
        <v>85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63</v>
      </c>
      <c r="C5891" s="9">
        <v>45717</v>
      </c>
      <c r="D5891">
        <v>55</v>
      </c>
      <c r="E5891" s="16" t="s">
        <v>147</v>
      </c>
      <c r="F5891" s="16" t="s">
        <v>85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63</v>
      </c>
      <c r="C5892" s="9">
        <v>45748</v>
      </c>
      <c r="D5892">
        <v>55</v>
      </c>
      <c r="E5892" s="16" t="s">
        <v>147</v>
      </c>
      <c r="F5892" s="16" t="s">
        <v>85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63</v>
      </c>
      <c r="C5893" s="9">
        <v>45778</v>
      </c>
      <c r="D5893">
        <v>55</v>
      </c>
      <c r="E5893" s="16" t="s">
        <v>147</v>
      </c>
      <c r="F5893" s="16" t="s">
        <v>85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63</v>
      </c>
      <c r="C5894" s="9">
        <v>45809</v>
      </c>
      <c r="D5894">
        <v>55</v>
      </c>
      <c r="E5894" s="16" t="s">
        <v>147</v>
      </c>
      <c r="F5894" s="16" t="s">
        <v>85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63</v>
      </c>
      <c r="C5895" s="9">
        <v>45839</v>
      </c>
      <c r="D5895">
        <v>55</v>
      </c>
      <c r="E5895" s="16" t="s">
        <v>147</v>
      </c>
      <c r="F5895" s="16" t="s">
        <v>85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63</v>
      </c>
      <c r="C5896" s="9">
        <v>45870</v>
      </c>
      <c r="D5896">
        <v>55</v>
      </c>
      <c r="E5896" s="16" t="s">
        <v>147</v>
      </c>
      <c r="F5896" s="16" t="s">
        <v>85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63</v>
      </c>
      <c r="C5897" s="9">
        <v>45901</v>
      </c>
      <c r="D5897">
        <v>55</v>
      </c>
      <c r="E5897" s="16" t="s">
        <v>147</v>
      </c>
      <c r="F5897" s="16" t="s">
        <v>85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63</v>
      </c>
      <c r="C5898" s="9">
        <v>45931</v>
      </c>
      <c r="D5898">
        <v>55</v>
      </c>
      <c r="E5898" s="16" t="s">
        <v>147</v>
      </c>
      <c r="F5898" s="16" t="s">
        <v>85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63</v>
      </c>
      <c r="C5899" s="9">
        <v>45962</v>
      </c>
      <c r="D5899">
        <v>55</v>
      </c>
      <c r="E5899" s="16" t="s">
        <v>147</v>
      </c>
      <c r="F5899" s="16" t="s">
        <v>85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63</v>
      </c>
      <c r="C5900" s="9">
        <v>45992</v>
      </c>
      <c r="D5900">
        <v>55</v>
      </c>
      <c r="E5900" s="16" t="s">
        <v>147</v>
      </c>
      <c r="F5900" s="16" t="s">
        <v>85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63</v>
      </c>
      <c r="C5901" s="9">
        <v>46023</v>
      </c>
      <c r="D5901">
        <v>55</v>
      </c>
      <c r="E5901" s="16" t="s">
        <v>147</v>
      </c>
      <c r="F5901" s="16" t="s">
        <v>85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63</v>
      </c>
      <c r="C5902" s="9">
        <v>46054</v>
      </c>
      <c r="D5902">
        <v>55</v>
      </c>
      <c r="E5902" s="16" t="s">
        <v>147</v>
      </c>
      <c r="F5902" s="16" t="s">
        <v>85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63</v>
      </c>
      <c r="C5903" s="9">
        <v>46082</v>
      </c>
      <c r="D5903">
        <v>55</v>
      </c>
      <c r="E5903" s="16" t="s">
        <v>147</v>
      </c>
      <c r="F5903" s="16" t="s">
        <v>85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63</v>
      </c>
      <c r="C5904" s="9">
        <v>46113</v>
      </c>
      <c r="D5904">
        <v>55</v>
      </c>
      <c r="E5904" s="16" t="s">
        <v>147</v>
      </c>
      <c r="F5904" s="16" t="s">
        <v>85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63</v>
      </c>
      <c r="C5905" s="9">
        <v>46143</v>
      </c>
      <c r="D5905">
        <v>55</v>
      </c>
      <c r="E5905" s="16" t="s">
        <v>147</v>
      </c>
      <c r="F5905" s="16" t="s">
        <v>85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63</v>
      </c>
      <c r="C5906" s="9">
        <v>46174</v>
      </c>
      <c r="D5906">
        <v>55</v>
      </c>
      <c r="E5906" s="16" t="s">
        <v>147</v>
      </c>
      <c r="F5906" s="16" t="s">
        <v>85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63</v>
      </c>
      <c r="C5907" s="9">
        <v>46204</v>
      </c>
      <c r="D5907">
        <v>55</v>
      </c>
      <c r="E5907" s="16" t="s">
        <v>147</v>
      </c>
      <c r="F5907" s="16" t="s">
        <v>85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63</v>
      </c>
      <c r="C5908" s="9">
        <v>46235</v>
      </c>
      <c r="D5908">
        <v>55</v>
      </c>
      <c r="E5908" s="16" t="s">
        <v>147</v>
      </c>
      <c r="F5908" s="16" t="s">
        <v>85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63</v>
      </c>
      <c r="C5909" s="9">
        <v>46266</v>
      </c>
      <c r="D5909">
        <v>55</v>
      </c>
      <c r="E5909" s="16" t="s">
        <v>147</v>
      </c>
      <c r="F5909" s="16" t="s">
        <v>85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63</v>
      </c>
      <c r="C5910" s="9">
        <v>45689</v>
      </c>
      <c r="D5910">
        <v>56</v>
      </c>
      <c r="E5910" s="16" t="s">
        <v>148</v>
      </c>
      <c r="F5910" s="16" t="s">
        <v>140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63</v>
      </c>
      <c r="C5911" s="9">
        <v>45717</v>
      </c>
      <c r="D5911">
        <v>56</v>
      </c>
      <c r="E5911" s="16" t="s">
        <v>148</v>
      </c>
      <c r="F5911" s="16" t="s">
        <v>140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63</v>
      </c>
      <c r="C5912" s="9">
        <v>45748</v>
      </c>
      <c r="D5912">
        <v>56</v>
      </c>
      <c r="E5912" s="16" t="s">
        <v>148</v>
      </c>
      <c r="F5912" s="16" t="s">
        <v>140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63</v>
      </c>
      <c r="C5913" s="9">
        <v>45778</v>
      </c>
      <c r="D5913">
        <v>56</v>
      </c>
      <c r="E5913" s="16" t="s">
        <v>148</v>
      </c>
      <c r="F5913" s="16" t="s">
        <v>140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63</v>
      </c>
      <c r="C5914" s="9">
        <v>45809</v>
      </c>
      <c r="D5914">
        <v>56</v>
      </c>
      <c r="E5914" s="16" t="s">
        <v>148</v>
      </c>
      <c r="F5914" s="16" t="s">
        <v>140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63</v>
      </c>
      <c r="C5915" s="9">
        <v>45839</v>
      </c>
      <c r="D5915">
        <v>56</v>
      </c>
      <c r="E5915" s="16" t="s">
        <v>148</v>
      </c>
      <c r="F5915" s="16" t="s">
        <v>140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63</v>
      </c>
      <c r="C5916" s="9">
        <v>45870</v>
      </c>
      <c r="D5916">
        <v>56</v>
      </c>
      <c r="E5916" s="16" t="s">
        <v>148</v>
      </c>
      <c r="F5916" s="16" t="s">
        <v>140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63</v>
      </c>
      <c r="C5917" s="9">
        <v>45901</v>
      </c>
      <c r="D5917">
        <v>56</v>
      </c>
      <c r="E5917" s="16" t="s">
        <v>148</v>
      </c>
      <c r="F5917" s="16" t="s">
        <v>140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63</v>
      </c>
      <c r="C5918" s="9">
        <v>45931</v>
      </c>
      <c r="D5918">
        <v>56</v>
      </c>
      <c r="E5918" s="16" t="s">
        <v>148</v>
      </c>
      <c r="F5918" s="16" t="s">
        <v>140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63</v>
      </c>
      <c r="C5919" s="9">
        <v>45962</v>
      </c>
      <c r="D5919">
        <v>56</v>
      </c>
      <c r="E5919" s="16" t="s">
        <v>148</v>
      </c>
      <c r="F5919" s="16" t="s">
        <v>140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63</v>
      </c>
      <c r="C5920" s="9">
        <v>45992</v>
      </c>
      <c r="D5920">
        <v>56</v>
      </c>
      <c r="E5920" s="16" t="s">
        <v>148</v>
      </c>
      <c r="F5920" s="16" t="s">
        <v>140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63</v>
      </c>
      <c r="C5921" s="9">
        <v>46023</v>
      </c>
      <c r="D5921">
        <v>56</v>
      </c>
      <c r="E5921" s="16" t="s">
        <v>148</v>
      </c>
      <c r="F5921" s="16" t="s">
        <v>140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63</v>
      </c>
      <c r="C5922" s="9">
        <v>46054</v>
      </c>
      <c r="D5922">
        <v>56</v>
      </c>
      <c r="E5922" s="16" t="s">
        <v>148</v>
      </c>
      <c r="F5922" s="16" t="s">
        <v>140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63</v>
      </c>
      <c r="C5923" s="9">
        <v>46082</v>
      </c>
      <c r="D5923">
        <v>56</v>
      </c>
      <c r="E5923" s="16" t="s">
        <v>148</v>
      </c>
      <c r="F5923" s="16" t="s">
        <v>140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63</v>
      </c>
      <c r="C5924" s="9">
        <v>46113</v>
      </c>
      <c r="D5924">
        <v>56</v>
      </c>
      <c r="E5924" s="16" t="s">
        <v>148</v>
      </c>
      <c r="F5924" s="16" t="s">
        <v>140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63</v>
      </c>
      <c r="C5925" s="9">
        <v>46143</v>
      </c>
      <c r="D5925">
        <v>56</v>
      </c>
      <c r="E5925" s="16" t="s">
        <v>148</v>
      </c>
      <c r="F5925" s="16" t="s">
        <v>140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63</v>
      </c>
      <c r="C5926" s="9">
        <v>46174</v>
      </c>
      <c r="D5926">
        <v>56</v>
      </c>
      <c r="E5926" s="16" t="s">
        <v>148</v>
      </c>
      <c r="F5926" s="16" t="s">
        <v>140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63</v>
      </c>
      <c r="C5927" s="9">
        <v>46204</v>
      </c>
      <c r="D5927">
        <v>56</v>
      </c>
      <c r="E5927" s="16" t="s">
        <v>148</v>
      </c>
      <c r="F5927" s="16" t="s">
        <v>140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63</v>
      </c>
      <c r="C5928" s="9">
        <v>46235</v>
      </c>
      <c r="D5928">
        <v>56</v>
      </c>
      <c r="E5928" s="16" t="s">
        <v>148</v>
      </c>
      <c r="F5928" s="16" t="s">
        <v>140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63</v>
      </c>
      <c r="C5929" s="9">
        <v>46266</v>
      </c>
      <c r="D5929">
        <v>56</v>
      </c>
      <c r="E5929" s="16" t="s">
        <v>148</v>
      </c>
      <c r="F5929" s="16" t="s">
        <v>140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64</v>
      </c>
      <c r="C5930" s="9">
        <v>45689</v>
      </c>
      <c r="D5930">
        <v>1</v>
      </c>
      <c r="E5930" s="16" t="s">
        <v>82</v>
      </c>
      <c r="F5930" s="16" t="s">
        <v>83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64</v>
      </c>
      <c r="C5931" s="9">
        <v>45717</v>
      </c>
      <c r="D5931">
        <v>1</v>
      </c>
      <c r="E5931" s="16" t="s">
        <v>82</v>
      </c>
      <c r="F5931" s="16" t="s">
        <v>83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64</v>
      </c>
      <c r="C5932" s="9">
        <v>45748</v>
      </c>
      <c r="D5932">
        <v>1</v>
      </c>
      <c r="E5932" s="16" t="s">
        <v>82</v>
      </c>
      <c r="F5932" s="16" t="s">
        <v>83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64</v>
      </c>
      <c r="C5933" s="9">
        <v>45778</v>
      </c>
      <c r="D5933">
        <v>1</v>
      </c>
      <c r="E5933" s="16" t="s">
        <v>82</v>
      </c>
      <c r="F5933" s="16" t="s">
        <v>83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64</v>
      </c>
      <c r="C5934" s="9">
        <v>45809</v>
      </c>
      <c r="D5934">
        <v>1</v>
      </c>
      <c r="E5934" s="16" t="s">
        <v>82</v>
      </c>
      <c r="F5934" s="16" t="s">
        <v>83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64</v>
      </c>
      <c r="C5935" s="9">
        <v>45839</v>
      </c>
      <c r="D5935">
        <v>1</v>
      </c>
      <c r="E5935" s="16" t="s">
        <v>82</v>
      </c>
      <c r="F5935" s="16" t="s">
        <v>83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64</v>
      </c>
      <c r="C5936" s="9">
        <v>45870</v>
      </c>
      <c r="D5936">
        <v>1</v>
      </c>
      <c r="E5936" s="16" t="s">
        <v>82</v>
      </c>
      <c r="F5936" s="16" t="s">
        <v>83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64</v>
      </c>
      <c r="C5937" s="9">
        <v>45901</v>
      </c>
      <c r="D5937">
        <v>1</v>
      </c>
      <c r="E5937" s="16" t="s">
        <v>82</v>
      </c>
      <c r="F5937" s="16" t="s">
        <v>83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64</v>
      </c>
      <c r="C5938" s="9">
        <v>45931</v>
      </c>
      <c r="D5938">
        <v>1</v>
      </c>
      <c r="E5938" s="16" t="s">
        <v>82</v>
      </c>
      <c r="F5938" s="16" t="s">
        <v>83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64</v>
      </c>
      <c r="C5939" s="9">
        <v>45962</v>
      </c>
      <c r="D5939">
        <v>1</v>
      </c>
      <c r="E5939" s="16" t="s">
        <v>82</v>
      </c>
      <c r="F5939" s="16" t="s">
        <v>83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64</v>
      </c>
      <c r="C5940" s="9">
        <v>45992</v>
      </c>
      <c r="D5940">
        <v>1</v>
      </c>
      <c r="E5940" s="16" t="s">
        <v>82</v>
      </c>
      <c r="F5940" s="16" t="s">
        <v>83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64</v>
      </c>
      <c r="C5941" s="9">
        <v>46023</v>
      </c>
      <c r="D5941">
        <v>1</v>
      </c>
      <c r="E5941" s="16" t="s">
        <v>82</v>
      </c>
      <c r="F5941" s="16" t="s">
        <v>83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64</v>
      </c>
      <c r="C5942" s="9">
        <v>46054</v>
      </c>
      <c r="D5942">
        <v>1</v>
      </c>
      <c r="E5942" s="16" t="s">
        <v>82</v>
      </c>
      <c r="F5942" s="16" t="s">
        <v>83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64</v>
      </c>
      <c r="C5943" s="9">
        <v>46082</v>
      </c>
      <c r="D5943">
        <v>1</v>
      </c>
      <c r="E5943" s="16" t="s">
        <v>82</v>
      </c>
      <c r="F5943" s="16" t="s">
        <v>83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64</v>
      </c>
      <c r="C5944" s="9">
        <v>46113</v>
      </c>
      <c r="D5944">
        <v>1</v>
      </c>
      <c r="E5944" s="16" t="s">
        <v>82</v>
      </c>
      <c r="F5944" s="16" t="s">
        <v>83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64</v>
      </c>
      <c r="C5945" s="9">
        <v>46143</v>
      </c>
      <c r="D5945">
        <v>1</v>
      </c>
      <c r="E5945" s="16" t="s">
        <v>82</v>
      </c>
      <c r="F5945" s="16" t="s">
        <v>83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64</v>
      </c>
      <c r="C5946" s="9">
        <v>46174</v>
      </c>
      <c r="D5946">
        <v>1</v>
      </c>
      <c r="E5946" s="16" t="s">
        <v>82</v>
      </c>
      <c r="F5946" s="16" t="s">
        <v>83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64</v>
      </c>
      <c r="C5947" s="9">
        <v>46204</v>
      </c>
      <c r="D5947">
        <v>1</v>
      </c>
      <c r="E5947" s="16" t="s">
        <v>82</v>
      </c>
      <c r="F5947" s="16" t="s">
        <v>83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64</v>
      </c>
      <c r="C5948" s="9">
        <v>46235</v>
      </c>
      <c r="D5948">
        <v>1</v>
      </c>
      <c r="E5948" s="16" t="s">
        <v>82</v>
      </c>
      <c r="F5948" s="16" t="s">
        <v>83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64</v>
      </c>
      <c r="C5949" s="9">
        <v>46266</v>
      </c>
      <c r="D5949">
        <v>1</v>
      </c>
      <c r="E5949" s="16" t="s">
        <v>82</v>
      </c>
      <c r="F5949" s="16" t="s">
        <v>83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64</v>
      </c>
      <c r="C5950" s="9">
        <v>45689</v>
      </c>
      <c r="D5950">
        <v>2</v>
      </c>
      <c r="E5950" s="16" t="s">
        <v>84</v>
      </c>
      <c r="F5950" s="16" t="s">
        <v>85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64</v>
      </c>
      <c r="C5951" s="9">
        <v>45717</v>
      </c>
      <c r="D5951">
        <v>2</v>
      </c>
      <c r="E5951" s="16" t="s">
        <v>84</v>
      </c>
      <c r="F5951" s="16" t="s">
        <v>85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64</v>
      </c>
      <c r="C5952" s="9">
        <v>45748</v>
      </c>
      <c r="D5952">
        <v>2</v>
      </c>
      <c r="E5952" s="16" t="s">
        <v>84</v>
      </c>
      <c r="F5952" s="16" t="s">
        <v>85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64</v>
      </c>
      <c r="C5953" s="9">
        <v>45778</v>
      </c>
      <c r="D5953">
        <v>2</v>
      </c>
      <c r="E5953" s="16" t="s">
        <v>84</v>
      </c>
      <c r="F5953" s="16" t="s">
        <v>85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64</v>
      </c>
      <c r="C5954" s="9">
        <v>45809</v>
      </c>
      <c r="D5954">
        <v>2</v>
      </c>
      <c r="E5954" s="16" t="s">
        <v>84</v>
      </c>
      <c r="F5954" s="16" t="s">
        <v>85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64</v>
      </c>
      <c r="C5955" s="9">
        <v>45839</v>
      </c>
      <c r="D5955">
        <v>2</v>
      </c>
      <c r="E5955" s="16" t="s">
        <v>84</v>
      </c>
      <c r="F5955" s="16" t="s">
        <v>85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64</v>
      </c>
      <c r="C5956" s="9">
        <v>45870</v>
      </c>
      <c r="D5956">
        <v>2</v>
      </c>
      <c r="E5956" s="16" t="s">
        <v>84</v>
      </c>
      <c r="F5956" s="16" t="s">
        <v>85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64</v>
      </c>
      <c r="C5957" s="9">
        <v>45901</v>
      </c>
      <c r="D5957">
        <v>2</v>
      </c>
      <c r="E5957" s="16" t="s">
        <v>84</v>
      </c>
      <c r="F5957" s="16" t="s">
        <v>85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64</v>
      </c>
      <c r="C5958" s="9">
        <v>45931</v>
      </c>
      <c r="D5958">
        <v>2</v>
      </c>
      <c r="E5958" s="16" t="s">
        <v>84</v>
      </c>
      <c r="F5958" s="16" t="s">
        <v>85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64</v>
      </c>
      <c r="C5959" s="9">
        <v>45962</v>
      </c>
      <c r="D5959">
        <v>2</v>
      </c>
      <c r="E5959" s="16" t="s">
        <v>84</v>
      </c>
      <c r="F5959" s="16" t="s">
        <v>85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64</v>
      </c>
      <c r="C5960" s="9">
        <v>45992</v>
      </c>
      <c r="D5960">
        <v>2</v>
      </c>
      <c r="E5960" s="16" t="s">
        <v>84</v>
      </c>
      <c r="F5960" s="16" t="s">
        <v>85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64</v>
      </c>
      <c r="C5961" s="9">
        <v>46023</v>
      </c>
      <c r="D5961">
        <v>2</v>
      </c>
      <c r="E5961" s="16" t="s">
        <v>84</v>
      </c>
      <c r="F5961" s="16" t="s">
        <v>85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64</v>
      </c>
      <c r="C5962" s="9">
        <v>46054</v>
      </c>
      <c r="D5962">
        <v>2</v>
      </c>
      <c r="E5962" s="16" t="s">
        <v>84</v>
      </c>
      <c r="F5962" s="16" t="s">
        <v>85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64</v>
      </c>
      <c r="C5963" s="9">
        <v>46082</v>
      </c>
      <c r="D5963">
        <v>2</v>
      </c>
      <c r="E5963" s="16" t="s">
        <v>84</v>
      </c>
      <c r="F5963" s="16" t="s">
        <v>85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64</v>
      </c>
      <c r="C5964" s="9">
        <v>46113</v>
      </c>
      <c r="D5964">
        <v>2</v>
      </c>
      <c r="E5964" s="16" t="s">
        <v>84</v>
      </c>
      <c r="F5964" s="16" t="s">
        <v>85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64</v>
      </c>
      <c r="C5965" s="9">
        <v>46143</v>
      </c>
      <c r="D5965">
        <v>2</v>
      </c>
      <c r="E5965" s="16" t="s">
        <v>84</v>
      </c>
      <c r="F5965" s="16" t="s">
        <v>85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64</v>
      </c>
      <c r="C5966" s="9">
        <v>46174</v>
      </c>
      <c r="D5966">
        <v>2</v>
      </c>
      <c r="E5966" s="16" t="s">
        <v>84</v>
      </c>
      <c r="F5966" s="16" t="s">
        <v>85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64</v>
      </c>
      <c r="C5967" s="9">
        <v>46204</v>
      </c>
      <c r="D5967">
        <v>2</v>
      </c>
      <c r="E5967" s="16" t="s">
        <v>84</v>
      </c>
      <c r="F5967" s="16" t="s">
        <v>85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64</v>
      </c>
      <c r="C5968" s="9">
        <v>46235</v>
      </c>
      <c r="D5968">
        <v>2</v>
      </c>
      <c r="E5968" s="16" t="s">
        <v>84</v>
      </c>
      <c r="F5968" s="16" t="s">
        <v>85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64</v>
      </c>
      <c r="C5969" s="9">
        <v>46266</v>
      </c>
      <c r="D5969">
        <v>2</v>
      </c>
      <c r="E5969" s="16" t="s">
        <v>84</v>
      </c>
      <c r="F5969" s="16" t="s">
        <v>85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64</v>
      </c>
      <c r="C5970" s="9">
        <v>45689</v>
      </c>
      <c r="D5970">
        <v>3</v>
      </c>
      <c r="E5970" s="16" t="s">
        <v>86</v>
      </c>
      <c r="F5970" s="16" t="s">
        <v>87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64</v>
      </c>
      <c r="C5971" s="9">
        <v>45717</v>
      </c>
      <c r="D5971">
        <v>3</v>
      </c>
      <c r="E5971" s="16" t="s">
        <v>86</v>
      </c>
      <c r="F5971" s="16" t="s">
        <v>87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64</v>
      </c>
      <c r="C5972" s="9">
        <v>45748</v>
      </c>
      <c r="D5972">
        <v>3</v>
      </c>
      <c r="E5972" s="16" t="s">
        <v>86</v>
      </c>
      <c r="F5972" s="16" t="s">
        <v>87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64</v>
      </c>
      <c r="C5973" s="9">
        <v>45778</v>
      </c>
      <c r="D5973">
        <v>3</v>
      </c>
      <c r="E5973" s="16" t="s">
        <v>86</v>
      </c>
      <c r="F5973" s="16" t="s">
        <v>87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64</v>
      </c>
      <c r="C5974" s="9">
        <v>45809</v>
      </c>
      <c r="D5974">
        <v>3</v>
      </c>
      <c r="E5974" s="16" t="s">
        <v>86</v>
      </c>
      <c r="F5974" s="16" t="s">
        <v>87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64</v>
      </c>
      <c r="C5975" s="9">
        <v>45839</v>
      </c>
      <c r="D5975">
        <v>3</v>
      </c>
      <c r="E5975" s="16" t="s">
        <v>86</v>
      </c>
      <c r="F5975" s="16" t="s">
        <v>87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64</v>
      </c>
      <c r="C5976" s="9">
        <v>45870</v>
      </c>
      <c r="D5976">
        <v>3</v>
      </c>
      <c r="E5976" s="16" t="s">
        <v>86</v>
      </c>
      <c r="F5976" s="16" t="s">
        <v>87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64</v>
      </c>
      <c r="C5977" s="9">
        <v>45901</v>
      </c>
      <c r="D5977">
        <v>3</v>
      </c>
      <c r="E5977" s="16" t="s">
        <v>86</v>
      </c>
      <c r="F5977" s="16" t="s">
        <v>87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64</v>
      </c>
      <c r="C5978" s="9">
        <v>45931</v>
      </c>
      <c r="D5978">
        <v>3</v>
      </c>
      <c r="E5978" s="16" t="s">
        <v>86</v>
      </c>
      <c r="F5978" s="16" t="s">
        <v>87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64</v>
      </c>
      <c r="C5979" s="9">
        <v>45962</v>
      </c>
      <c r="D5979">
        <v>3</v>
      </c>
      <c r="E5979" s="16" t="s">
        <v>86</v>
      </c>
      <c r="F5979" s="16" t="s">
        <v>87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64</v>
      </c>
      <c r="C5980" s="9">
        <v>45992</v>
      </c>
      <c r="D5980">
        <v>3</v>
      </c>
      <c r="E5980" s="16" t="s">
        <v>86</v>
      </c>
      <c r="F5980" s="16" t="s">
        <v>87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64</v>
      </c>
      <c r="C5981" s="9">
        <v>46023</v>
      </c>
      <c r="D5981">
        <v>3</v>
      </c>
      <c r="E5981" s="16" t="s">
        <v>86</v>
      </c>
      <c r="F5981" s="16" t="s">
        <v>87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64</v>
      </c>
      <c r="C5982" s="9">
        <v>46054</v>
      </c>
      <c r="D5982">
        <v>3</v>
      </c>
      <c r="E5982" s="16" t="s">
        <v>86</v>
      </c>
      <c r="F5982" s="16" t="s">
        <v>87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64</v>
      </c>
      <c r="C5983" s="9">
        <v>46082</v>
      </c>
      <c r="D5983">
        <v>3</v>
      </c>
      <c r="E5983" s="16" t="s">
        <v>86</v>
      </c>
      <c r="F5983" s="16" t="s">
        <v>87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64</v>
      </c>
      <c r="C5984" s="9">
        <v>46113</v>
      </c>
      <c r="D5984">
        <v>3</v>
      </c>
      <c r="E5984" s="16" t="s">
        <v>86</v>
      </c>
      <c r="F5984" s="16" t="s">
        <v>87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64</v>
      </c>
      <c r="C5985" s="9">
        <v>46143</v>
      </c>
      <c r="D5985">
        <v>3</v>
      </c>
      <c r="E5985" s="16" t="s">
        <v>86</v>
      </c>
      <c r="F5985" s="16" t="s">
        <v>87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64</v>
      </c>
      <c r="C5986" s="9">
        <v>46174</v>
      </c>
      <c r="D5986">
        <v>3</v>
      </c>
      <c r="E5986" s="16" t="s">
        <v>86</v>
      </c>
      <c r="F5986" s="16" t="s">
        <v>87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64</v>
      </c>
      <c r="C5987" s="9">
        <v>46204</v>
      </c>
      <c r="D5987">
        <v>3</v>
      </c>
      <c r="E5987" s="16" t="s">
        <v>86</v>
      </c>
      <c r="F5987" s="16" t="s">
        <v>87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64</v>
      </c>
      <c r="C5988" s="9">
        <v>46235</v>
      </c>
      <c r="D5988">
        <v>3</v>
      </c>
      <c r="E5988" s="16" t="s">
        <v>86</v>
      </c>
      <c r="F5988" s="16" t="s">
        <v>87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64</v>
      </c>
      <c r="C5989" s="9">
        <v>46266</v>
      </c>
      <c r="D5989">
        <v>3</v>
      </c>
      <c r="E5989" s="16" t="s">
        <v>86</v>
      </c>
      <c r="F5989" s="16" t="s">
        <v>87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64</v>
      </c>
      <c r="C5990" s="9">
        <v>45689</v>
      </c>
      <c r="D5990">
        <v>4</v>
      </c>
      <c r="E5990" s="16" t="s">
        <v>88</v>
      </c>
      <c r="F5990" s="16" t="s">
        <v>89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64</v>
      </c>
      <c r="C5991" s="9">
        <v>45717</v>
      </c>
      <c r="D5991">
        <v>4</v>
      </c>
      <c r="E5991" s="16" t="s">
        <v>88</v>
      </c>
      <c r="F5991" s="16" t="s">
        <v>89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64</v>
      </c>
      <c r="C5992" s="9">
        <v>45748</v>
      </c>
      <c r="D5992">
        <v>4</v>
      </c>
      <c r="E5992" s="16" t="s">
        <v>88</v>
      </c>
      <c r="F5992" s="16" t="s">
        <v>89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64</v>
      </c>
      <c r="C5993" s="9">
        <v>45778</v>
      </c>
      <c r="D5993">
        <v>4</v>
      </c>
      <c r="E5993" s="16" t="s">
        <v>88</v>
      </c>
      <c r="F5993" s="16" t="s">
        <v>89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64</v>
      </c>
      <c r="C5994" s="9">
        <v>45809</v>
      </c>
      <c r="D5994">
        <v>4</v>
      </c>
      <c r="E5994" s="16" t="s">
        <v>88</v>
      </c>
      <c r="F5994" s="16" t="s">
        <v>89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64</v>
      </c>
      <c r="C5995" s="9">
        <v>45839</v>
      </c>
      <c r="D5995">
        <v>4</v>
      </c>
      <c r="E5995" s="16" t="s">
        <v>88</v>
      </c>
      <c r="F5995" s="16" t="s">
        <v>89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64</v>
      </c>
      <c r="C5996" s="9">
        <v>45870</v>
      </c>
      <c r="D5996">
        <v>4</v>
      </c>
      <c r="E5996" s="16" t="s">
        <v>88</v>
      </c>
      <c r="F5996" s="16" t="s">
        <v>89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64</v>
      </c>
      <c r="C5997" s="9">
        <v>45901</v>
      </c>
      <c r="D5997">
        <v>4</v>
      </c>
      <c r="E5997" s="16" t="s">
        <v>88</v>
      </c>
      <c r="F5997" s="16" t="s">
        <v>89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64</v>
      </c>
      <c r="C5998" s="9">
        <v>45931</v>
      </c>
      <c r="D5998">
        <v>4</v>
      </c>
      <c r="E5998" s="16" t="s">
        <v>88</v>
      </c>
      <c r="F5998" s="16" t="s">
        <v>89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64</v>
      </c>
      <c r="C5999" s="9">
        <v>45962</v>
      </c>
      <c r="D5999">
        <v>4</v>
      </c>
      <c r="E5999" s="16" t="s">
        <v>88</v>
      </c>
      <c r="F5999" s="16" t="s">
        <v>89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64</v>
      </c>
      <c r="C6000" s="9">
        <v>45992</v>
      </c>
      <c r="D6000">
        <v>4</v>
      </c>
      <c r="E6000" s="16" t="s">
        <v>88</v>
      </c>
      <c r="F6000" s="16" t="s">
        <v>89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64</v>
      </c>
      <c r="C6001" s="9">
        <v>46023</v>
      </c>
      <c r="D6001">
        <v>4</v>
      </c>
      <c r="E6001" s="16" t="s">
        <v>88</v>
      </c>
      <c r="F6001" s="16" t="s">
        <v>89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64</v>
      </c>
      <c r="C6002" s="9">
        <v>46054</v>
      </c>
      <c r="D6002">
        <v>4</v>
      </c>
      <c r="E6002" s="16" t="s">
        <v>88</v>
      </c>
      <c r="F6002" s="16" t="s">
        <v>89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64</v>
      </c>
      <c r="C6003" s="9">
        <v>46082</v>
      </c>
      <c r="D6003">
        <v>4</v>
      </c>
      <c r="E6003" s="16" t="s">
        <v>88</v>
      </c>
      <c r="F6003" s="16" t="s">
        <v>89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64</v>
      </c>
      <c r="C6004" s="9">
        <v>46113</v>
      </c>
      <c r="D6004">
        <v>4</v>
      </c>
      <c r="E6004" s="16" t="s">
        <v>88</v>
      </c>
      <c r="F6004" s="16" t="s">
        <v>89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64</v>
      </c>
      <c r="C6005" s="9">
        <v>46143</v>
      </c>
      <c r="D6005">
        <v>4</v>
      </c>
      <c r="E6005" s="16" t="s">
        <v>88</v>
      </c>
      <c r="F6005" s="16" t="s">
        <v>89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64</v>
      </c>
      <c r="C6006" s="9">
        <v>46174</v>
      </c>
      <c r="D6006">
        <v>4</v>
      </c>
      <c r="E6006" s="16" t="s">
        <v>88</v>
      </c>
      <c r="F6006" s="16" t="s">
        <v>89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64</v>
      </c>
      <c r="C6007" s="9">
        <v>46204</v>
      </c>
      <c r="D6007">
        <v>4</v>
      </c>
      <c r="E6007" s="16" t="s">
        <v>88</v>
      </c>
      <c r="F6007" s="16" t="s">
        <v>89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64</v>
      </c>
      <c r="C6008" s="9">
        <v>46235</v>
      </c>
      <c r="D6008">
        <v>4</v>
      </c>
      <c r="E6008" s="16" t="s">
        <v>88</v>
      </c>
      <c r="F6008" s="16" t="s">
        <v>89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64</v>
      </c>
      <c r="C6009" s="9">
        <v>46266</v>
      </c>
      <c r="D6009">
        <v>4</v>
      </c>
      <c r="E6009" s="16" t="s">
        <v>88</v>
      </c>
      <c r="F6009" s="16" t="s">
        <v>89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64</v>
      </c>
      <c r="C6010" s="9">
        <v>45689</v>
      </c>
      <c r="D6010">
        <v>5</v>
      </c>
      <c r="E6010" s="16" t="s">
        <v>90</v>
      </c>
      <c r="F6010" s="16" t="s">
        <v>85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64</v>
      </c>
      <c r="C6011" s="9">
        <v>45717</v>
      </c>
      <c r="D6011">
        <v>5</v>
      </c>
      <c r="E6011" s="16" t="s">
        <v>90</v>
      </c>
      <c r="F6011" s="16" t="s">
        <v>85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64</v>
      </c>
      <c r="C6012" s="9">
        <v>45748</v>
      </c>
      <c r="D6012">
        <v>5</v>
      </c>
      <c r="E6012" s="16" t="s">
        <v>90</v>
      </c>
      <c r="F6012" s="16" t="s">
        <v>85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64</v>
      </c>
      <c r="C6013" s="9">
        <v>45778</v>
      </c>
      <c r="D6013">
        <v>5</v>
      </c>
      <c r="E6013" s="16" t="s">
        <v>90</v>
      </c>
      <c r="F6013" s="16" t="s">
        <v>85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64</v>
      </c>
      <c r="C6014" s="9">
        <v>45809</v>
      </c>
      <c r="D6014">
        <v>5</v>
      </c>
      <c r="E6014" s="16" t="s">
        <v>90</v>
      </c>
      <c r="F6014" s="16" t="s">
        <v>85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64</v>
      </c>
      <c r="C6015" s="9">
        <v>45839</v>
      </c>
      <c r="D6015">
        <v>5</v>
      </c>
      <c r="E6015" s="16" t="s">
        <v>90</v>
      </c>
      <c r="F6015" s="16" t="s">
        <v>85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64</v>
      </c>
      <c r="C6016" s="9">
        <v>45870</v>
      </c>
      <c r="D6016">
        <v>5</v>
      </c>
      <c r="E6016" s="16" t="s">
        <v>90</v>
      </c>
      <c r="F6016" s="16" t="s">
        <v>85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64</v>
      </c>
      <c r="C6017" s="9">
        <v>45901</v>
      </c>
      <c r="D6017">
        <v>5</v>
      </c>
      <c r="E6017" s="16" t="s">
        <v>90</v>
      </c>
      <c r="F6017" s="16" t="s">
        <v>85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64</v>
      </c>
      <c r="C6018" s="9">
        <v>45931</v>
      </c>
      <c r="D6018">
        <v>5</v>
      </c>
      <c r="E6018" s="16" t="s">
        <v>90</v>
      </c>
      <c r="F6018" s="16" t="s">
        <v>85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64</v>
      </c>
      <c r="C6019" s="9">
        <v>45962</v>
      </c>
      <c r="D6019">
        <v>5</v>
      </c>
      <c r="E6019" s="16" t="s">
        <v>90</v>
      </c>
      <c r="F6019" s="16" t="s">
        <v>85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64</v>
      </c>
      <c r="C6020" s="9">
        <v>45992</v>
      </c>
      <c r="D6020">
        <v>5</v>
      </c>
      <c r="E6020" s="16" t="s">
        <v>90</v>
      </c>
      <c r="F6020" s="16" t="s">
        <v>85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64</v>
      </c>
      <c r="C6021" s="9">
        <v>46023</v>
      </c>
      <c r="D6021">
        <v>5</v>
      </c>
      <c r="E6021" s="16" t="s">
        <v>90</v>
      </c>
      <c r="F6021" s="16" t="s">
        <v>85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64</v>
      </c>
      <c r="C6022" s="9">
        <v>46054</v>
      </c>
      <c r="D6022">
        <v>5</v>
      </c>
      <c r="E6022" s="16" t="s">
        <v>90</v>
      </c>
      <c r="F6022" s="16" t="s">
        <v>85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64</v>
      </c>
      <c r="C6023" s="9">
        <v>46082</v>
      </c>
      <c r="D6023">
        <v>5</v>
      </c>
      <c r="E6023" s="16" t="s">
        <v>90</v>
      </c>
      <c r="F6023" s="16" t="s">
        <v>85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64</v>
      </c>
      <c r="C6024" s="9">
        <v>46113</v>
      </c>
      <c r="D6024">
        <v>5</v>
      </c>
      <c r="E6024" s="16" t="s">
        <v>90</v>
      </c>
      <c r="F6024" s="16" t="s">
        <v>85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64</v>
      </c>
      <c r="C6025" s="9">
        <v>46143</v>
      </c>
      <c r="D6025">
        <v>5</v>
      </c>
      <c r="E6025" s="16" t="s">
        <v>90</v>
      </c>
      <c r="F6025" s="16" t="s">
        <v>85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64</v>
      </c>
      <c r="C6026" s="9">
        <v>46174</v>
      </c>
      <c r="D6026">
        <v>5</v>
      </c>
      <c r="E6026" s="16" t="s">
        <v>90</v>
      </c>
      <c r="F6026" s="16" t="s">
        <v>85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64</v>
      </c>
      <c r="C6027" s="9">
        <v>46204</v>
      </c>
      <c r="D6027">
        <v>5</v>
      </c>
      <c r="E6027" s="16" t="s">
        <v>90</v>
      </c>
      <c r="F6027" s="16" t="s">
        <v>85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64</v>
      </c>
      <c r="C6028" s="9">
        <v>46235</v>
      </c>
      <c r="D6028">
        <v>5</v>
      </c>
      <c r="E6028" s="16" t="s">
        <v>90</v>
      </c>
      <c r="F6028" s="16" t="s">
        <v>85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64</v>
      </c>
      <c r="C6029" s="9">
        <v>46266</v>
      </c>
      <c r="D6029">
        <v>5</v>
      </c>
      <c r="E6029" s="16" t="s">
        <v>90</v>
      </c>
      <c r="F6029" s="16" t="s">
        <v>85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64</v>
      </c>
      <c r="C6030" s="9">
        <v>45689</v>
      </c>
      <c r="D6030">
        <v>6</v>
      </c>
      <c r="E6030" s="16" t="s">
        <v>91</v>
      </c>
      <c r="F6030" s="16" t="s">
        <v>92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64</v>
      </c>
      <c r="C6031" s="9">
        <v>45717</v>
      </c>
      <c r="D6031">
        <v>6</v>
      </c>
      <c r="E6031" s="16" t="s">
        <v>91</v>
      </c>
      <c r="F6031" s="16" t="s">
        <v>92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64</v>
      </c>
      <c r="C6032" s="9">
        <v>45748</v>
      </c>
      <c r="D6032">
        <v>6</v>
      </c>
      <c r="E6032" s="16" t="s">
        <v>91</v>
      </c>
      <c r="F6032" s="16" t="s">
        <v>92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64</v>
      </c>
      <c r="C6033" s="9">
        <v>45778</v>
      </c>
      <c r="D6033">
        <v>6</v>
      </c>
      <c r="E6033" s="16" t="s">
        <v>91</v>
      </c>
      <c r="F6033" s="16" t="s">
        <v>92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64</v>
      </c>
      <c r="C6034" s="9">
        <v>45809</v>
      </c>
      <c r="D6034">
        <v>6</v>
      </c>
      <c r="E6034" s="16" t="s">
        <v>91</v>
      </c>
      <c r="F6034" s="16" t="s">
        <v>92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64</v>
      </c>
      <c r="C6035" s="9">
        <v>45839</v>
      </c>
      <c r="D6035">
        <v>6</v>
      </c>
      <c r="E6035" s="16" t="s">
        <v>91</v>
      </c>
      <c r="F6035" s="16" t="s">
        <v>92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64</v>
      </c>
      <c r="C6036" s="9">
        <v>45870</v>
      </c>
      <c r="D6036">
        <v>6</v>
      </c>
      <c r="E6036" s="16" t="s">
        <v>91</v>
      </c>
      <c r="F6036" s="16" t="s">
        <v>92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64</v>
      </c>
      <c r="C6037" s="9">
        <v>45901</v>
      </c>
      <c r="D6037">
        <v>6</v>
      </c>
      <c r="E6037" s="16" t="s">
        <v>91</v>
      </c>
      <c r="F6037" s="16" t="s">
        <v>92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64</v>
      </c>
      <c r="C6038" s="9">
        <v>45931</v>
      </c>
      <c r="D6038">
        <v>6</v>
      </c>
      <c r="E6038" s="16" t="s">
        <v>91</v>
      </c>
      <c r="F6038" s="16" t="s">
        <v>92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64</v>
      </c>
      <c r="C6039" s="9">
        <v>45962</v>
      </c>
      <c r="D6039">
        <v>6</v>
      </c>
      <c r="E6039" s="16" t="s">
        <v>91</v>
      </c>
      <c r="F6039" s="16" t="s">
        <v>92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64</v>
      </c>
      <c r="C6040" s="9">
        <v>45992</v>
      </c>
      <c r="D6040">
        <v>6</v>
      </c>
      <c r="E6040" s="16" t="s">
        <v>91</v>
      </c>
      <c r="F6040" s="16" t="s">
        <v>92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64</v>
      </c>
      <c r="C6041" s="9">
        <v>46023</v>
      </c>
      <c r="D6041">
        <v>6</v>
      </c>
      <c r="E6041" s="16" t="s">
        <v>91</v>
      </c>
      <c r="F6041" s="16" t="s">
        <v>92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64</v>
      </c>
      <c r="C6042" s="9">
        <v>46054</v>
      </c>
      <c r="D6042">
        <v>6</v>
      </c>
      <c r="E6042" s="16" t="s">
        <v>91</v>
      </c>
      <c r="F6042" s="16" t="s">
        <v>92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64</v>
      </c>
      <c r="C6043" s="9">
        <v>46082</v>
      </c>
      <c r="D6043">
        <v>6</v>
      </c>
      <c r="E6043" s="16" t="s">
        <v>91</v>
      </c>
      <c r="F6043" s="16" t="s">
        <v>92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64</v>
      </c>
      <c r="C6044" s="9">
        <v>46113</v>
      </c>
      <c r="D6044">
        <v>6</v>
      </c>
      <c r="E6044" s="16" t="s">
        <v>91</v>
      </c>
      <c r="F6044" s="16" t="s">
        <v>92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64</v>
      </c>
      <c r="C6045" s="9">
        <v>46143</v>
      </c>
      <c r="D6045">
        <v>6</v>
      </c>
      <c r="E6045" s="16" t="s">
        <v>91</v>
      </c>
      <c r="F6045" s="16" t="s">
        <v>92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64</v>
      </c>
      <c r="C6046" s="9">
        <v>46174</v>
      </c>
      <c r="D6046">
        <v>6</v>
      </c>
      <c r="E6046" s="16" t="s">
        <v>91</v>
      </c>
      <c r="F6046" s="16" t="s">
        <v>92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64</v>
      </c>
      <c r="C6047" s="9">
        <v>46204</v>
      </c>
      <c r="D6047">
        <v>6</v>
      </c>
      <c r="E6047" s="16" t="s">
        <v>91</v>
      </c>
      <c r="F6047" s="16" t="s">
        <v>92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64</v>
      </c>
      <c r="C6048" s="9">
        <v>46235</v>
      </c>
      <c r="D6048">
        <v>6</v>
      </c>
      <c r="E6048" s="16" t="s">
        <v>91</v>
      </c>
      <c r="F6048" s="16" t="s">
        <v>92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64</v>
      </c>
      <c r="C6049" s="9">
        <v>46266</v>
      </c>
      <c r="D6049">
        <v>6</v>
      </c>
      <c r="E6049" s="16" t="s">
        <v>91</v>
      </c>
      <c r="F6049" s="16" t="s">
        <v>92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64</v>
      </c>
      <c r="C6050" s="9">
        <v>45689</v>
      </c>
      <c r="D6050">
        <v>7</v>
      </c>
      <c r="E6050" s="16" t="s">
        <v>93</v>
      </c>
      <c r="F6050" s="16" t="s">
        <v>94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64</v>
      </c>
      <c r="C6051" s="9">
        <v>45717</v>
      </c>
      <c r="D6051">
        <v>7</v>
      </c>
      <c r="E6051" s="16" t="s">
        <v>93</v>
      </c>
      <c r="F6051" s="16" t="s">
        <v>94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64</v>
      </c>
      <c r="C6052" s="9">
        <v>45748</v>
      </c>
      <c r="D6052">
        <v>7</v>
      </c>
      <c r="E6052" s="16" t="s">
        <v>93</v>
      </c>
      <c r="F6052" s="16" t="s">
        <v>94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64</v>
      </c>
      <c r="C6053" s="9">
        <v>45778</v>
      </c>
      <c r="D6053">
        <v>7</v>
      </c>
      <c r="E6053" s="16" t="s">
        <v>93</v>
      </c>
      <c r="F6053" s="16" t="s">
        <v>94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64</v>
      </c>
      <c r="C6054" s="9">
        <v>45809</v>
      </c>
      <c r="D6054">
        <v>7</v>
      </c>
      <c r="E6054" s="16" t="s">
        <v>93</v>
      </c>
      <c r="F6054" s="16" t="s">
        <v>94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64</v>
      </c>
      <c r="C6055" s="9">
        <v>45839</v>
      </c>
      <c r="D6055">
        <v>7</v>
      </c>
      <c r="E6055" s="16" t="s">
        <v>93</v>
      </c>
      <c r="F6055" s="16" t="s">
        <v>94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64</v>
      </c>
      <c r="C6056" s="9">
        <v>45870</v>
      </c>
      <c r="D6056">
        <v>7</v>
      </c>
      <c r="E6056" s="16" t="s">
        <v>93</v>
      </c>
      <c r="F6056" s="16" t="s">
        <v>94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64</v>
      </c>
      <c r="C6057" s="9">
        <v>45901</v>
      </c>
      <c r="D6057">
        <v>7</v>
      </c>
      <c r="E6057" s="16" t="s">
        <v>93</v>
      </c>
      <c r="F6057" s="16" t="s">
        <v>94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64</v>
      </c>
      <c r="C6058" s="9">
        <v>45931</v>
      </c>
      <c r="D6058">
        <v>7</v>
      </c>
      <c r="E6058" s="16" t="s">
        <v>93</v>
      </c>
      <c r="F6058" s="16" t="s">
        <v>94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64</v>
      </c>
      <c r="C6059" s="9">
        <v>45962</v>
      </c>
      <c r="D6059">
        <v>7</v>
      </c>
      <c r="E6059" s="16" t="s">
        <v>93</v>
      </c>
      <c r="F6059" s="16" t="s">
        <v>94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64</v>
      </c>
      <c r="C6060" s="9">
        <v>45992</v>
      </c>
      <c r="D6060">
        <v>7</v>
      </c>
      <c r="E6060" s="16" t="s">
        <v>93</v>
      </c>
      <c r="F6060" s="16" t="s">
        <v>94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64</v>
      </c>
      <c r="C6061" s="9">
        <v>46023</v>
      </c>
      <c r="D6061">
        <v>7</v>
      </c>
      <c r="E6061" s="16" t="s">
        <v>93</v>
      </c>
      <c r="F6061" s="16" t="s">
        <v>94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64</v>
      </c>
      <c r="C6062" s="9">
        <v>46054</v>
      </c>
      <c r="D6062">
        <v>7</v>
      </c>
      <c r="E6062" s="16" t="s">
        <v>93</v>
      </c>
      <c r="F6062" s="16" t="s">
        <v>94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64</v>
      </c>
      <c r="C6063" s="9">
        <v>46082</v>
      </c>
      <c r="D6063">
        <v>7</v>
      </c>
      <c r="E6063" s="16" t="s">
        <v>93</v>
      </c>
      <c r="F6063" s="16" t="s">
        <v>94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64</v>
      </c>
      <c r="C6064" s="9">
        <v>46113</v>
      </c>
      <c r="D6064">
        <v>7</v>
      </c>
      <c r="E6064" s="16" t="s">
        <v>93</v>
      </c>
      <c r="F6064" s="16" t="s">
        <v>94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64</v>
      </c>
      <c r="C6065" s="9">
        <v>46143</v>
      </c>
      <c r="D6065">
        <v>7</v>
      </c>
      <c r="E6065" s="16" t="s">
        <v>93</v>
      </c>
      <c r="F6065" s="16" t="s">
        <v>94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64</v>
      </c>
      <c r="C6066" s="9">
        <v>46174</v>
      </c>
      <c r="D6066">
        <v>7</v>
      </c>
      <c r="E6066" s="16" t="s">
        <v>93</v>
      </c>
      <c r="F6066" s="16" t="s">
        <v>94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64</v>
      </c>
      <c r="C6067" s="9">
        <v>46204</v>
      </c>
      <c r="D6067">
        <v>7</v>
      </c>
      <c r="E6067" s="16" t="s">
        <v>93</v>
      </c>
      <c r="F6067" s="16" t="s">
        <v>94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64</v>
      </c>
      <c r="C6068" s="9">
        <v>46235</v>
      </c>
      <c r="D6068">
        <v>7</v>
      </c>
      <c r="E6068" s="16" t="s">
        <v>93</v>
      </c>
      <c r="F6068" s="16" t="s">
        <v>94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64</v>
      </c>
      <c r="C6069" s="9">
        <v>46266</v>
      </c>
      <c r="D6069">
        <v>7</v>
      </c>
      <c r="E6069" s="16" t="s">
        <v>93</v>
      </c>
      <c r="F6069" s="16" t="s">
        <v>94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64</v>
      </c>
      <c r="C6070" s="9">
        <v>45689</v>
      </c>
      <c r="D6070">
        <v>8</v>
      </c>
      <c r="E6070" s="16" t="s">
        <v>95</v>
      </c>
      <c r="F6070" s="16" t="s">
        <v>85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64</v>
      </c>
      <c r="C6071" s="9">
        <v>45717</v>
      </c>
      <c r="D6071">
        <v>8</v>
      </c>
      <c r="E6071" s="16" t="s">
        <v>95</v>
      </c>
      <c r="F6071" s="16" t="s">
        <v>85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64</v>
      </c>
      <c r="C6072" s="9">
        <v>45748</v>
      </c>
      <c r="D6072">
        <v>8</v>
      </c>
      <c r="E6072" s="16" t="s">
        <v>95</v>
      </c>
      <c r="F6072" s="16" t="s">
        <v>85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64</v>
      </c>
      <c r="C6073" s="9">
        <v>45778</v>
      </c>
      <c r="D6073">
        <v>8</v>
      </c>
      <c r="E6073" s="16" t="s">
        <v>95</v>
      </c>
      <c r="F6073" s="16" t="s">
        <v>85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64</v>
      </c>
      <c r="C6074" s="9">
        <v>45809</v>
      </c>
      <c r="D6074">
        <v>8</v>
      </c>
      <c r="E6074" s="16" t="s">
        <v>95</v>
      </c>
      <c r="F6074" s="16" t="s">
        <v>85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64</v>
      </c>
      <c r="C6075" s="9">
        <v>45839</v>
      </c>
      <c r="D6075">
        <v>8</v>
      </c>
      <c r="E6075" s="16" t="s">
        <v>95</v>
      </c>
      <c r="F6075" s="16" t="s">
        <v>85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64</v>
      </c>
      <c r="C6076" s="9">
        <v>45870</v>
      </c>
      <c r="D6076">
        <v>8</v>
      </c>
      <c r="E6076" s="16" t="s">
        <v>95</v>
      </c>
      <c r="F6076" s="16" t="s">
        <v>85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64</v>
      </c>
      <c r="C6077" s="9">
        <v>45901</v>
      </c>
      <c r="D6077">
        <v>8</v>
      </c>
      <c r="E6077" s="16" t="s">
        <v>95</v>
      </c>
      <c r="F6077" s="16" t="s">
        <v>85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64</v>
      </c>
      <c r="C6078" s="9">
        <v>45931</v>
      </c>
      <c r="D6078">
        <v>8</v>
      </c>
      <c r="E6078" s="16" t="s">
        <v>95</v>
      </c>
      <c r="F6078" s="16" t="s">
        <v>85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64</v>
      </c>
      <c r="C6079" s="9">
        <v>45962</v>
      </c>
      <c r="D6079">
        <v>8</v>
      </c>
      <c r="E6079" s="16" t="s">
        <v>95</v>
      </c>
      <c r="F6079" s="16" t="s">
        <v>85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64</v>
      </c>
      <c r="C6080" s="9">
        <v>45992</v>
      </c>
      <c r="D6080">
        <v>8</v>
      </c>
      <c r="E6080" s="16" t="s">
        <v>95</v>
      </c>
      <c r="F6080" s="16" t="s">
        <v>85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64</v>
      </c>
      <c r="C6081" s="9">
        <v>46023</v>
      </c>
      <c r="D6081">
        <v>8</v>
      </c>
      <c r="E6081" s="16" t="s">
        <v>95</v>
      </c>
      <c r="F6081" s="16" t="s">
        <v>85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64</v>
      </c>
      <c r="C6082" s="9">
        <v>46054</v>
      </c>
      <c r="D6082">
        <v>8</v>
      </c>
      <c r="E6082" s="16" t="s">
        <v>95</v>
      </c>
      <c r="F6082" s="16" t="s">
        <v>85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64</v>
      </c>
      <c r="C6083" s="9">
        <v>46082</v>
      </c>
      <c r="D6083">
        <v>8</v>
      </c>
      <c r="E6083" s="16" t="s">
        <v>95</v>
      </c>
      <c r="F6083" s="16" t="s">
        <v>85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64</v>
      </c>
      <c r="C6084" s="9">
        <v>46113</v>
      </c>
      <c r="D6084">
        <v>8</v>
      </c>
      <c r="E6084" s="16" t="s">
        <v>95</v>
      </c>
      <c r="F6084" s="16" t="s">
        <v>85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64</v>
      </c>
      <c r="C6085" s="9">
        <v>46143</v>
      </c>
      <c r="D6085">
        <v>8</v>
      </c>
      <c r="E6085" s="16" t="s">
        <v>95</v>
      </c>
      <c r="F6085" s="16" t="s">
        <v>85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64</v>
      </c>
      <c r="C6086" s="9">
        <v>46174</v>
      </c>
      <c r="D6086">
        <v>8</v>
      </c>
      <c r="E6086" s="16" t="s">
        <v>95</v>
      </c>
      <c r="F6086" s="16" t="s">
        <v>85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64</v>
      </c>
      <c r="C6087" s="9">
        <v>46204</v>
      </c>
      <c r="D6087">
        <v>8</v>
      </c>
      <c r="E6087" s="16" t="s">
        <v>95</v>
      </c>
      <c r="F6087" s="16" t="s">
        <v>85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64</v>
      </c>
      <c r="C6088" s="9">
        <v>46235</v>
      </c>
      <c r="D6088">
        <v>8</v>
      </c>
      <c r="E6088" s="16" t="s">
        <v>95</v>
      </c>
      <c r="F6088" s="16" t="s">
        <v>85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64</v>
      </c>
      <c r="C6089" s="9">
        <v>46266</v>
      </c>
      <c r="D6089">
        <v>8</v>
      </c>
      <c r="E6089" s="16" t="s">
        <v>95</v>
      </c>
      <c r="F6089" s="16" t="s">
        <v>85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64</v>
      </c>
      <c r="C6090" s="9">
        <v>45689</v>
      </c>
      <c r="D6090">
        <v>9</v>
      </c>
      <c r="E6090" s="16" t="s">
        <v>96</v>
      </c>
      <c r="F6090" s="16" t="s">
        <v>87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64</v>
      </c>
      <c r="C6091" s="9">
        <v>45717</v>
      </c>
      <c r="D6091">
        <v>9</v>
      </c>
      <c r="E6091" s="16" t="s">
        <v>96</v>
      </c>
      <c r="F6091" s="16" t="s">
        <v>87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64</v>
      </c>
      <c r="C6092" s="9">
        <v>45748</v>
      </c>
      <c r="D6092">
        <v>9</v>
      </c>
      <c r="E6092" s="16" t="s">
        <v>96</v>
      </c>
      <c r="F6092" s="16" t="s">
        <v>87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64</v>
      </c>
      <c r="C6093" s="9">
        <v>45778</v>
      </c>
      <c r="D6093">
        <v>9</v>
      </c>
      <c r="E6093" s="16" t="s">
        <v>96</v>
      </c>
      <c r="F6093" s="16" t="s">
        <v>87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64</v>
      </c>
      <c r="C6094" s="9">
        <v>45809</v>
      </c>
      <c r="D6094">
        <v>9</v>
      </c>
      <c r="E6094" s="16" t="s">
        <v>96</v>
      </c>
      <c r="F6094" s="16" t="s">
        <v>87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64</v>
      </c>
      <c r="C6095" s="9">
        <v>45839</v>
      </c>
      <c r="D6095">
        <v>9</v>
      </c>
      <c r="E6095" s="16" t="s">
        <v>96</v>
      </c>
      <c r="F6095" s="16" t="s">
        <v>87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64</v>
      </c>
      <c r="C6096" s="9">
        <v>45870</v>
      </c>
      <c r="D6096">
        <v>9</v>
      </c>
      <c r="E6096" s="16" t="s">
        <v>96</v>
      </c>
      <c r="F6096" s="16" t="s">
        <v>87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64</v>
      </c>
      <c r="C6097" s="9">
        <v>45901</v>
      </c>
      <c r="D6097">
        <v>9</v>
      </c>
      <c r="E6097" s="16" t="s">
        <v>96</v>
      </c>
      <c r="F6097" s="16" t="s">
        <v>87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64</v>
      </c>
      <c r="C6098" s="9">
        <v>45931</v>
      </c>
      <c r="D6098">
        <v>9</v>
      </c>
      <c r="E6098" s="16" t="s">
        <v>96</v>
      </c>
      <c r="F6098" s="16" t="s">
        <v>87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64</v>
      </c>
      <c r="C6099" s="9">
        <v>45962</v>
      </c>
      <c r="D6099">
        <v>9</v>
      </c>
      <c r="E6099" s="16" t="s">
        <v>96</v>
      </c>
      <c r="F6099" s="16" t="s">
        <v>87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64</v>
      </c>
      <c r="C6100" s="9">
        <v>45992</v>
      </c>
      <c r="D6100">
        <v>9</v>
      </c>
      <c r="E6100" s="16" t="s">
        <v>96</v>
      </c>
      <c r="F6100" s="16" t="s">
        <v>87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64</v>
      </c>
      <c r="C6101" s="9">
        <v>46023</v>
      </c>
      <c r="D6101">
        <v>9</v>
      </c>
      <c r="E6101" s="16" t="s">
        <v>96</v>
      </c>
      <c r="F6101" s="16" t="s">
        <v>87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64</v>
      </c>
      <c r="C6102" s="9">
        <v>46054</v>
      </c>
      <c r="D6102">
        <v>9</v>
      </c>
      <c r="E6102" s="16" t="s">
        <v>96</v>
      </c>
      <c r="F6102" s="16" t="s">
        <v>87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64</v>
      </c>
      <c r="C6103" s="9">
        <v>46082</v>
      </c>
      <c r="D6103">
        <v>9</v>
      </c>
      <c r="E6103" s="16" t="s">
        <v>96</v>
      </c>
      <c r="F6103" s="16" t="s">
        <v>87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64</v>
      </c>
      <c r="C6104" s="9">
        <v>46113</v>
      </c>
      <c r="D6104">
        <v>9</v>
      </c>
      <c r="E6104" s="16" t="s">
        <v>96</v>
      </c>
      <c r="F6104" s="16" t="s">
        <v>87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64</v>
      </c>
      <c r="C6105" s="9">
        <v>46143</v>
      </c>
      <c r="D6105">
        <v>9</v>
      </c>
      <c r="E6105" s="16" t="s">
        <v>96</v>
      </c>
      <c r="F6105" s="16" t="s">
        <v>87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64</v>
      </c>
      <c r="C6106" s="9">
        <v>46174</v>
      </c>
      <c r="D6106">
        <v>9</v>
      </c>
      <c r="E6106" s="16" t="s">
        <v>96</v>
      </c>
      <c r="F6106" s="16" t="s">
        <v>87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64</v>
      </c>
      <c r="C6107" s="9">
        <v>46204</v>
      </c>
      <c r="D6107">
        <v>9</v>
      </c>
      <c r="E6107" s="16" t="s">
        <v>96</v>
      </c>
      <c r="F6107" s="16" t="s">
        <v>87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64</v>
      </c>
      <c r="C6108" s="9">
        <v>46235</v>
      </c>
      <c r="D6108">
        <v>9</v>
      </c>
      <c r="E6108" s="16" t="s">
        <v>96</v>
      </c>
      <c r="F6108" s="16" t="s">
        <v>87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64</v>
      </c>
      <c r="C6109" s="9">
        <v>46266</v>
      </c>
      <c r="D6109">
        <v>9</v>
      </c>
      <c r="E6109" s="16" t="s">
        <v>96</v>
      </c>
      <c r="F6109" s="16" t="s">
        <v>87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64</v>
      </c>
      <c r="C6110" s="9">
        <v>45689</v>
      </c>
      <c r="D6110">
        <v>10</v>
      </c>
      <c r="E6110" s="16" t="s">
        <v>97</v>
      </c>
      <c r="F6110" s="16" t="s">
        <v>85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64</v>
      </c>
      <c r="C6111" s="9">
        <v>45717</v>
      </c>
      <c r="D6111">
        <v>10</v>
      </c>
      <c r="E6111" s="16" t="s">
        <v>97</v>
      </c>
      <c r="F6111" s="16" t="s">
        <v>85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64</v>
      </c>
      <c r="C6112" s="9">
        <v>45748</v>
      </c>
      <c r="D6112">
        <v>10</v>
      </c>
      <c r="E6112" s="16" t="s">
        <v>97</v>
      </c>
      <c r="F6112" s="16" t="s">
        <v>85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64</v>
      </c>
      <c r="C6113" s="9">
        <v>45778</v>
      </c>
      <c r="D6113">
        <v>10</v>
      </c>
      <c r="E6113" s="16" t="s">
        <v>97</v>
      </c>
      <c r="F6113" s="16" t="s">
        <v>85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64</v>
      </c>
      <c r="C6114" s="9">
        <v>45809</v>
      </c>
      <c r="D6114">
        <v>10</v>
      </c>
      <c r="E6114" s="16" t="s">
        <v>97</v>
      </c>
      <c r="F6114" s="16" t="s">
        <v>85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64</v>
      </c>
      <c r="C6115" s="9">
        <v>45839</v>
      </c>
      <c r="D6115">
        <v>10</v>
      </c>
      <c r="E6115" s="16" t="s">
        <v>97</v>
      </c>
      <c r="F6115" s="16" t="s">
        <v>85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64</v>
      </c>
      <c r="C6116" s="9">
        <v>45870</v>
      </c>
      <c r="D6116">
        <v>10</v>
      </c>
      <c r="E6116" s="16" t="s">
        <v>97</v>
      </c>
      <c r="F6116" s="16" t="s">
        <v>85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64</v>
      </c>
      <c r="C6117" s="9">
        <v>45901</v>
      </c>
      <c r="D6117">
        <v>10</v>
      </c>
      <c r="E6117" s="16" t="s">
        <v>97</v>
      </c>
      <c r="F6117" s="16" t="s">
        <v>85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64</v>
      </c>
      <c r="C6118" s="9">
        <v>45931</v>
      </c>
      <c r="D6118">
        <v>10</v>
      </c>
      <c r="E6118" s="16" t="s">
        <v>97</v>
      </c>
      <c r="F6118" s="16" t="s">
        <v>85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64</v>
      </c>
      <c r="C6119" s="9">
        <v>45962</v>
      </c>
      <c r="D6119">
        <v>10</v>
      </c>
      <c r="E6119" s="16" t="s">
        <v>97</v>
      </c>
      <c r="F6119" s="16" t="s">
        <v>85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64</v>
      </c>
      <c r="C6120" s="9">
        <v>45992</v>
      </c>
      <c r="D6120">
        <v>10</v>
      </c>
      <c r="E6120" s="16" t="s">
        <v>97</v>
      </c>
      <c r="F6120" s="16" t="s">
        <v>85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64</v>
      </c>
      <c r="C6121" s="9">
        <v>46023</v>
      </c>
      <c r="D6121">
        <v>10</v>
      </c>
      <c r="E6121" s="16" t="s">
        <v>97</v>
      </c>
      <c r="F6121" s="16" t="s">
        <v>85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64</v>
      </c>
      <c r="C6122" s="9">
        <v>46054</v>
      </c>
      <c r="D6122">
        <v>10</v>
      </c>
      <c r="E6122" s="16" t="s">
        <v>97</v>
      </c>
      <c r="F6122" s="16" t="s">
        <v>85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64</v>
      </c>
      <c r="C6123" s="9">
        <v>46082</v>
      </c>
      <c r="D6123">
        <v>10</v>
      </c>
      <c r="E6123" s="16" t="s">
        <v>97</v>
      </c>
      <c r="F6123" s="16" t="s">
        <v>85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64</v>
      </c>
      <c r="C6124" s="9">
        <v>46113</v>
      </c>
      <c r="D6124">
        <v>10</v>
      </c>
      <c r="E6124" s="16" t="s">
        <v>97</v>
      </c>
      <c r="F6124" s="16" t="s">
        <v>85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64</v>
      </c>
      <c r="C6125" s="9">
        <v>46143</v>
      </c>
      <c r="D6125">
        <v>10</v>
      </c>
      <c r="E6125" s="16" t="s">
        <v>97</v>
      </c>
      <c r="F6125" s="16" t="s">
        <v>85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64</v>
      </c>
      <c r="C6126" s="9">
        <v>46174</v>
      </c>
      <c r="D6126">
        <v>10</v>
      </c>
      <c r="E6126" s="16" t="s">
        <v>97</v>
      </c>
      <c r="F6126" s="16" t="s">
        <v>85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64</v>
      </c>
      <c r="C6127" s="9">
        <v>46204</v>
      </c>
      <c r="D6127">
        <v>10</v>
      </c>
      <c r="E6127" s="16" t="s">
        <v>97</v>
      </c>
      <c r="F6127" s="16" t="s">
        <v>85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64</v>
      </c>
      <c r="C6128" s="9">
        <v>46235</v>
      </c>
      <c r="D6128">
        <v>10</v>
      </c>
      <c r="E6128" s="16" t="s">
        <v>97</v>
      </c>
      <c r="F6128" s="16" t="s">
        <v>85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64</v>
      </c>
      <c r="C6129" s="9">
        <v>46266</v>
      </c>
      <c r="D6129">
        <v>10</v>
      </c>
      <c r="E6129" s="16" t="s">
        <v>97</v>
      </c>
      <c r="F6129" s="16" t="s">
        <v>85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64</v>
      </c>
      <c r="C6130" s="9">
        <v>45689</v>
      </c>
      <c r="D6130">
        <v>11</v>
      </c>
      <c r="E6130" s="16" t="s">
        <v>98</v>
      </c>
      <c r="F6130" s="16" t="s">
        <v>89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64</v>
      </c>
      <c r="C6131" s="9">
        <v>45717</v>
      </c>
      <c r="D6131">
        <v>11</v>
      </c>
      <c r="E6131" s="16" t="s">
        <v>98</v>
      </c>
      <c r="F6131" s="16" t="s">
        <v>89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64</v>
      </c>
      <c r="C6132" s="9">
        <v>45748</v>
      </c>
      <c r="D6132">
        <v>11</v>
      </c>
      <c r="E6132" s="16" t="s">
        <v>98</v>
      </c>
      <c r="F6132" s="16" t="s">
        <v>89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64</v>
      </c>
      <c r="C6133" s="9">
        <v>45778</v>
      </c>
      <c r="D6133">
        <v>11</v>
      </c>
      <c r="E6133" s="16" t="s">
        <v>98</v>
      </c>
      <c r="F6133" s="16" t="s">
        <v>89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64</v>
      </c>
      <c r="C6134" s="9">
        <v>45809</v>
      </c>
      <c r="D6134">
        <v>11</v>
      </c>
      <c r="E6134" s="16" t="s">
        <v>98</v>
      </c>
      <c r="F6134" s="16" t="s">
        <v>89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64</v>
      </c>
      <c r="C6135" s="9">
        <v>45839</v>
      </c>
      <c r="D6135">
        <v>11</v>
      </c>
      <c r="E6135" s="16" t="s">
        <v>98</v>
      </c>
      <c r="F6135" s="16" t="s">
        <v>89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64</v>
      </c>
      <c r="C6136" s="9">
        <v>45870</v>
      </c>
      <c r="D6136">
        <v>11</v>
      </c>
      <c r="E6136" s="16" t="s">
        <v>98</v>
      </c>
      <c r="F6136" s="16" t="s">
        <v>89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64</v>
      </c>
      <c r="C6137" s="9">
        <v>45901</v>
      </c>
      <c r="D6137">
        <v>11</v>
      </c>
      <c r="E6137" s="16" t="s">
        <v>98</v>
      </c>
      <c r="F6137" s="16" t="s">
        <v>89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64</v>
      </c>
      <c r="C6138" s="9">
        <v>45931</v>
      </c>
      <c r="D6138">
        <v>11</v>
      </c>
      <c r="E6138" s="16" t="s">
        <v>98</v>
      </c>
      <c r="F6138" s="16" t="s">
        <v>89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64</v>
      </c>
      <c r="C6139" s="9">
        <v>45962</v>
      </c>
      <c r="D6139">
        <v>11</v>
      </c>
      <c r="E6139" s="16" t="s">
        <v>98</v>
      </c>
      <c r="F6139" s="16" t="s">
        <v>89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64</v>
      </c>
      <c r="C6140" s="9">
        <v>45992</v>
      </c>
      <c r="D6140">
        <v>11</v>
      </c>
      <c r="E6140" s="16" t="s">
        <v>98</v>
      </c>
      <c r="F6140" s="16" t="s">
        <v>89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64</v>
      </c>
      <c r="C6141" s="9">
        <v>46023</v>
      </c>
      <c r="D6141">
        <v>11</v>
      </c>
      <c r="E6141" s="16" t="s">
        <v>98</v>
      </c>
      <c r="F6141" s="16" t="s">
        <v>89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64</v>
      </c>
      <c r="C6142" s="9">
        <v>46054</v>
      </c>
      <c r="D6142">
        <v>11</v>
      </c>
      <c r="E6142" s="16" t="s">
        <v>98</v>
      </c>
      <c r="F6142" s="16" t="s">
        <v>89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64</v>
      </c>
      <c r="C6143" s="9">
        <v>46082</v>
      </c>
      <c r="D6143">
        <v>11</v>
      </c>
      <c r="E6143" s="16" t="s">
        <v>98</v>
      </c>
      <c r="F6143" s="16" t="s">
        <v>89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64</v>
      </c>
      <c r="C6144" s="9">
        <v>46113</v>
      </c>
      <c r="D6144">
        <v>11</v>
      </c>
      <c r="E6144" s="16" t="s">
        <v>98</v>
      </c>
      <c r="F6144" s="16" t="s">
        <v>89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64</v>
      </c>
      <c r="C6145" s="9">
        <v>46143</v>
      </c>
      <c r="D6145">
        <v>11</v>
      </c>
      <c r="E6145" s="16" t="s">
        <v>98</v>
      </c>
      <c r="F6145" s="16" t="s">
        <v>89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64</v>
      </c>
      <c r="C6146" s="9">
        <v>46174</v>
      </c>
      <c r="D6146">
        <v>11</v>
      </c>
      <c r="E6146" s="16" t="s">
        <v>98</v>
      </c>
      <c r="F6146" s="16" t="s">
        <v>89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64</v>
      </c>
      <c r="C6147" s="9">
        <v>46204</v>
      </c>
      <c r="D6147">
        <v>11</v>
      </c>
      <c r="E6147" s="16" t="s">
        <v>98</v>
      </c>
      <c r="F6147" s="16" t="s">
        <v>89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64</v>
      </c>
      <c r="C6148" s="9">
        <v>46235</v>
      </c>
      <c r="D6148">
        <v>11</v>
      </c>
      <c r="E6148" s="16" t="s">
        <v>98</v>
      </c>
      <c r="F6148" s="16" t="s">
        <v>89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64</v>
      </c>
      <c r="C6149" s="9">
        <v>46266</v>
      </c>
      <c r="D6149">
        <v>11</v>
      </c>
      <c r="E6149" s="16" t="s">
        <v>98</v>
      </c>
      <c r="F6149" s="16" t="s">
        <v>89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64</v>
      </c>
      <c r="C6150" s="9">
        <v>45689</v>
      </c>
      <c r="D6150">
        <v>13</v>
      </c>
      <c r="E6150" s="16" t="s">
        <v>99</v>
      </c>
      <c r="F6150" s="16" t="s">
        <v>100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64</v>
      </c>
      <c r="C6151" s="9">
        <v>45717</v>
      </c>
      <c r="D6151">
        <v>13</v>
      </c>
      <c r="E6151" s="16" t="s">
        <v>99</v>
      </c>
      <c r="F6151" s="16" t="s">
        <v>100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64</v>
      </c>
      <c r="C6152" s="9">
        <v>45748</v>
      </c>
      <c r="D6152">
        <v>13</v>
      </c>
      <c r="E6152" s="16" t="s">
        <v>99</v>
      </c>
      <c r="F6152" s="16" t="s">
        <v>100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64</v>
      </c>
      <c r="C6153" s="9">
        <v>45778</v>
      </c>
      <c r="D6153">
        <v>13</v>
      </c>
      <c r="E6153" s="16" t="s">
        <v>99</v>
      </c>
      <c r="F6153" s="16" t="s">
        <v>100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64</v>
      </c>
      <c r="C6154" s="9">
        <v>45809</v>
      </c>
      <c r="D6154">
        <v>13</v>
      </c>
      <c r="E6154" s="16" t="s">
        <v>99</v>
      </c>
      <c r="F6154" s="16" t="s">
        <v>100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64</v>
      </c>
      <c r="C6155" s="9">
        <v>45839</v>
      </c>
      <c r="D6155">
        <v>13</v>
      </c>
      <c r="E6155" s="16" t="s">
        <v>99</v>
      </c>
      <c r="F6155" s="16" t="s">
        <v>100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64</v>
      </c>
      <c r="C6156" s="9">
        <v>45870</v>
      </c>
      <c r="D6156">
        <v>13</v>
      </c>
      <c r="E6156" s="16" t="s">
        <v>99</v>
      </c>
      <c r="F6156" s="16" t="s">
        <v>100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64</v>
      </c>
      <c r="C6157" s="9">
        <v>45901</v>
      </c>
      <c r="D6157">
        <v>13</v>
      </c>
      <c r="E6157" s="16" t="s">
        <v>99</v>
      </c>
      <c r="F6157" s="16" t="s">
        <v>100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64</v>
      </c>
      <c r="C6158" s="9">
        <v>45931</v>
      </c>
      <c r="D6158">
        <v>13</v>
      </c>
      <c r="E6158" s="16" t="s">
        <v>99</v>
      </c>
      <c r="F6158" s="16" t="s">
        <v>100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64</v>
      </c>
      <c r="C6159" s="9">
        <v>45962</v>
      </c>
      <c r="D6159">
        <v>13</v>
      </c>
      <c r="E6159" s="16" t="s">
        <v>99</v>
      </c>
      <c r="F6159" s="16" t="s">
        <v>100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64</v>
      </c>
      <c r="C6160" s="9">
        <v>45992</v>
      </c>
      <c r="D6160">
        <v>13</v>
      </c>
      <c r="E6160" s="16" t="s">
        <v>99</v>
      </c>
      <c r="F6160" s="16" t="s">
        <v>100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64</v>
      </c>
      <c r="C6161" s="9">
        <v>46023</v>
      </c>
      <c r="D6161">
        <v>13</v>
      </c>
      <c r="E6161" s="16" t="s">
        <v>99</v>
      </c>
      <c r="F6161" s="16" t="s">
        <v>100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64</v>
      </c>
      <c r="C6162" s="9">
        <v>46054</v>
      </c>
      <c r="D6162">
        <v>13</v>
      </c>
      <c r="E6162" s="16" t="s">
        <v>99</v>
      </c>
      <c r="F6162" s="16" t="s">
        <v>100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64</v>
      </c>
      <c r="C6163" s="9">
        <v>46082</v>
      </c>
      <c r="D6163">
        <v>13</v>
      </c>
      <c r="E6163" s="16" t="s">
        <v>99</v>
      </c>
      <c r="F6163" s="16" t="s">
        <v>100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64</v>
      </c>
      <c r="C6164" s="9">
        <v>46113</v>
      </c>
      <c r="D6164">
        <v>13</v>
      </c>
      <c r="E6164" s="16" t="s">
        <v>99</v>
      </c>
      <c r="F6164" s="16" t="s">
        <v>100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64</v>
      </c>
      <c r="C6165" s="9">
        <v>46143</v>
      </c>
      <c r="D6165">
        <v>13</v>
      </c>
      <c r="E6165" s="16" t="s">
        <v>99</v>
      </c>
      <c r="F6165" s="16" t="s">
        <v>100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64</v>
      </c>
      <c r="C6166" s="9">
        <v>46174</v>
      </c>
      <c r="D6166">
        <v>13</v>
      </c>
      <c r="E6166" s="16" t="s">
        <v>99</v>
      </c>
      <c r="F6166" s="16" t="s">
        <v>100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64</v>
      </c>
      <c r="C6167" s="9">
        <v>46204</v>
      </c>
      <c r="D6167">
        <v>13</v>
      </c>
      <c r="E6167" s="16" t="s">
        <v>99</v>
      </c>
      <c r="F6167" s="16" t="s">
        <v>100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64</v>
      </c>
      <c r="C6168" s="9">
        <v>46235</v>
      </c>
      <c r="D6168">
        <v>13</v>
      </c>
      <c r="E6168" s="16" t="s">
        <v>99</v>
      </c>
      <c r="F6168" s="16" t="s">
        <v>100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64</v>
      </c>
      <c r="C6169" s="9">
        <v>46266</v>
      </c>
      <c r="D6169">
        <v>13</v>
      </c>
      <c r="E6169" s="16" t="s">
        <v>99</v>
      </c>
      <c r="F6169" s="16" t="s">
        <v>100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64</v>
      </c>
      <c r="C6170" s="9">
        <v>45689</v>
      </c>
      <c r="D6170">
        <v>14</v>
      </c>
      <c r="E6170" s="16" t="s">
        <v>101</v>
      </c>
      <c r="F6170" s="16" t="s">
        <v>92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64</v>
      </c>
      <c r="C6171" s="9">
        <v>45717</v>
      </c>
      <c r="D6171">
        <v>14</v>
      </c>
      <c r="E6171" s="16" t="s">
        <v>101</v>
      </c>
      <c r="F6171" s="16" t="s">
        <v>92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64</v>
      </c>
      <c r="C6172" s="9">
        <v>45748</v>
      </c>
      <c r="D6172">
        <v>14</v>
      </c>
      <c r="E6172" s="16" t="s">
        <v>101</v>
      </c>
      <c r="F6172" s="16" t="s">
        <v>92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64</v>
      </c>
      <c r="C6173" s="9">
        <v>45778</v>
      </c>
      <c r="D6173">
        <v>14</v>
      </c>
      <c r="E6173" s="16" t="s">
        <v>101</v>
      </c>
      <c r="F6173" s="16" t="s">
        <v>92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64</v>
      </c>
      <c r="C6174" s="9">
        <v>45809</v>
      </c>
      <c r="D6174">
        <v>14</v>
      </c>
      <c r="E6174" s="16" t="s">
        <v>101</v>
      </c>
      <c r="F6174" s="16" t="s">
        <v>92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64</v>
      </c>
      <c r="C6175" s="9">
        <v>45839</v>
      </c>
      <c r="D6175">
        <v>14</v>
      </c>
      <c r="E6175" s="16" t="s">
        <v>101</v>
      </c>
      <c r="F6175" s="16" t="s">
        <v>92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64</v>
      </c>
      <c r="C6176" s="9">
        <v>45870</v>
      </c>
      <c r="D6176">
        <v>14</v>
      </c>
      <c r="E6176" s="16" t="s">
        <v>101</v>
      </c>
      <c r="F6176" s="16" t="s">
        <v>92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64</v>
      </c>
      <c r="C6177" s="9">
        <v>45901</v>
      </c>
      <c r="D6177">
        <v>14</v>
      </c>
      <c r="E6177" s="16" t="s">
        <v>101</v>
      </c>
      <c r="F6177" s="16" t="s">
        <v>92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64</v>
      </c>
      <c r="C6178" s="9">
        <v>45931</v>
      </c>
      <c r="D6178">
        <v>14</v>
      </c>
      <c r="E6178" s="16" t="s">
        <v>101</v>
      </c>
      <c r="F6178" s="16" t="s">
        <v>92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64</v>
      </c>
      <c r="C6179" s="9">
        <v>45962</v>
      </c>
      <c r="D6179">
        <v>14</v>
      </c>
      <c r="E6179" s="16" t="s">
        <v>101</v>
      </c>
      <c r="F6179" s="16" t="s">
        <v>92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64</v>
      </c>
      <c r="C6180" s="9">
        <v>45992</v>
      </c>
      <c r="D6180">
        <v>14</v>
      </c>
      <c r="E6180" s="16" t="s">
        <v>101</v>
      </c>
      <c r="F6180" s="16" t="s">
        <v>92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64</v>
      </c>
      <c r="C6181" s="9">
        <v>46023</v>
      </c>
      <c r="D6181">
        <v>14</v>
      </c>
      <c r="E6181" s="16" t="s">
        <v>101</v>
      </c>
      <c r="F6181" s="16" t="s">
        <v>92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64</v>
      </c>
      <c r="C6182" s="9">
        <v>46054</v>
      </c>
      <c r="D6182">
        <v>14</v>
      </c>
      <c r="E6182" s="16" t="s">
        <v>101</v>
      </c>
      <c r="F6182" s="16" t="s">
        <v>92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64</v>
      </c>
      <c r="C6183" s="9">
        <v>46082</v>
      </c>
      <c r="D6183">
        <v>14</v>
      </c>
      <c r="E6183" s="16" t="s">
        <v>101</v>
      </c>
      <c r="F6183" s="16" t="s">
        <v>92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64</v>
      </c>
      <c r="C6184" s="9">
        <v>46113</v>
      </c>
      <c r="D6184">
        <v>14</v>
      </c>
      <c r="E6184" s="16" t="s">
        <v>101</v>
      </c>
      <c r="F6184" s="16" t="s">
        <v>92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64</v>
      </c>
      <c r="C6185" s="9">
        <v>46143</v>
      </c>
      <c r="D6185">
        <v>14</v>
      </c>
      <c r="E6185" s="16" t="s">
        <v>101</v>
      </c>
      <c r="F6185" s="16" t="s">
        <v>92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64</v>
      </c>
      <c r="C6186" s="9">
        <v>46174</v>
      </c>
      <c r="D6186">
        <v>14</v>
      </c>
      <c r="E6186" s="16" t="s">
        <v>101</v>
      </c>
      <c r="F6186" s="16" t="s">
        <v>92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64</v>
      </c>
      <c r="C6187" s="9">
        <v>46204</v>
      </c>
      <c r="D6187">
        <v>14</v>
      </c>
      <c r="E6187" s="16" t="s">
        <v>101</v>
      </c>
      <c r="F6187" s="16" t="s">
        <v>92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64</v>
      </c>
      <c r="C6188" s="9">
        <v>46235</v>
      </c>
      <c r="D6188">
        <v>14</v>
      </c>
      <c r="E6188" s="16" t="s">
        <v>101</v>
      </c>
      <c r="F6188" s="16" t="s">
        <v>92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64</v>
      </c>
      <c r="C6189" s="9">
        <v>46266</v>
      </c>
      <c r="D6189">
        <v>14</v>
      </c>
      <c r="E6189" s="16" t="s">
        <v>101</v>
      </c>
      <c r="F6189" s="16" t="s">
        <v>92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64</v>
      </c>
      <c r="C6190" s="9">
        <v>45689</v>
      </c>
      <c r="D6190">
        <v>15</v>
      </c>
      <c r="E6190" s="16" t="s">
        <v>102</v>
      </c>
      <c r="F6190" s="16" t="s">
        <v>94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64</v>
      </c>
      <c r="C6191" s="9">
        <v>45717</v>
      </c>
      <c r="D6191">
        <v>15</v>
      </c>
      <c r="E6191" s="16" t="s">
        <v>102</v>
      </c>
      <c r="F6191" s="16" t="s">
        <v>94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64</v>
      </c>
      <c r="C6192" s="9">
        <v>45748</v>
      </c>
      <c r="D6192">
        <v>15</v>
      </c>
      <c r="E6192" s="16" t="s">
        <v>102</v>
      </c>
      <c r="F6192" s="16" t="s">
        <v>94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64</v>
      </c>
      <c r="C6193" s="9">
        <v>45778</v>
      </c>
      <c r="D6193">
        <v>15</v>
      </c>
      <c r="E6193" s="16" t="s">
        <v>102</v>
      </c>
      <c r="F6193" s="16" t="s">
        <v>94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64</v>
      </c>
      <c r="C6194" s="9">
        <v>45809</v>
      </c>
      <c r="D6194">
        <v>15</v>
      </c>
      <c r="E6194" s="16" t="s">
        <v>102</v>
      </c>
      <c r="F6194" s="16" t="s">
        <v>94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64</v>
      </c>
      <c r="C6195" s="9">
        <v>45839</v>
      </c>
      <c r="D6195">
        <v>15</v>
      </c>
      <c r="E6195" s="16" t="s">
        <v>102</v>
      </c>
      <c r="F6195" s="16" t="s">
        <v>94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64</v>
      </c>
      <c r="C6196" s="9">
        <v>45870</v>
      </c>
      <c r="D6196">
        <v>15</v>
      </c>
      <c r="E6196" s="16" t="s">
        <v>102</v>
      </c>
      <c r="F6196" s="16" t="s">
        <v>94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64</v>
      </c>
      <c r="C6197" s="9">
        <v>45901</v>
      </c>
      <c r="D6197">
        <v>15</v>
      </c>
      <c r="E6197" s="16" t="s">
        <v>102</v>
      </c>
      <c r="F6197" s="16" t="s">
        <v>94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64</v>
      </c>
      <c r="C6198" s="9">
        <v>45931</v>
      </c>
      <c r="D6198">
        <v>15</v>
      </c>
      <c r="E6198" s="16" t="s">
        <v>102</v>
      </c>
      <c r="F6198" s="16" t="s">
        <v>94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64</v>
      </c>
      <c r="C6199" s="9">
        <v>45962</v>
      </c>
      <c r="D6199">
        <v>15</v>
      </c>
      <c r="E6199" s="16" t="s">
        <v>102</v>
      </c>
      <c r="F6199" s="16" t="s">
        <v>94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64</v>
      </c>
      <c r="C6200" s="9">
        <v>45992</v>
      </c>
      <c r="D6200">
        <v>15</v>
      </c>
      <c r="E6200" s="16" t="s">
        <v>102</v>
      </c>
      <c r="F6200" s="16" t="s">
        <v>94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64</v>
      </c>
      <c r="C6201" s="9">
        <v>46023</v>
      </c>
      <c r="D6201">
        <v>15</v>
      </c>
      <c r="E6201" s="16" t="s">
        <v>102</v>
      </c>
      <c r="F6201" s="16" t="s">
        <v>94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64</v>
      </c>
      <c r="C6202" s="9">
        <v>46054</v>
      </c>
      <c r="D6202">
        <v>15</v>
      </c>
      <c r="E6202" s="16" t="s">
        <v>102</v>
      </c>
      <c r="F6202" s="16" t="s">
        <v>94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64</v>
      </c>
      <c r="C6203" s="9">
        <v>46082</v>
      </c>
      <c r="D6203">
        <v>15</v>
      </c>
      <c r="E6203" s="16" t="s">
        <v>102</v>
      </c>
      <c r="F6203" s="16" t="s">
        <v>94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64</v>
      </c>
      <c r="C6204" s="9">
        <v>46113</v>
      </c>
      <c r="D6204">
        <v>15</v>
      </c>
      <c r="E6204" s="16" t="s">
        <v>102</v>
      </c>
      <c r="F6204" s="16" t="s">
        <v>94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64</v>
      </c>
      <c r="C6205" s="9">
        <v>46143</v>
      </c>
      <c r="D6205">
        <v>15</v>
      </c>
      <c r="E6205" s="16" t="s">
        <v>102</v>
      </c>
      <c r="F6205" s="16" t="s">
        <v>94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64</v>
      </c>
      <c r="C6206" s="9">
        <v>46174</v>
      </c>
      <c r="D6206">
        <v>15</v>
      </c>
      <c r="E6206" s="16" t="s">
        <v>102</v>
      </c>
      <c r="F6206" s="16" t="s">
        <v>94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64</v>
      </c>
      <c r="C6207" s="9">
        <v>46204</v>
      </c>
      <c r="D6207">
        <v>15</v>
      </c>
      <c r="E6207" s="16" t="s">
        <v>102</v>
      </c>
      <c r="F6207" s="16" t="s">
        <v>94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64</v>
      </c>
      <c r="C6208" s="9">
        <v>46235</v>
      </c>
      <c r="D6208">
        <v>15</v>
      </c>
      <c r="E6208" s="16" t="s">
        <v>102</v>
      </c>
      <c r="F6208" s="16" t="s">
        <v>94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64</v>
      </c>
      <c r="C6209" s="9">
        <v>46266</v>
      </c>
      <c r="D6209">
        <v>15</v>
      </c>
      <c r="E6209" s="16" t="s">
        <v>102</v>
      </c>
      <c r="F6209" s="16" t="s">
        <v>94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64</v>
      </c>
      <c r="C6210" s="9">
        <v>45689</v>
      </c>
      <c r="D6210">
        <v>16</v>
      </c>
      <c r="E6210" s="16" t="s">
        <v>103</v>
      </c>
      <c r="F6210" s="16" t="s">
        <v>94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64</v>
      </c>
      <c r="C6211" s="9">
        <v>45717</v>
      </c>
      <c r="D6211">
        <v>16</v>
      </c>
      <c r="E6211" s="16" t="s">
        <v>103</v>
      </c>
      <c r="F6211" s="16" t="s">
        <v>94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64</v>
      </c>
      <c r="C6212" s="9">
        <v>45748</v>
      </c>
      <c r="D6212">
        <v>16</v>
      </c>
      <c r="E6212" s="16" t="s">
        <v>103</v>
      </c>
      <c r="F6212" s="16" t="s">
        <v>94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64</v>
      </c>
      <c r="C6213" s="9">
        <v>45778</v>
      </c>
      <c r="D6213">
        <v>16</v>
      </c>
      <c r="E6213" s="16" t="s">
        <v>103</v>
      </c>
      <c r="F6213" s="16" t="s">
        <v>94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64</v>
      </c>
      <c r="C6214" s="9">
        <v>45809</v>
      </c>
      <c r="D6214">
        <v>16</v>
      </c>
      <c r="E6214" s="16" t="s">
        <v>103</v>
      </c>
      <c r="F6214" s="16" t="s">
        <v>94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64</v>
      </c>
      <c r="C6215" s="9">
        <v>45839</v>
      </c>
      <c r="D6215">
        <v>16</v>
      </c>
      <c r="E6215" s="16" t="s">
        <v>103</v>
      </c>
      <c r="F6215" s="16" t="s">
        <v>94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64</v>
      </c>
      <c r="C6216" s="9">
        <v>45870</v>
      </c>
      <c r="D6216">
        <v>16</v>
      </c>
      <c r="E6216" s="16" t="s">
        <v>103</v>
      </c>
      <c r="F6216" s="16" t="s">
        <v>94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64</v>
      </c>
      <c r="C6217" s="9">
        <v>45901</v>
      </c>
      <c r="D6217">
        <v>16</v>
      </c>
      <c r="E6217" s="16" t="s">
        <v>103</v>
      </c>
      <c r="F6217" s="16" t="s">
        <v>94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64</v>
      </c>
      <c r="C6218" s="9">
        <v>45931</v>
      </c>
      <c r="D6218">
        <v>16</v>
      </c>
      <c r="E6218" s="16" t="s">
        <v>103</v>
      </c>
      <c r="F6218" s="16" t="s">
        <v>94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64</v>
      </c>
      <c r="C6219" s="9">
        <v>45962</v>
      </c>
      <c r="D6219">
        <v>16</v>
      </c>
      <c r="E6219" s="16" t="s">
        <v>103</v>
      </c>
      <c r="F6219" s="16" t="s">
        <v>94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64</v>
      </c>
      <c r="C6220" s="9">
        <v>45992</v>
      </c>
      <c r="D6220">
        <v>16</v>
      </c>
      <c r="E6220" s="16" t="s">
        <v>103</v>
      </c>
      <c r="F6220" s="16" t="s">
        <v>94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64</v>
      </c>
      <c r="C6221" s="9">
        <v>46023</v>
      </c>
      <c r="D6221">
        <v>16</v>
      </c>
      <c r="E6221" s="16" t="s">
        <v>103</v>
      </c>
      <c r="F6221" s="16" t="s">
        <v>94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64</v>
      </c>
      <c r="C6222" s="9">
        <v>46054</v>
      </c>
      <c r="D6222">
        <v>16</v>
      </c>
      <c r="E6222" s="16" t="s">
        <v>103</v>
      </c>
      <c r="F6222" s="16" t="s">
        <v>94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64</v>
      </c>
      <c r="C6223" s="9">
        <v>46082</v>
      </c>
      <c r="D6223">
        <v>16</v>
      </c>
      <c r="E6223" s="16" t="s">
        <v>103</v>
      </c>
      <c r="F6223" s="16" t="s">
        <v>94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64</v>
      </c>
      <c r="C6224" s="9">
        <v>46113</v>
      </c>
      <c r="D6224">
        <v>16</v>
      </c>
      <c r="E6224" s="16" t="s">
        <v>103</v>
      </c>
      <c r="F6224" s="16" t="s">
        <v>94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64</v>
      </c>
      <c r="C6225" s="9">
        <v>46143</v>
      </c>
      <c r="D6225">
        <v>16</v>
      </c>
      <c r="E6225" s="16" t="s">
        <v>103</v>
      </c>
      <c r="F6225" s="16" t="s">
        <v>94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64</v>
      </c>
      <c r="C6226" s="9">
        <v>46174</v>
      </c>
      <c r="D6226">
        <v>16</v>
      </c>
      <c r="E6226" s="16" t="s">
        <v>103</v>
      </c>
      <c r="F6226" s="16" t="s">
        <v>94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64</v>
      </c>
      <c r="C6227" s="9">
        <v>46204</v>
      </c>
      <c r="D6227">
        <v>16</v>
      </c>
      <c r="E6227" s="16" t="s">
        <v>103</v>
      </c>
      <c r="F6227" s="16" t="s">
        <v>94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64</v>
      </c>
      <c r="C6228" s="9">
        <v>46235</v>
      </c>
      <c r="D6228">
        <v>16</v>
      </c>
      <c r="E6228" s="16" t="s">
        <v>103</v>
      </c>
      <c r="F6228" s="16" t="s">
        <v>94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64</v>
      </c>
      <c r="C6229" s="9">
        <v>46266</v>
      </c>
      <c r="D6229">
        <v>16</v>
      </c>
      <c r="E6229" s="16" t="s">
        <v>103</v>
      </c>
      <c r="F6229" s="16" t="s">
        <v>94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64</v>
      </c>
      <c r="C6230" s="9">
        <v>45689</v>
      </c>
      <c r="D6230">
        <v>17</v>
      </c>
      <c r="E6230" s="16" t="s">
        <v>104</v>
      </c>
      <c r="F6230" s="16" t="s">
        <v>105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64</v>
      </c>
      <c r="C6231" s="9">
        <v>45717</v>
      </c>
      <c r="D6231">
        <v>17</v>
      </c>
      <c r="E6231" s="16" t="s">
        <v>104</v>
      </c>
      <c r="F6231" s="16" t="s">
        <v>105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64</v>
      </c>
      <c r="C6232" s="9">
        <v>45748</v>
      </c>
      <c r="D6232">
        <v>17</v>
      </c>
      <c r="E6232" s="16" t="s">
        <v>104</v>
      </c>
      <c r="F6232" s="16" t="s">
        <v>105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64</v>
      </c>
      <c r="C6233" s="9">
        <v>45778</v>
      </c>
      <c r="D6233">
        <v>17</v>
      </c>
      <c r="E6233" s="16" t="s">
        <v>104</v>
      </c>
      <c r="F6233" s="16" t="s">
        <v>105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64</v>
      </c>
      <c r="C6234" s="9">
        <v>45809</v>
      </c>
      <c r="D6234">
        <v>17</v>
      </c>
      <c r="E6234" s="16" t="s">
        <v>104</v>
      </c>
      <c r="F6234" s="16" t="s">
        <v>105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64</v>
      </c>
      <c r="C6235" s="9">
        <v>45839</v>
      </c>
      <c r="D6235">
        <v>17</v>
      </c>
      <c r="E6235" s="16" t="s">
        <v>104</v>
      </c>
      <c r="F6235" s="16" t="s">
        <v>105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64</v>
      </c>
      <c r="C6236" s="9">
        <v>45870</v>
      </c>
      <c r="D6236">
        <v>17</v>
      </c>
      <c r="E6236" s="16" t="s">
        <v>104</v>
      </c>
      <c r="F6236" s="16" t="s">
        <v>105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64</v>
      </c>
      <c r="C6237" s="9">
        <v>45901</v>
      </c>
      <c r="D6237">
        <v>17</v>
      </c>
      <c r="E6237" s="16" t="s">
        <v>104</v>
      </c>
      <c r="F6237" s="16" t="s">
        <v>105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64</v>
      </c>
      <c r="C6238" s="9">
        <v>45931</v>
      </c>
      <c r="D6238">
        <v>17</v>
      </c>
      <c r="E6238" s="16" t="s">
        <v>104</v>
      </c>
      <c r="F6238" s="16" t="s">
        <v>105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64</v>
      </c>
      <c r="C6239" s="9">
        <v>45962</v>
      </c>
      <c r="D6239">
        <v>17</v>
      </c>
      <c r="E6239" s="16" t="s">
        <v>104</v>
      </c>
      <c r="F6239" s="16" t="s">
        <v>105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64</v>
      </c>
      <c r="C6240" s="9">
        <v>45992</v>
      </c>
      <c r="D6240">
        <v>17</v>
      </c>
      <c r="E6240" s="16" t="s">
        <v>104</v>
      </c>
      <c r="F6240" s="16" t="s">
        <v>105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64</v>
      </c>
      <c r="C6241" s="9">
        <v>46023</v>
      </c>
      <c r="D6241">
        <v>17</v>
      </c>
      <c r="E6241" s="16" t="s">
        <v>104</v>
      </c>
      <c r="F6241" s="16" t="s">
        <v>105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64</v>
      </c>
      <c r="C6242" s="9">
        <v>46054</v>
      </c>
      <c r="D6242">
        <v>17</v>
      </c>
      <c r="E6242" s="16" t="s">
        <v>104</v>
      </c>
      <c r="F6242" s="16" t="s">
        <v>105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64</v>
      </c>
      <c r="C6243" s="9">
        <v>46082</v>
      </c>
      <c r="D6243">
        <v>17</v>
      </c>
      <c r="E6243" s="16" t="s">
        <v>104</v>
      </c>
      <c r="F6243" s="16" t="s">
        <v>105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64</v>
      </c>
      <c r="C6244" s="9">
        <v>46113</v>
      </c>
      <c r="D6244">
        <v>17</v>
      </c>
      <c r="E6244" s="16" t="s">
        <v>104</v>
      </c>
      <c r="F6244" s="16" t="s">
        <v>105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64</v>
      </c>
      <c r="C6245" s="9">
        <v>46143</v>
      </c>
      <c r="D6245">
        <v>17</v>
      </c>
      <c r="E6245" s="16" t="s">
        <v>104</v>
      </c>
      <c r="F6245" s="16" t="s">
        <v>105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64</v>
      </c>
      <c r="C6246" s="9">
        <v>46174</v>
      </c>
      <c r="D6246">
        <v>17</v>
      </c>
      <c r="E6246" s="16" t="s">
        <v>104</v>
      </c>
      <c r="F6246" s="16" t="s">
        <v>105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64</v>
      </c>
      <c r="C6247" s="9">
        <v>46204</v>
      </c>
      <c r="D6247">
        <v>17</v>
      </c>
      <c r="E6247" s="16" t="s">
        <v>104</v>
      </c>
      <c r="F6247" s="16" t="s">
        <v>105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64</v>
      </c>
      <c r="C6248" s="9">
        <v>46235</v>
      </c>
      <c r="D6248">
        <v>17</v>
      </c>
      <c r="E6248" s="16" t="s">
        <v>104</v>
      </c>
      <c r="F6248" s="16" t="s">
        <v>105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64</v>
      </c>
      <c r="C6249" s="9">
        <v>46266</v>
      </c>
      <c r="D6249">
        <v>17</v>
      </c>
      <c r="E6249" s="16" t="s">
        <v>104</v>
      </c>
      <c r="F6249" s="16" t="s">
        <v>105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64</v>
      </c>
      <c r="C6250" s="9">
        <v>45689</v>
      </c>
      <c r="D6250">
        <v>18</v>
      </c>
      <c r="E6250" s="16" t="s">
        <v>106</v>
      </c>
      <c r="F6250" s="16" t="s">
        <v>105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64</v>
      </c>
      <c r="C6251" s="9">
        <v>45717</v>
      </c>
      <c r="D6251">
        <v>18</v>
      </c>
      <c r="E6251" s="16" t="s">
        <v>106</v>
      </c>
      <c r="F6251" s="16" t="s">
        <v>105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64</v>
      </c>
      <c r="C6252" s="9">
        <v>45748</v>
      </c>
      <c r="D6252">
        <v>18</v>
      </c>
      <c r="E6252" s="16" t="s">
        <v>106</v>
      </c>
      <c r="F6252" s="16" t="s">
        <v>105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64</v>
      </c>
      <c r="C6253" s="9">
        <v>45778</v>
      </c>
      <c r="D6253">
        <v>18</v>
      </c>
      <c r="E6253" s="16" t="s">
        <v>106</v>
      </c>
      <c r="F6253" s="16" t="s">
        <v>105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64</v>
      </c>
      <c r="C6254" s="9">
        <v>45809</v>
      </c>
      <c r="D6254">
        <v>18</v>
      </c>
      <c r="E6254" s="16" t="s">
        <v>106</v>
      </c>
      <c r="F6254" s="16" t="s">
        <v>105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64</v>
      </c>
      <c r="C6255" s="9">
        <v>45839</v>
      </c>
      <c r="D6255">
        <v>18</v>
      </c>
      <c r="E6255" s="16" t="s">
        <v>106</v>
      </c>
      <c r="F6255" s="16" t="s">
        <v>105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64</v>
      </c>
      <c r="C6256" s="9">
        <v>45870</v>
      </c>
      <c r="D6256">
        <v>18</v>
      </c>
      <c r="E6256" s="16" t="s">
        <v>106</v>
      </c>
      <c r="F6256" s="16" t="s">
        <v>105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64</v>
      </c>
      <c r="C6257" s="9">
        <v>45901</v>
      </c>
      <c r="D6257">
        <v>18</v>
      </c>
      <c r="E6257" s="16" t="s">
        <v>106</v>
      </c>
      <c r="F6257" s="16" t="s">
        <v>105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64</v>
      </c>
      <c r="C6258" s="9">
        <v>45931</v>
      </c>
      <c r="D6258">
        <v>18</v>
      </c>
      <c r="E6258" s="16" t="s">
        <v>106</v>
      </c>
      <c r="F6258" s="16" t="s">
        <v>105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64</v>
      </c>
      <c r="C6259" s="9">
        <v>45962</v>
      </c>
      <c r="D6259">
        <v>18</v>
      </c>
      <c r="E6259" s="16" t="s">
        <v>106</v>
      </c>
      <c r="F6259" s="16" t="s">
        <v>105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64</v>
      </c>
      <c r="C6260" s="9">
        <v>45992</v>
      </c>
      <c r="D6260">
        <v>18</v>
      </c>
      <c r="E6260" s="16" t="s">
        <v>106</v>
      </c>
      <c r="F6260" s="16" t="s">
        <v>105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64</v>
      </c>
      <c r="C6261" s="9">
        <v>46023</v>
      </c>
      <c r="D6261">
        <v>18</v>
      </c>
      <c r="E6261" s="16" t="s">
        <v>106</v>
      </c>
      <c r="F6261" s="16" t="s">
        <v>105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64</v>
      </c>
      <c r="C6262" s="9">
        <v>46054</v>
      </c>
      <c r="D6262">
        <v>18</v>
      </c>
      <c r="E6262" s="16" t="s">
        <v>106</v>
      </c>
      <c r="F6262" s="16" t="s">
        <v>105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64</v>
      </c>
      <c r="C6263" s="9">
        <v>46082</v>
      </c>
      <c r="D6263">
        <v>18</v>
      </c>
      <c r="E6263" s="16" t="s">
        <v>106</v>
      </c>
      <c r="F6263" s="16" t="s">
        <v>105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64</v>
      </c>
      <c r="C6264" s="9">
        <v>46113</v>
      </c>
      <c r="D6264">
        <v>18</v>
      </c>
      <c r="E6264" s="16" t="s">
        <v>106</v>
      </c>
      <c r="F6264" s="16" t="s">
        <v>105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64</v>
      </c>
      <c r="C6265" s="9">
        <v>46143</v>
      </c>
      <c r="D6265">
        <v>18</v>
      </c>
      <c r="E6265" s="16" t="s">
        <v>106</v>
      </c>
      <c r="F6265" s="16" t="s">
        <v>105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64</v>
      </c>
      <c r="C6266" s="9">
        <v>46174</v>
      </c>
      <c r="D6266">
        <v>18</v>
      </c>
      <c r="E6266" s="16" t="s">
        <v>106</v>
      </c>
      <c r="F6266" s="16" t="s">
        <v>105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64</v>
      </c>
      <c r="C6267" s="9">
        <v>46204</v>
      </c>
      <c r="D6267">
        <v>18</v>
      </c>
      <c r="E6267" s="16" t="s">
        <v>106</v>
      </c>
      <c r="F6267" s="16" t="s">
        <v>105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64</v>
      </c>
      <c r="C6268" s="9">
        <v>46235</v>
      </c>
      <c r="D6268">
        <v>18</v>
      </c>
      <c r="E6268" s="16" t="s">
        <v>106</v>
      </c>
      <c r="F6268" s="16" t="s">
        <v>105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64</v>
      </c>
      <c r="C6269" s="9">
        <v>46266</v>
      </c>
      <c r="D6269">
        <v>18</v>
      </c>
      <c r="E6269" s="16" t="s">
        <v>106</v>
      </c>
      <c r="F6269" s="16" t="s">
        <v>105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64</v>
      </c>
      <c r="C6270" s="9">
        <v>45689</v>
      </c>
      <c r="D6270">
        <v>19</v>
      </c>
      <c r="E6270" s="16" t="s">
        <v>107</v>
      </c>
      <c r="F6270" s="16" t="s">
        <v>108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64</v>
      </c>
      <c r="C6271" s="9">
        <v>45717</v>
      </c>
      <c r="D6271">
        <v>19</v>
      </c>
      <c r="E6271" s="16" t="s">
        <v>107</v>
      </c>
      <c r="F6271" s="16" t="s">
        <v>108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64</v>
      </c>
      <c r="C6272" s="9">
        <v>45748</v>
      </c>
      <c r="D6272">
        <v>19</v>
      </c>
      <c r="E6272" s="16" t="s">
        <v>107</v>
      </c>
      <c r="F6272" s="16" t="s">
        <v>108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64</v>
      </c>
      <c r="C6273" s="9">
        <v>45778</v>
      </c>
      <c r="D6273">
        <v>19</v>
      </c>
      <c r="E6273" s="16" t="s">
        <v>107</v>
      </c>
      <c r="F6273" s="16" t="s">
        <v>108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64</v>
      </c>
      <c r="C6274" s="9">
        <v>45809</v>
      </c>
      <c r="D6274">
        <v>19</v>
      </c>
      <c r="E6274" s="16" t="s">
        <v>107</v>
      </c>
      <c r="F6274" s="16" t="s">
        <v>108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64</v>
      </c>
      <c r="C6275" s="9">
        <v>45839</v>
      </c>
      <c r="D6275">
        <v>19</v>
      </c>
      <c r="E6275" s="16" t="s">
        <v>107</v>
      </c>
      <c r="F6275" s="16" t="s">
        <v>108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64</v>
      </c>
      <c r="C6276" s="9">
        <v>45870</v>
      </c>
      <c r="D6276">
        <v>19</v>
      </c>
      <c r="E6276" s="16" t="s">
        <v>107</v>
      </c>
      <c r="F6276" s="16" t="s">
        <v>108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64</v>
      </c>
      <c r="C6277" s="9">
        <v>45901</v>
      </c>
      <c r="D6277">
        <v>19</v>
      </c>
      <c r="E6277" s="16" t="s">
        <v>107</v>
      </c>
      <c r="F6277" s="16" t="s">
        <v>108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64</v>
      </c>
      <c r="C6278" s="9">
        <v>45931</v>
      </c>
      <c r="D6278">
        <v>19</v>
      </c>
      <c r="E6278" s="16" t="s">
        <v>107</v>
      </c>
      <c r="F6278" s="16" t="s">
        <v>108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64</v>
      </c>
      <c r="C6279" s="9">
        <v>45962</v>
      </c>
      <c r="D6279">
        <v>19</v>
      </c>
      <c r="E6279" s="16" t="s">
        <v>107</v>
      </c>
      <c r="F6279" s="16" t="s">
        <v>108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64</v>
      </c>
      <c r="C6280" s="9">
        <v>45992</v>
      </c>
      <c r="D6280">
        <v>19</v>
      </c>
      <c r="E6280" s="16" t="s">
        <v>107</v>
      </c>
      <c r="F6280" s="16" t="s">
        <v>108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64</v>
      </c>
      <c r="C6281" s="9">
        <v>46023</v>
      </c>
      <c r="D6281">
        <v>19</v>
      </c>
      <c r="E6281" s="16" t="s">
        <v>107</v>
      </c>
      <c r="F6281" s="16" t="s">
        <v>108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64</v>
      </c>
      <c r="C6282" s="9">
        <v>46054</v>
      </c>
      <c r="D6282">
        <v>19</v>
      </c>
      <c r="E6282" s="16" t="s">
        <v>107</v>
      </c>
      <c r="F6282" s="16" t="s">
        <v>108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64</v>
      </c>
      <c r="C6283" s="9">
        <v>46082</v>
      </c>
      <c r="D6283">
        <v>19</v>
      </c>
      <c r="E6283" s="16" t="s">
        <v>107</v>
      </c>
      <c r="F6283" s="16" t="s">
        <v>108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64</v>
      </c>
      <c r="C6284" s="9">
        <v>46113</v>
      </c>
      <c r="D6284">
        <v>19</v>
      </c>
      <c r="E6284" s="16" t="s">
        <v>107</v>
      </c>
      <c r="F6284" s="16" t="s">
        <v>108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64</v>
      </c>
      <c r="C6285" s="9">
        <v>46143</v>
      </c>
      <c r="D6285">
        <v>19</v>
      </c>
      <c r="E6285" s="16" t="s">
        <v>107</v>
      </c>
      <c r="F6285" s="16" t="s">
        <v>108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64</v>
      </c>
      <c r="C6286" s="9">
        <v>46174</v>
      </c>
      <c r="D6286">
        <v>19</v>
      </c>
      <c r="E6286" s="16" t="s">
        <v>107</v>
      </c>
      <c r="F6286" s="16" t="s">
        <v>108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64</v>
      </c>
      <c r="C6287" s="9">
        <v>46204</v>
      </c>
      <c r="D6287">
        <v>19</v>
      </c>
      <c r="E6287" s="16" t="s">
        <v>107</v>
      </c>
      <c r="F6287" s="16" t="s">
        <v>108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64</v>
      </c>
      <c r="C6288" s="9">
        <v>46235</v>
      </c>
      <c r="D6288">
        <v>19</v>
      </c>
      <c r="E6288" s="16" t="s">
        <v>107</v>
      </c>
      <c r="F6288" s="16" t="s">
        <v>108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64</v>
      </c>
      <c r="C6289" s="9">
        <v>46266</v>
      </c>
      <c r="D6289">
        <v>19</v>
      </c>
      <c r="E6289" s="16" t="s">
        <v>107</v>
      </c>
      <c r="F6289" s="16" t="s">
        <v>108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64</v>
      </c>
      <c r="C6290" s="9">
        <v>45748</v>
      </c>
      <c r="D6290">
        <v>20</v>
      </c>
      <c r="E6290" s="16" t="s">
        <v>109</v>
      </c>
      <c r="F6290" s="16" t="s">
        <v>110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64</v>
      </c>
      <c r="C6291" s="9">
        <v>45901</v>
      </c>
      <c r="D6291">
        <v>20</v>
      </c>
      <c r="E6291" s="16" t="s">
        <v>109</v>
      </c>
      <c r="F6291" s="16" t="s">
        <v>110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64</v>
      </c>
      <c r="C6292" s="9">
        <v>46023</v>
      </c>
      <c r="D6292">
        <v>20</v>
      </c>
      <c r="E6292" s="16" t="s">
        <v>109</v>
      </c>
      <c r="F6292" s="16" t="s">
        <v>110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64</v>
      </c>
      <c r="C6293" s="9">
        <v>46113</v>
      </c>
      <c r="D6293">
        <v>20</v>
      </c>
      <c r="E6293" s="16" t="s">
        <v>109</v>
      </c>
      <c r="F6293" s="16" t="s">
        <v>110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64</v>
      </c>
      <c r="C6294" s="9">
        <v>45689</v>
      </c>
      <c r="D6294">
        <v>21</v>
      </c>
      <c r="E6294" s="16" t="s">
        <v>111</v>
      </c>
      <c r="F6294" s="16" t="s">
        <v>85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64</v>
      </c>
      <c r="C6295" s="9">
        <v>45717</v>
      </c>
      <c r="D6295">
        <v>21</v>
      </c>
      <c r="E6295" s="16" t="s">
        <v>111</v>
      </c>
      <c r="F6295" s="16" t="s">
        <v>85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64</v>
      </c>
      <c r="C6296" s="9">
        <v>45748</v>
      </c>
      <c r="D6296">
        <v>21</v>
      </c>
      <c r="E6296" s="16" t="s">
        <v>111</v>
      </c>
      <c r="F6296" s="16" t="s">
        <v>85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64</v>
      </c>
      <c r="C6297" s="9">
        <v>45778</v>
      </c>
      <c r="D6297">
        <v>21</v>
      </c>
      <c r="E6297" s="16" t="s">
        <v>111</v>
      </c>
      <c r="F6297" s="16" t="s">
        <v>85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64</v>
      </c>
      <c r="C6298" s="9">
        <v>45809</v>
      </c>
      <c r="D6298">
        <v>21</v>
      </c>
      <c r="E6298" s="16" t="s">
        <v>111</v>
      </c>
      <c r="F6298" s="16" t="s">
        <v>85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64</v>
      </c>
      <c r="C6299" s="9">
        <v>45839</v>
      </c>
      <c r="D6299">
        <v>21</v>
      </c>
      <c r="E6299" s="16" t="s">
        <v>111</v>
      </c>
      <c r="F6299" s="16" t="s">
        <v>85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64</v>
      </c>
      <c r="C6300" s="9">
        <v>45870</v>
      </c>
      <c r="D6300">
        <v>21</v>
      </c>
      <c r="E6300" s="16" t="s">
        <v>111</v>
      </c>
      <c r="F6300" s="16" t="s">
        <v>85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64</v>
      </c>
      <c r="C6301" s="9">
        <v>45901</v>
      </c>
      <c r="D6301">
        <v>21</v>
      </c>
      <c r="E6301" s="16" t="s">
        <v>111</v>
      </c>
      <c r="F6301" s="16" t="s">
        <v>85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64</v>
      </c>
      <c r="C6302" s="9">
        <v>45931</v>
      </c>
      <c r="D6302">
        <v>21</v>
      </c>
      <c r="E6302" s="16" t="s">
        <v>111</v>
      </c>
      <c r="F6302" s="16" t="s">
        <v>85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64</v>
      </c>
      <c r="C6303" s="9">
        <v>45962</v>
      </c>
      <c r="D6303">
        <v>21</v>
      </c>
      <c r="E6303" s="16" t="s">
        <v>111</v>
      </c>
      <c r="F6303" s="16" t="s">
        <v>85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64</v>
      </c>
      <c r="C6304" s="9">
        <v>45992</v>
      </c>
      <c r="D6304">
        <v>21</v>
      </c>
      <c r="E6304" s="16" t="s">
        <v>111</v>
      </c>
      <c r="F6304" s="16" t="s">
        <v>85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64</v>
      </c>
      <c r="C6305" s="9">
        <v>46023</v>
      </c>
      <c r="D6305">
        <v>21</v>
      </c>
      <c r="E6305" s="16" t="s">
        <v>111</v>
      </c>
      <c r="F6305" s="16" t="s">
        <v>85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64</v>
      </c>
      <c r="C6306" s="9">
        <v>46054</v>
      </c>
      <c r="D6306">
        <v>21</v>
      </c>
      <c r="E6306" s="16" t="s">
        <v>111</v>
      </c>
      <c r="F6306" s="16" t="s">
        <v>85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64</v>
      </c>
      <c r="C6307" s="9">
        <v>46082</v>
      </c>
      <c r="D6307">
        <v>21</v>
      </c>
      <c r="E6307" s="16" t="s">
        <v>111</v>
      </c>
      <c r="F6307" s="16" t="s">
        <v>85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64</v>
      </c>
      <c r="C6308" s="9">
        <v>46113</v>
      </c>
      <c r="D6308">
        <v>21</v>
      </c>
      <c r="E6308" s="16" t="s">
        <v>111</v>
      </c>
      <c r="F6308" s="16" t="s">
        <v>85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64</v>
      </c>
      <c r="C6309" s="9">
        <v>46143</v>
      </c>
      <c r="D6309">
        <v>21</v>
      </c>
      <c r="E6309" s="16" t="s">
        <v>111</v>
      </c>
      <c r="F6309" s="16" t="s">
        <v>85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64</v>
      </c>
      <c r="C6310" s="9">
        <v>46174</v>
      </c>
      <c r="D6310">
        <v>21</v>
      </c>
      <c r="E6310" s="16" t="s">
        <v>111</v>
      </c>
      <c r="F6310" s="16" t="s">
        <v>85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64</v>
      </c>
      <c r="C6311" s="9">
        <v>46204</v>
      </c>
      <c r="D6311">
        <v>21</v>
      </c>
      <c r="E6311" s="16" t="s">
        <v>111</v>
      </c>
      <c r="F6311" s="16" t="s">
        <v>85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64</v>
      </c>
      <c r="C6312" s="9">
        <v>46235</v>
      </c>
      <c r="D6312">
        <v>21</v>
      </c>
      <c r="E6312" s="16" t="s">
        <v>111</v>
      </c>
      <c r="F6312" s="16" t="s">
        <v>85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64</v>
      </c>
      <c r="C6313" s="9">
        <v>46266</v>
      </c>
      <c r="D6313">
        <v>21</v>
      </c>
      <c r="E6313" s="16" t="s">
        <v>111</v>
      </c>
      <c r="F6313" s="16" t="s">
        <v>85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64</v>
      </c>
      <c r="C6314" s="9">
        <v>45689</v>
      </c>
      <c r="D6314">
        <v>22</v>
      </c>
      <c r="E6314" s="16" t="s">
        <v>112</v>
      </c>
      <c r="F6314" s="16" t="s">
        <v>92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64</v>
      </c>
      <c r="C6315" s="9">
        <v>45717</v>
      </c>
      <c r="D6315">
        <v>22</v>
      </c>
      <c r="E6315" s="16" t="s">
        <v>112</v>
      </c>
      <c r="F6315" s="16" t="s">
        <v>92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64</v>
      </c>
      <c r="C6316" s="9">
        <v>45748</v>
      </c>
      <c r="D6316">
        <v>22</v>
      </c>
      <c r="E6316" s="16" t="s">
        <v>112</v>
      </c>
      <c r="F6316" s="16" t="s">
        <v>92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64</v>
      </c>
      <c r="C6317" s="9">
        <v>45778</v>
      </c>
      <c r="D6317">
        <v>22</v>
      </c>
      <c r="E6317" s="16" t="s">
        <v>112</v>
      </c>
      <c r="F6317" s="16" t="s">
        <v>92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64</v>
      </c>
      <c r="C6318" s="9">
        <v>45809</v>
      </c>
      <c r="D6318">
        <v>22</v>
      </c>
      <c r="E6318" s="16" t="s">
        <v>112</v>
      </c>
      <c r="F6318" s="16" t="s">
        <v>92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64</v>
      </c>
      <c r="C6319" s="9">
        <v>45839</v>
      </c>
      <c r="D6319">
        <v>22</v>
      </c>
      <c r="E6319" s="16" t="s">
        <v>112</v>
      </c>
      <c r="F6319" s="16" t="s">
        <v>92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64</v>
      </c>
      <c r="C6320" s="9">
        <v>45870</v>
      </c>
      <c r="D6320">
        <v>22</v>
      </c>
      <c r="E6320" s="16" t="s">
        <v>112</v>
      </c>
      <c r="F6320" s="16" t="s">
        <v>92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64</v>
      </c>
      <c r="C6321" s="9">
        <v>45901</v>
      </c>
      <c r="D6321">
        <v>22</v>
      </c>
      <c r="E6321" s="16" t="s">
        <v>112</v>
      </c>
      <c r="F6321" s="16" t="s">
        <v>92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64</v>
      </c>
      <c r="C6322" s="9">
        <v>45931</v>
      </c>
      <c r="D6322">
        <v>22</v>
      </c>
      <c r="E6322" s="16" t="s">
        <v>112</v>
      </c>
      <c r="F6322" s="16" t="s">
        <v>92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64</v>
      </c>
      <c r="C6323" s="9">
        <v>45962</v>
      </c>
      <c r="D6323">
        <v>22</v>
      </c>
      <c r="E6323" s="16" t="s">
        <v>112</v>
      </c>
      <c r="F6323" s="16" t="s">
        <v>92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64</v>
      </c>
      <c r="C6324" s="9">
        <v>45992</v>
      </c>
      <c r="D6324">
        <v>22</v>
      </c>
      <c r="E6324" s="16" t="s">
        <v>112</v>
      </c>
      <c r="F6324" s="16" t="s">
        <v>92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64</v>
      </c>
      <c r="C6325" s="9">
        <v>46023</v>
      </c>
      <c r="D6325">
        <v>22</v>
      </c>
      <c r="E6325" s="16" t="s">
        <v>112</v>
      </c>
      <c r="F6325" s="16" t="s">
        <v>92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64</v>
      </c>
      <c r="C6326" s="9">
        <v>46054</v>
      </c>
      <c r="D6326">
        <v>22</v>
      </c>
      <c r="E6326" s="16" t="s">
        <v>112</v>
      </c>
      <c r="F6326" s="16" t="s">
        <v>92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64</v>
      </c>
      <c r="C6327" s="9">
        <v>46082</v>
      </c>
      <c r="D6327">
        <v>22</v>
      </c>
      <c r="E6327" s="16" t="s">
        <v>112</v>
      </c>
      <c r="F6327" s="16" t="s">
        <v>92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64</v>
      </c>
      <c r="C6328" s="9">
        <v>46113</v>
      </c>
      <c r="D6328">
        <v>22</v>
      </c>
      <c r="E6328" s="16" t="s">
        <v>112</v>
      </c>
      <c r="F6328" s="16" t="s">
        <v>92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64</v>
      </c>
      <c r="C6329" s="9">
        <v>46143</v>
      </c>
      <c r="D6329">
        <v>22</v>
      </c>
      <c r="E6329" s="16" t="s">
        <v>112</v>
      </c>
      <c r="F6329" s="16" t="s">
        <v>92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64</v>
      </c>
      <c r="C6330" s="9">
        <v>46174</v>
      </c>
      <c r="D6330">
        <v>22</v>
      </c>
      <c r="E6330" s="16" t="s">
        <v>112</v>
      </c>
      <c r="F6330" s="16" t="s">
        <v>92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64</v>
      </c>
      <c r="C6331" s="9">
        <v>46204</v>
      </c>
      <c r="D6331">
        <v>22</v>
      </c>
      <c r="E6331" s="16" t="s">
        <v>112</v>
      </c>
      <c r="F6331" s="16" t="s">
        <v>92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64</v>
      </c>
      <c r="C6332" s="9">
        <v>46235</v>
      </c>
      <c r="D6332">
        <v>22</v>
      </c>
      <c r="E6332" s="16" t="s">
        <v>112</v>
      </c>
      <c r="F6332" s="16" t="s">
        <v>92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64</v>
      </c>
      <c r="C6333" s="9">
        <v>46266</v>
      </c>
      <c r="D6333">
        <v>22</v>
      </c>
      <c r="E6333" s="16" t="s">
        <v>112</v>
      </c>
      <c r="F6333" s="16" t="s">
        <v>92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64</v>
      </c>
      <c r="C6334" s="9">
        <v>45689</v>
      </c>
      <c r="D6334">
        <v>23</v>
      </c>
      <c r="E6334" s="16" t="s">
        <v>113</v>
      </c>
      <c r="F6334" s="16" t="s">
        <v>94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64</v>
      </c>
      <c r="C6335" s="9">
        <v>45717</v>
      </c>
      <c r="D6335">
        <v>23</v>
      </c>
      <c r="E6335" s="16" t="s">
        <v>113</v>
      </c>
      <c r="F6335" s="16" t="s">
        <v>94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64</v>
      </c>
      <c r="C6336" s="9">
        <v>45748</v>
      </c>
      <c r="D6336">
        <v>23</v>
      </c>
      <c r="E6336" s="16" t="s">
        <v>113</v>
      </c>
      <c r="F6336" s="16" t="s">
        <v>94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64</v>
      </c>
      <c r="C6337" s="9">
        <v>45778</v>
      </c>
      <c r="D6337">
        <v>23</v>
      </c>
      <c r="E6337" s="16" t="s">
        <v>113</v>
      </c>
      <c r="F6337" s="16" t="s">
        <v>94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64</v>
      </c>
      <c r="C6338" s="9">
        <v>45809</v>
      </c>
      <c r="D6338">
        <v>23</v>
      </c>
      <c r="E6338" s="16" t="s">
        <v>113</v>
      </c>
      <c r="F6338" s="16" t="s">
        <v>94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64</v>
      </c>
      <c r="C6339" s="9">
        <v>45839</v>
      </c>
      <c r="D6339">
        <v>23</v>
      </c>
      <c r="E6339" s="16" t="s">
        <v>113</v>
      </c>
      <c r="F6339" s="16" t="s">
        <v>94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64</v>
      </c>
      <c r="C6340" s="9">
        <v>45870</v>
      </c>
      <c r="D6340">
        <v>23</v>
      </c>
      <c r="E6340" s="16" t="s">
        <v>113</v>
      </c>
      <c r="F6340" s="16" t="s">
        <v>94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64</v>
      </c>
      <c r="C6341" s="9">
        <v>45901</v>
      </c>
      <c r="D6341">
        <v>23</v>
      </c>
      <c r="E6341" s="16" t="s">
        <v>113</v>
      </c>
      <c r="F6341" s="16" t="s">
        <v>94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64</v>
      </c>
      <c r="C6342" s="9">
        <v>45931</v>
      </c>
      <c r="D6342">
        <v>23</v>
      </c>
      <c r="E6342" s="16" t="s">
        <v>113</v>
      </c>
      <c r="F6342" s="16" t="s">
        <v>94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64</v>
      </c>
      <c r="C6343" s="9">
        <v>45962</v>
      </c>
      <c r="D6343">
        <v>23</v>
      </c>
      <c r="E6343" s="16" t="s">
        <v>113</v>
      </c>
      <c r="F6343" s="16" t="s">
        <v>94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64</v>
      </c>
      <c r="C6344" s="9">
        <v>45992</v>
      </c>
      <c r="D6344">
        <v>23</v>
      </c>
      <c r="E6344" s="16" t="s">
        <v>113</v>
      </c>
      <c r="F6344" s="16" t="s">
        <v>94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64</v>
      </c>
      <c r="C6345" s="9">
        <v>46023</v>
      </c>
      <c r="D6345">
        <v>23</v>
      </c>
      <c r="E6345" s="16" t="s">
        <v>113</v>
      </c>
      <c r="F6345" s="16" t="s">
        <v>94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64</v>
      </c>
      <c r="C6346" s="9">
        <v>46054</v>
      </c>
      <c r="D6346">
        <v>23</v>
      </c>
      <c r="E6346" s="16" t="s">
        <v>113</v>
      </c>
      <c r="F6346" s="16" t="s">
        <v>94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64</v>
      </c>
      <c r="C6347" s="9">
        <v>46082</v>
      </c>
      <c r="D6347">
        <v>23</v>
      </c>
      <c r="E6347" s="16" t="s">
        <v>113</v>
      </c>
      <c r="F6347" s="16" t="s">
        <v>94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64</v>
      </c>
      <c r="C6348" s="9">
        <v>46113</v>
      </c>
      <c r="D6348">
        <v>23</v>
      </c>
      <c r="E6348" s="16" t="s">
        <v>113</v>
      </c>
      <c r="F6348" s="16" t="s">
        <v>94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64</v>
      </c>
      <c r="C6349" s="9">
        <v>46143</v>
      </c>
      <c r="D6349">
        <v>23</v>
      </c>
      <c r="E6349" s="16" t="s">
        <v>113</v>
      </c>
      <c r="F6349" s="16" t="s">
        <v>94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64</v>
      </c>
      <c r="C6350" s="9">
        <v>46174</v>
      </c>
      <c r="D6350">
        <v>23</v>
      </c>
      <c r="E6350" s="16" t="s">
        <v>113</v>
      </c>
      <c r="F6350" s="16" t="s">
        <v>94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64</v>
      </c>
      <c r="C6351" s="9">
        <v>46204</v>
      </c>
      <c r="D6351">
        <v>23</v>
      </c>
      <c r="E6351" s="16" t="s">
        <v>113</v>
      </c>
      <c r="F6351" s="16" t="s">
        <v>94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64</v>
      </c>
      <c r="C6352" s="9">
        <v>46235</v>
      </c>
      <c r="D6352">
        <v>23</v>
      </c>
      <c r="E6352" s="16" t="s">
        <v>113</v>
      </c>
      <c r="F6352" s="16" t="s">
        <v>94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64</v>
      </c>
      <c r="C6353" s="9">
        <v>46266</v>
      </c>
      <c r="D6353">
        <v>23</v>
      </c>
      <c r="E6353" s="16" t="s">
        <v>113</v>
      </c>
      <c r="F6353" s="16" t="s">
        <v>94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64</v>
      </c>
      <c r="C6354" s="9">
        <v>45689</v>
      </c>
      <c r="D6354">
        <v>24</v>
      </c>
      <c r="E6354" s="16" t="s">
        <v>114</v>
      </c>
      <c r="F6354" s="16" t="s">
        <v>85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64</v>
      </c>
      <c r="C6355" s="9">
        <v>45717</v>
      </c>
      <c r="D6355">
        <v>24</v>
      </c>
      <c r="E6355" s="16" t="s">
        <v>114</v>
      </c>
      <c r="F6355" s="16" t="s">
        <v>85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64</v>
      </c>
      <c r="C6356" s="9">
        <v>45748</v>
      </c>
      <c r="D6356">
        <v>24</v>
      </c>
      <c r="E6356" s="16" t="s">
        <v>114</v>
      </c>
      <c r="F6356" s="16" t="s">
        <v>85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64</v>
      </c>
      <c r="C6357" s="9">
        <v>45778</v>
      </c>
      <c r="D6357">
        <v>24</v>
      </c>
      <c r="E6357" s="16" t="s">
        <v>114</v>
      </c>
      <c r="F6357" s="16" t="s">
        <v>85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64</v>
      </c>
      <c r="C6358" s="9">
        <v>45809</v>
      </c>
      <c r="D6358">
        <v>24</v>
      </c>
      <c r="E6358" s="16" t="s">
        <v>114</v>
      </c>
      <c r="F6358" s="16" t="s">
        <v>85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64</v>
      </c>
      <c r="C6359" s="9">
        <v>45839</v>
      </c>
      <c r="D6359">
        <v>24</v>
      </c>
      <c r="E6359" s="16" t="s">
        <v>114</v>
      </c>
      <c r="F6359" s="16" t="s">
        <v>85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64</v>
      </c>
      <c r="C6360" s="9">
        <v>45870</v>
      </c>
      <c r="D6360">
        <v>24</v>
      </c>
      <c r="E6360" s="16" t="s">
        <v>114</v>
      </c>
      <c r="F6360" s="16" t="s">
        <v>85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64</v>
      </c>
      <c r="C6361" s="9">
        <v>45901</v>
      </c>
      <c r="D6361">
        <v>24</v>
      </c>
      <c r="E6361" s="16" t="s">
        <v>114</v>
      </c>
      <c r="F6361" s="16" t="s">
        <v>85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64</v>
      </c>
      <c r="C6362" s="9">
        <v>45931</v>
      </c>
      <c r="D6362">
        <v>24</v>
      </c>
      <c r="E6362" s="16" t="s">
        <v>114</v>
      </c>
      <c r="F6362" s="16" t="s">
        <v>85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64</v>
      </c>
      <c r="C6363" s="9">
        <v>45962</v>
      </c>
      <c r="D6363">
        <v>24</v>
      </c>
      <c r="E6363" s="16" t="s">
        <v>114</v>
      </c>
      <c r="F6363" s="16" t="s">
        <v>85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64</v>
      </c>
      <c r="C6364" s="9">
        <v>45992</v>
      </c>
      <c r="D6364">
        <v>24</v>
      </c>
      <c r="E6364" s="16" t="s">
        <v>114</v>
      </c>
      <c r="F6364" s="16" t="s">
        <v>85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64</v>
      </c>
      <c r="C6365" s="9">
        <v>46023</v>
      </c>
      <c r="D6365">
        <v>24</v>
      </c>
      <c r="E6365" s="16" t="s">
        <v>114</v>
      </c>
      <c r="F6365" s="16" t="s">
        <v>85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64</v>
      </c>
      <c r="C6366" s="9">
        <v>46054</v>
      </c>
      <c r="D6366">
        <v>24</v>
      </c>
      <c r="E6366" s="16" t="s">
        <v>114</v>
      </c>
      <c r="F6366" s="16" t="s">
        <v>85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64</v>
      </c>
      <c r="C6367" s="9">
        <v>46082</v>
      </c>
      <c r="D6367">
        <v>24</v>
      </c>
      <c r="E6367" s="16" t="s">
        <v>114</v>
      </c>
      <c r="F6367" s="16" t="s">
        <v>85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64</v>
      </c>
      <c r="C6368" s="9">
        <v>46113</v>
      </c>
      <c r="D6368">
        <v>24</v>
      </c>
      <c r="E6368" s="16" t="s">
        <v>114</v>
      </c>
      <c r="F6368" s="16" t="s">
        <v>85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64</v>
      </c>
      <c r="C6369" s="9">
        <v>46143</v>
      </c>
      <c r="D6369">
        <v>24</v>
      </c>
      <c r="E6369" s="16" t="s">
        <v>114</v>
      </c>
      <c r="F6369" s="16" t="s">
        <v>85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64</v>
      </c>
      <c r="C6370" s="9">
        <v>46174</v>
      </c>
      <c r="D6370">
        <v>24</v>
      </c>
      <c r="E6370" s="16" t="s">
        <v>114</v>
      </c>
      <c r="F6370" s="16" t="s">
        <v>85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64</v>
      </c>
      <c r="C6371" s="9">
        <v>46204</v>
      </c>
      <c r="D6371">
        <v>24</v>
      </c>
      <c r="E6371" s="16" t="s">
        <v>114</v>
      </c>
      <c r="F6371" s="16" t="s">
        <v>85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64</v>
      </c>
      <c r="C6372" s="9">
        <v>46235</v>
      </c>
      <c r="D6372">
        <v>24</v>
      </c>
      <c r="E6372" s="16" t="s">
        <v>114</v>
      </c>
      <c r="F6372" s="16" t="s">
        <v>85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64</v>
      </c>
      <c r="C6373" s="9">
        <v>46266</v>
      </c>
      <c r="D6373">
        <v>24</v>
      </c>
      <c r="E6373" s="16" t="s">
        <v>114</v>
      </c>
      <c r="F6373" s="16" t="s">
        <v>85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64</v>
      </c>
      <c r="C6374" s="9">
        <v>45689</v>
      </c>
      <c r="D6374">
        <v>25</v>
      </c>
      <c r="E6374" s="16" t="s">
        <v>115</v>
      </c>
      <c r="F6374" s="16" t="s">
        <v>116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64</v>
      </c>
      <c r="C6375" s="9">
        <v>45717</v>
      </c>
      <c r="D6375">
        <v>25</v>
      </c>
      <c r="E6375" s="16" t="s">
        <v>115</v>
      </c>
      <c r="F6375" s="16" t="s">
        <v>116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64</v>
      </c>
      <c r="C6376" s="9">
        <v>45748</v>
      </c>
      <c r="D6376">
        <v>25</v>
      </c>
      <c r="E6376" s="16" t="s">
        <v>115</v>
      </c>
      <c r="F6376" s="16" t="s">
        <v>116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64</v>
      </c>
      <c r="C6377" s="9">
        <v>45778</v>
      </c>
      <c r="D6377">
        <v>25</v>
      </c>
      <c r="E6377" s="16" t="s">
        <v>115</v>
      </c>
      <c r="F6377" s="16" t="s">
        <v>116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64</v>
      </c>
      <c r="C6378" s="9">
        <v>45809</v>
      </c>
      <c r="D6378">
        <v>25</v>
      </c>
      <c r="E6378" s="16" t="s">
        <v>115</v>
      </c>
      <c r="F6378" s="16" t="s">
        <v>116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64</v>
      </c>
      <c r="C6379" s="9">
        <v>45839</v>
      </c>
      <c r="D6379">
        <v>25</v>
      </c>
      <c r="E6379" s="16" t="s">
        <v>115</v>
      </c>
      <c r="F6379" s="16" t="s">
        <v>116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64</v>
      </c>
      <c r="C6380" s="9">
        <v>45870</v>
      </c>
      <c r="D6380">
        <v>25</v>
      </c>
      <c r="E6380" s="16" t="s">
        <v>115</v>
      </c>
      <c r="F6380" s="16" t="s">
        <v>116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64</v>
      </c>
      <c r="C6381" s="9">
        <v>45901</v>
      </c>
      <c r="D6381">
        <v>25</v>
      </c>
      <c r="E6381" s="16" t="s">
        <v>115</v>
      </c>
      <c r="F6381" s="16" t="s">
        <v>116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64</v>
      </c>
      <c r="C6382" s="9">
        <v>45931</v>
      </c>
      <c r="D6382">
        <v>25</v>
      </c>
      <c r="E6382" s="16" t="s">
        <v>115</v>
      </c>
      <c r="F6382" s="16" t="s">
        <v>116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64</v>
      </c>
      <c r="C6383" s="9">
        <v>45962</v>
      </c>
      <c r="D6383">
        <v>25</v>
      </c>
      <c r="E6383" s="16" t="s">
        <v>115</v>
      </c>
      <c r="F6383" s="16" t="s">
        <v>116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64</v>
      </c>
      <c r="C6384" s="9">
        <v>45992</v>
      </c>
      <c r="D6384">
        <v>25</v>
      </c>
      <c r="E6384" s="16" t="s">
        <v>115</v>
      </c>
      <c r="F6384" s="16" t="s">
        <v>116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64</v>
      </c>
      <c r="C6385" s="9">
        <v>46023</v>
      </c>
      <c r="D6385">
        <v>25</v>
      </c>
      <c r="E6385" s="16" t="s">
        <v>115</v>
      </c>
      <c r="F6385" s="16" t="s">
        <v>116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64</v>
      </c>
      <c r="C6386" s="9">
        <v>46054</v>
      </c>
      <c r="D6386">
        <v>25</v>
      </c>
      <c r="E6386" s="16" t="s">
        <v>115</v>
      </c>
      <c r="F6386" s="16" t="s">
        <v>116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64</v>
      </c>
      <c r="C6387" s="9">
        <v>46082</v>
      </c>
      <c r="D6387">
        <v>25</v>
      </c>
      <c r="E6387" s="16" t="s">
        <v>115</v>
      </c>
      <c r="F6387" s="16" t="s">
        <v>116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64</v>
      </c>
      <c r="C6388" s="9">
        <v>46113</v>
      </c>
      <c r="D6388">
        <v>25</v>
      </c>
      <c r="E6388" s="16" t="s">
        <v>115</v>
      </c>
      <c r="F6388" s="16" t="s">
        <v>116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64</v>
      </c>
      <c r="C6389" s="9">
        <v>46143</v>
      </c>
      <c r="D6389">
        <v>25</v>
      </c>
      <c r="E6389" s="16" t="s">
        <v>115</v>
      </c>
      <c r="F6389" s="16" t="s">
        <v>116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64</v>
      </c>
      <c r="C6390" s="9">
        <v>46174</v>
      </c>
      <c r="D6390">
        <v>25</v>
      </c>
      <c r="E6390" s="16" t="s">
        <v>115</v>
      </c>
      <c r="F6390" s="16" t="s">
        <v>116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64</v>
      </c>
      <c r="C6391" s="9">
        <v>46204</v>
      </c>
      <c r="D6391">
        <v>25</v>
      </c>
      <c r="E6391" s="16" t="s">
        <v>115</v>
      </c>
      <c r="F6391" s="16" t="s">
        <v>116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64</v>
      </c>
      <c r="C6392" s="9">
        <v>46235</v>
      </c>
      <c r="D6392">
        <v>25</v>
      </c>
      <c r="E6392" s="16" t="s">
        <v>115</v>
      </c>
      <c r="F6392" s="16" t="s">
        <v>116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64</v>
      </c>
      <c r="C6393" s="9">
        <v>46266</v>
      </c>
      <c r="D6393">
        <v>25</v>
      </c>
      <c r="E6393" s="16" t="s">
        <v>115</v>
      </c>
      <c r="F6393" s="16" t="s">
        <v>116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64</v>
      </c>
      <c r="C6394" s="9">
        <v>45689</v>
      </c>
      <c r="D6394">
        <v>26</v>
      </c>
      <c r="E6394" s="16" t="s">
        <v>117</v>
      </c>
      <c r="F6394" s="16" t="s">
        <v>92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64</v>
      </c>
      <c r="C6395" s="9">
        <v>45717</v>
      </c>
      <c r="D6395">
        <v>26</v>
      </c>
      <c r="E6395" s="16" t="s">
        <v>117</v>
      </c>
      <c r="F6395" s="16" t="s">
        <v>92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64</v>
      </c>
      <c r="C6396" s="9">
        <v>45748</v>
      </c>
      <c r="D6396">
        <v>26</v>
      </c>
      <c r="E6396" s="16" t="s">
        <v>117</v>
      </c>
      <c r="F6396" s="16" t="s">
        <v>92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64</v>
      </c>
      <c r="C6397" s="9">
        <v>45778</v>
      </c>
      <c r="D6397">
        <v>26</v>
      </c>
      <c r="E6397" s="16" t="s">
        <v>117</v>
      </c>
      <c r="F6397" s="16" t="s">
        <v>92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64</v>
      </c>
      <c r="C6398" s="9">
        <v>45809</v>
      </c>
      <c r="D6398">
        <v>26</v>
      </c>
      <c r="E6398" s="16" t="s">
        <v>117</v>
      </c>
      <c r="F6398" s="16" t="s">
        <v>92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64</v>
      </c>
      <c r="C6399" s="9">
        <v>45839</v>
      </c>
      <c r="D6399">
        <v>26</v>
      </c>
      <c r="E6399" s="16" t="s">
        <v>117</v>
      </c>
      <c r="F6399" s="16" t="s">
        <v>92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64</v>
      </c>
      <c r="C6400" s="9">
        <v>45870</v>
      </c>
      <c r="D6400">
        <v>26</v>
      </c>
      <c r="E6400" s="16" t="s">
        <v>117</v>
      </c>
      <c r="F6400" s="16" t="s">
        <v>92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64</v>
      </c>
      <c r="C6401" s="9">
        <v>45901</v>
      </c>
      <c r="D6401">
        <v>26</v>
      </c>
      <c r="E6401" s="16" t="s">
        <v>117</v>
      </c>
      <c r="F6401" s="16" t="s">
        <v>92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64</v>
      </c>
      <c r="C6402" s="9">
        <v>45931</v>
      </c>
      <c r="D6402">
        <v>26</v>
      </c>
      <c r="E6402" s="16" t="s">
        <v>117</v>
      </c>
      <c r="F6402" s="16" t="s">
        <v>92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64</v>
      </c>
      <c r="C6403" s="9">
        <v>45962</v>
      </c>
      <c r="D6403">
        <v>26</v>
      </c>
      <c r="E6403" s="16" t="s">
        <v>117</v>
      </c>
      <c r="F6403" s="16" t="s">
        <v>92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64</v>
      </c>
      <c r="C6404" s="9">
        <v>45992</v>
      </c>
      <c r="D6404">
        <v>26</v>
      </c>
      <c r="E6404" s="16" t="s">
        <v>117</v>
      </c>
      <c r="F6404" s="16" t="s">
        <v>92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64</v>
      </c>
      <c r="C6405" s="9">
        <v>46023</v>
      </c>
      <c r="D6405">
        <v>26</v>
      </c>
      <c r="E6405" s="16" t="s">
        <v>117</v>
      </c>
      <c r="F6405" s="16" t="s">
        <v>92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64</v>
      </c>
      <c r="C6406" s="9">
        <v>46054</v>
      </c>
      <c r="D6406">
        <v>26</v>
      </c>
      <c r="E6406" s="16" t="s">
        <v>117</v>
      </c>
      <c r="F6406" s="16" t="s">
        <v>92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64</v>
      </c>
      <c r="C6407" s="9">
        <v>46082</v>
      </c>
      <c r="D6407">
        <v>26</v>
      </c>
      <c r="E6407" s="16" t="s">
        <v>117</v>
      </c>
      <c r="F6407" s="16" t="s">
        <v>92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64</v>
      </c>
      <c r="C6408" s="9">
        <v>46113</v>
      </c>
      <c r="D6408">
        <v>26</v>
      </c>
      <c r="E6408" s="16" t="s">
        <v>117</v>
      </c>
      <c r="F6408" s="16" t="s">
        <v>92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64</v>
      </c>
      <c r="C6409" s="9">
        <v>46143</v>
      </c>
      <c r="D6409">
        <v>26</v>
      </c>
      <c r="E6409" s="16" t="s">
        <v>117</v>
      </c>
      <c r="F6409" s="16" t="s">
        <v>92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64</v>
      </c>
      <c r="C6410" s="9">
        <v>46174</v>
      </c>
      <c r="D6410">
        <v>26</v>
      </c>
      <c r="E6410" s="16" t="s">
        <v>117</v>
      </c>
      <c r="F6410" s="16" t="s">
        <v>92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64</v>
      </c>
      <c r="C6411" s="9">
        <v>46204</v>
      </c>
      <c r="D6411">
        <v>26</v>
      </c>
      <c r="E6411" s="16" t="s">
        <v>117</v>
      </c>
      <c r="F6411" s="16" t="s">
        <v>92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64</v>
      </c>
      <c r="C6412" s="9">
        <v>46235</v>
      </c>
      <c r="D6412">
        <v>26</v>
      </c>
      <c r="E6412" s="16" t="s">
        <v>117</v>
      </c>
      <c r="F6412" s="16" t="s">
        <v>92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64</v>
      </c>
      <c r="C6413" s="9">
        <v>46266</v>
      </c>
      <c r="D6413">
        <v>26</v>
      </c>
      <c r="E6413" s="16" t="s">
        <v>117</v>
      </c>
      <c r="F6413" s="16" t="s">
        <v>92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64</v>
      </c>
      <c r="C6414" s="9">
        <v>45689</v>
      </c>
      <c r="D6414">
        <v>27</v>
      </c>
      <c r="E6414" s="16" t="s">
        <v>118</v>
      </c>
      <c r="F6414" s="16" t="s">
        <v>92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64</v>
      </c>
      <c r="C6415" s="9">
        <v>45717</v>
      </c>
      <c r="D6415">
        <v>27</v>
      </c>
      <c r="E6415" s="16" t="s">
        <v>118</v>
      </c>
      <c r="F6415" s="16" t="s">
        <v>92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64</v>
      </c>
      <c r="C6416" s="9">
        <v>45748</v>
      </c>
      <c r="D6416">
        <v>27</v>
      </c>
      <c r="E6416" s="16" t="s">
        <v>118</v>
      </c>
      <c r="F6416" s="16" t="s">
        <v>92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64</v>
      </c>
      <c r="C6417" s="9">
        <v>45778</v>
      </c>
      <c r="D6417">
        <v>27</v>
      </c>
      <c r="E6417" s="16" t="s">
        <v>118</v>
      </c>
      <c r="F6417" s="16" t="s">
        <v>92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64</v>
      </c>
      <c r="C6418" s="9">
        <v>45809</v>
      </c>
      <c r="D6418">
        <v>27</v>
      </c>
      <c r="E6418" s="16" t="s">
        <v>118</v>
      </c>
      <c r="F6418" s="16" t="s">
        <v>92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64</v>
      </c>
      <c r="C6419" s="9">
        <v>45839</v>
      </c>
      <c r="D6419">
        <v>27</v>
      </c>
      <c r="E6419" s="16" t="s">
        <v>118</v>
      </c>
      <c r="F6419" s="16" t="s">
        <v>92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64</v>
      </c>
      <c r="C6420" s="9">
        <v>45870</v>
      </c>
      <c r="D6420">
        <v>27</v>
      </c>
      <c r="E6420" s="16" t="s">
        <v>118</v>
      </c>
      <c r="F6420" s="16" t="s">
        <v>92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64</v>
      </c>
      <c r="C6421" s="9">
        <v>45901</v>
      </c>
      <c r="D6421">
        <v>27</v>
      </c>
      <c r="E6421" s="16" t="s">
        <v>118</v>
      </c>
      <c r="F6421" s="16" t="s">
        <v>92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64</v>
      </c>
      <c r="C6422" s="9">
        <v>45931</v>
      </c>
      <c r="D6422">
        <v>27</v>
      </c>
      <c r="E6422" s="16" t="s">
        <v>118</v>
      </c>
      <c r="F6422" s="16" t="s">
        <v>92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64</v>
      </c>
      <c r="C6423" s="9">
        <v>45962</v>
      </c>
      <c r="D6423">
        <v>27</v>
      </c>
      <c r="E6423" s="16" t="s">
        <v>118</v>
      </c>
      <c r="F6423" s="16" t="s">
        <v>92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64</v>
      </c>
      <c r="C6424" s="9">
        <v>45992</v>
      </c>
      <c r="D6424">
        <v>27</v>
      </c>
      <c r="E6424" s="16" t="s">
        <v>118</v>
      </c>
      <c r="F6424" s="16" t="s">
        <v>92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64</v>
      </c>
      <c r="C6425" s="9">
        <v>46023</v>
      </c>
      <c r="D6425">
        <v>27</v>
      </c>
      <c r="E6425" s="16" t="s">
        <v>118</v>
      </c>
      <c r="F6425" s="16" t="s">
        <v>92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64</v>
      </c>
      <c r="C6426" s="9">
        <v>46054</v>
      </c>
      <c r="D6426">
        <v>27</v>
      </c>
      <c r="E6426" s="16" t="s">
        <v>118</v>
      </c>
      <c r="F6426" s="16" t="s">
        <v>92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64</v>
      </c>
      <c r="C6427" s="9">
        <v>46082</v>
      </c>
      <c r="D6427">
        <v>27</v>
      </c>
      <c r="E6427" s="16" t="s">
        <v>118</v>
      </c>
      <c r="F6427" s="16" t="s">
        <v>92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64</v>
      </c>
      <c r="C6428" s="9">
        <v>46113</v>
      </c>
      <c r="D6428">
        <v>27</v>
      </c>
      <c r="E6428" s="16" t="s">
        <v>118</v>
      </c>
      <c r="F6428" s="16" t="s">
        <v>92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64</v>
      </c>
      <c r="C6429" s="9">
        <v>46143</v>
      </c>
      <c r="D6429">
        <v>27</v>
      </c>
      <c r="E6429" s="16" t="s">
        <v>118</v>
      </c>
      <c r="F6429" s="16" t="s">
        <v>92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64</v>
      </c>
      <c r="C6430" s="9">
        <v>46174</v>
      </c>
      <c r="D6430">
        <v>27</v>
      </c>
      <c r="E6430" s="16" t="s">
        <v>118</v>
      </c>
      <c r="F6430" s="16" t="s">
        <v>92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64</v>
      </c>
      <c r="C6431" s="9">
        <v>46204</v>
      </c>
      <c r="D6431">
        <v>27</v>
      </c>
      <c r="E6431" s="16" t="s">
        <v>118</v>
      </c>
      <c r="F6431" s="16" t="s">
        <v>92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64</v>
      </c>
      <c r="C6432" s="9">
        <v>46235</v>
      </c>
      <c r="D6432">
        <v>27</v>
      </c>
      <c r="E6432" s="16" t="s">
        <v>118</v>
      </c>
      <c r="F6432" s="16" t="s">
        <v>92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64</v>
      </c>
      <c r="C6433" s="9">
        <v>46266</v>
      </c>
      <c r="D6433">
        <v>27</v>
      </c>
      <c r="E6433" s="16" t="s">
        <v>118</v>
      </c>
      <c r="F6433" s="16" t="s">
        <v>92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64</v>
      </c>
      <c r="C6434" s="9">
        <v>45689</v>
      </c>
      <c r="D6434">
        <v>28</v>
      </c>
      <c r="E6434" s="16" t="s">
        <v>119</v>
      </c>
      <c r="F6434" s="16" t="s">
        <v>94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64</v>
      </c>
      <c r="C6435" s="9">
        <v>45717</v>
      </c>
      <c r="D6435">
        <v>28</v>
      </c>
      <c r="E6435" s="16" t="s">
        <v>119</v>
      </c>
      <c r="F6435" s="16" t="s">
        <v>94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64</v>
      </c>
      <c r="C6436" s="9">
        <v>45748</v>
      </c>
      <c r="D6436">
        <v>28</v>
      </c>
      <c r="E6436" s="16" t="s">
        <v>119</v>
      </c>
      <c r="F6436" s="16" t="s">
        <v>94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64</v>
      </c>
      <c r="C6437" s="9">
        <v>45778</v>
      </c>
      <c r="D6437">
        <v>28</v>
      </c>
      <c r="E6437" s="16" t="s">
        <v>119</v>
      </c>
      <c r="F6437" s="16" t="s">
        <v>94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64</v>
      </c>
      <c r="C6438" s="9">
        <v>45809</v>
      </c>
      <c r="D6438">
        <v>28</v>
      </c>
      <c r="E6438" s="16" t="s">
        <v>119</v>
      </c>
      <c r="F6438" s="16" t="s">
        <v>94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64</v>
      </c>
      <c r="C6439" s="9">
        <v>45839</v>
      </c>
      <c r="D6439">
        <v>28</v>
      </c>
      <c r="E6439" s="16" t="s">
        <v>119</v>
      </c>
      <c r="F6439" s="16" t="s">
        <v>94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64</v>
      </c>
      <c r="C6440" s="9">
        <v>45870</v>
      </c>
      <c r="D6440">
        <v>28</v>
      </c>
      <c r="E6440" s="16" t="s">
        <v>119</v>
      </c>
      <c r="F6440" s="16" t="s">
        <v>94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64</v>
      </c>
      <c r="C6441" s="9">
        <v>45901</v>
      </c>
      <c r="D6441">
        <v>28</v>
      </c>
      <c r="E6441" s="16" t="s">
        <v>119</v>
      </c>
      <c r="F6441" s="16" t="s">
        <v>94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64</v>
      </c>
      <c r="C6442" s="9">
        <v>45931</v>
      </c>
      <c r="D6442">
        <v>28</v>
      </c>
      <c r="E6442" s="16" t="s">
        <v>119</v>
      </c>
      <c r="F6442" s="16" t="s">
        <v>94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64</v>
      </c>
      <c r="C6443" s="9">
        <v>45962</v>
      </c>
      <c r="D6443">
        <v>28</v>
      </c>
      <c r="E6443" s="16" t="s">
        <v>119</v>
      </c>
      <c r="F6443" s="16" t="s">
        <v>94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64</v>
      </c>
      <c r="C6444" s="9">
        <v>45992</v>
      </c>
      <c r="D6444">
        <v>28</v>
      </c>
      <c r="E6444" s="16" t="s">
        <v>119</v>
      </c>
      <c r="F6444" s="16" t="s">
        <v>94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64</v>
      </c>
      <c r="C6445" s="9">
        <v>46023</v>
      </c>
      <c r="D6445">
        <v>28</v>
      </c>
      <c r="E6445" s="16" t="s">
        <v>119</v>
      </c>
      <c r="F6445" s="16" t="s">
        <v>94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64</v>
      </c>
      <c r="C6446" s="9">
        <v>46054</v>
      </c>
      <c r="D6446">
        <v>28</v>
      </c>
      <c r="E6446" s="16" t="s">
        <v>119</v>
      </c>
      <c r="F6446" s="16" t="s">
        <v>94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64</v>
      </c>
      <c r="C6447" s="9">
        <v>46082</v>
      </c>
      <c r="D6447">
        <v>28</v>
      </c>
      <c r="E6447" s="16" t="s">
        <v>119</v>
      </c>
      <c r="F6447" s="16" t="s">
        <v>94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64</v>
      </c>
      <c r="C6448" s="9">
        <v>46113</v>
      </c>
      <c r="D6448">
        <v>28</v>
      </c>
      <c r="E6448" s="16" t="s">
        <v>119</v>
      </c>
      <c r="F6448" s="16" t="s">
        <v>94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64</v>
      </c>
      <c r="C6449" s="9">
        <v>46143</v>
      </c>
      <c r="D6449">
        <v>28</v>
      </c>
      <c r="E6449" s="16" t="s">
        <v>119</v>
      </c>
      <c r="F6449" s="16" t="s">
        <v>94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64</v>
      </c>
      <c r="C6450" s="9">
        <v>46174</v>
      </c>
      <c r="D6450">
        <v>28</v>
      </c>
      <c r="E6450" s="16" t="s">
        <v>119</v>
      </c>
      <c r="F6450" s="16" t="s">
        <v>94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64</v>
      </c>
      <c r="C6451" s="9">
        <v>46204</v>
      </c>
      <c r="D6451">
        <v>28</v>
      </c>
      <c r="E6451" s="16" t="s">
        <v>119</v>
      </c>
      <c r="F6451" s="16" t="s">
        <v>94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64</v>
      </c>
      <c r="C6452" s="9">
        <v>46235</v>
      </c>
      <c r="D6452">
        <v>28</v>
      </c>
      <c r="E6452" s="16" t="s">
        <v>119</v>
      </c>
      <c r="F6452" s="16" t="s">
        <v>94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64</v>
      </c>
      <c r="C6453" s="9">
        <v>46266</v>
      </c>
      <c r="D6453">
        <v>28</v>
      </c>
      <c r="E6453" s="16" t="s">
        <v>119</v>
      </c>
      <c r="F6453" s="16" t="s">
        <v>94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64</v>
      </c>
      <c r="C6454" s="9">
        <v>45689</v>
      </c>
      <c r="D6454">
        <v>29</v>
      </c>
      <c r="E6454" s="16" t="s">
        <v>120</v>
      </c>
      <c r="F6454" s="16" t="s">
        <v>89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64</v>
      </c>
      <c r="C6455" s="9">
        <v>45717</v>
      </c>
      <c r="D6455">
        <v>29</v>
      </c>
      <c r="E6455" s="16" t="s">
        <v>120</v>
      </c>
      <c r="F6455" s="16" t="s">
        <v>89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64</v>
      </c>
      <c r="C6456" s="9">
        <v>45748</v>
      </c>
      <c r="D6456">
        <v>29</v>
      </c>
      <c r="E6456" s="16" t="s">
        <v>120</v>
      </c>
      <c r="F6456" s="16" t="s">
        <v>89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64</v>
      </c>
      <c r="C6457" s="9">
        <v>45778</v>
      </c>
      <c r="D6457">
        <v>29</v>
      </c>
      <c r="E6457" s="16" t="s">
        <v>120</v>
      </c>
      <c r="F6457" s="16" t="s">
        <v>89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64</v>
      </c>
      <c r="C6458" s="9">
        <v>45809</v>
      </c>
      <c r="D6458">
        <v>29</v>
      </c>
      <c r="E6458" s="16" t="s">
        <v>120</v>
      </c>
      <c r="F6458" s="16" t="s">
        <v>89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64</v>
      </c>
      <c r="C6459" s="9">
        <v>45839</v>
      </c>
      <c r="D6459">
        <v>29</v>
      </c>
      <c r="E6459" s="16" t="s">
        <v>120</v>
      </c>
      <c r="F6459" s="16" t="s">
        <v>89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64</v>
      </c>
      <c r="C6460" s="9">
        <v>45870</v>
      </c>
      <c r="D6460">
        <v>29</v>
      </c>
      <c r="E6460" s="16" t="s">
        <v>120</v>
      </c>
      <c r="F6460" s="16" t="s">
        <v>89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64</v>
      </c>
      <c r="C6461" s="9">
        <v>45901</v>
      </c>
      <c r="D6461">
        <v>29</v>
      </c>
      <c r="E6461" s="16" t="s">
        <v>120</v>
      </c>
      <c r="F6461" s="16" t="s">
        <v>89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64</v>
      </c>
      <c r="C6462" s="9">
        <v>45931</v>
      </c>
      <c r="D6462">
        <v>29</v>
      </c>
      <c r="E6462" s="16" t="s">
        <v>120</v>
      </c>
      <c r="F6462" s="16" t="s">
        <v>89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64</v>
      </c>
      <c r="C6463" s="9">
        <v>45962</v>
      </c>
      <c r="D6463">
        <v>29</v>
      </c>
      <c r="E6463" s="16" t="s">
        <v>120</v>
      </c>
      <c r="F6463" s="16" t="s">
        <v>89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64</v>
      </c>
      <c r="C6464" s="9">
        <v>45992</v>
      </c>
      <c r="D6464">
        <v>29</v>
      </c>
      <c r="E6464" s="16" t="s">
        <v>120</v>
      </c>
      <c r="F6464" s="16" t="s">
        <v>89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64</v>
      </c>
      <c r="C6465" s="9">
        <v>46023</v>
      </c>
      <c r="D6465">
        <v>29</v>
      </c>
      <c r="E6465" s="16" t="s">
        <v>120</v>
      </c>
      <c r="F6465" s="16" t="s">
        <v>89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64</v>
      </c>
      <c r="C6466" s="9">
        <v>46054</v>
      </c>
      <c r="D6466">
        <v>29</v>
      </c>
      <c r="E6466" s="16" t="s">
        <v>120</v>
      </c>
      <c r="F6466" s="16" t="s">
        <v>89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64</v>
      </c>
      <c r="C6467" s="9">
        <v>46082</v>
      </c>
      <c r="D6467">
        <v>29</v>
      </c>
      <c r="E6467" s="16" t="s">
        <v>120</v>
      </c>
      <c r="F6467" s="16" t="s">
        <v>89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64</v>
      </c>
      <c r="C6468" s="9">
        <v>46113</v>
      </c>
      <c r="D6468">
        <v>29</v>
      </c>
      <c r="E6468" s="16" t="s">
        <v>120</v>
      </c>
      <c r="F6468" s="16" t="s">
        <v>89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64</v>
      </c>
      <c r="C6469" s="9">
        <v>46143</v>
      </c>
      <c r="D6469">
        <v>29</v>
      </c>
      <c r="E6469" s="16" t="s">
        <v>120</v>
      </c>
      <c r="F6469" s="16" t="s">
        <v>89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64</v>
      </c>
      <c r="C6470" s="9">
        <v>46174</v>
      </c>
      <c r="D6470">
        <v>29</v>
      </c>
      <c r="E6470" s="16" t="s">
        <v>120</v>
      </c>
      <c r="F6470" s="16" t="s">
        <v>89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64</v>
      </c>
      <c r="C6471" s="9">
        <v>46204</v>
      </c>
      <c r="D6471">
        <v>29</v>
      </c>
      <c r="E6471" s="16" t="s">
        <v>120</v>
      </c>
      <c r="F6471" s="16" t="s">
        <v>89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64</v>
      </c>
      <c r="C6472" s="9">
        <v>46235</v>
      </c>
      <c r="D6472">
        <v>29</v>
      </c>
      <c r="E6472" s="16" t="s">
        <v>120</v>
      </c>
      <c r="F6472" s="16" t="s">
        <v>89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64</v>
      </c>
      <c r="C6473" s="9">
        <v>46266</v>
      </c>
      <c r="D6473">
        <v>29</v>
      </c>
      <c r="E6473" s="16" t="s">
        <v>120</v>
      </c>
      <c r="F6473" s="16" t="s">
        <v>89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64</v>
      </c>
      <c r="C6474" s="9">
        <v>45689</v>
      </c>
      <c r="D6474">
        <v>30</v>
      </c>
      <c r="E6474" s="16" t="s">
        <v>121</v>
      </c>
      <c r="F6474" s="16" t="s">
        <v>94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64</v>
      </c>
      <c r="C6475" s="9">
        <v>45717</v>
      </c>
      <c r="D6475">
        <v>30</v>
      </c>
      <c r="E6475" s="16" t="s">
        <v>121</v>
      </c>
      <c r="F6475" s="16" t="s">
        <v>94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64</v>
      </c>
      <c r="C6476" s="9">
        <v>45748</v>
      </c>
      <c r="D6476">
        <v>30</v>
      </c>
      <c r="E6476" s="16" t="s">
        <v>121</v>
      </c>
      <c r="F6476" s="16" t="s">
        <v>94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64</v>
      </c>
      <c r="C6477" s="9">
        <v>45778</v>
      </c>
      <c r="D6477">
        <v>30</v>
      </c>
      <c r="E6477" s="16" t="s">
        <v>121</v>
      </c>
      <c r="F6477" s="16" t="s">
        <v>94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64</v>
      </c>
      <c r="C6478" s="9">
        <v>45809</v>
      </c>
      <c r="D6478">
        <v>30</v>
      </c>
      <c r="E6478" s="16" t="s">
        <v>121</v>
      </c>
      <c r="F6478" s="16" t="s">
        <v>94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64</v>
      </c>
      <c r="C6479" s="9">
        <v>45839</v>
      </c>
      <c r="D6479">
        <v>30</v>
      </c>
      <c r="E6479" s="16" t="s">
        <v>121</v>
      </c>
      <c r="F6479" s="16" t="s">
        <v>94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64</v>
      </c>
      <c r="C6480" s="9">
        <v>45870</v>
      </c>
      <c r="D6480">
        <v>30</v>
      </c>
      <c r="E6480" s="16" t="s">
        <v>121</v>
      </c>
      <c r="F6480" s="16" t="s">
        <v>94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64</v>
      </c>
      <c r="C6481" s="9">
        <v>45901</v>
      </c>
      <c r="D6481">
        <v>30</v>
      </c>
      <c r="E6481" s="16" t="s">
        <v>121</v>
      </c>
      <c r="F6481" s="16" t="s">
        <v>94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64</v>
      </c>
      <c r="C6482" s="9">
        <v>45931</v>
      </c>
      <c r="D6482">
        <v>30</v>
      </c>
      <c r="E6482" s="16" t="s">
        <v>121</v>
      </c>
      <c r="F6482" s="16" t="s">
        <v>94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64</v>
      </c>
      <c r="C6483" s="9">
        <v>45962</v>
      </c>
      <c r="D6483">
        <v>30</v>
      </c>
      <c r="E6483" s="16" t="s">
        <v>121</v>
      </c>
      <c r="F6483" s="16" t="s">
        <v>94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64</v>
      </c>
      <c r="C6484" s="9">
        <v>45992</v>
      </c>
      <c r="D6484">
        <v>30</v>
      </c>
      <c r="E6484" s="16" t="s">
        <v>121</v>
      </c>
      <c r="F6484" s="16" t="s">
        <v>94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64</v>
      </c>
      <c r="C6485" s="9">
        <v>46023</v>
      </c>
      <c r="D6485">
        <v>30</v>
      </c>
      <c r="E6485" s="16" t="s">
        <v>121</v>
      </c>
      <c r="F6485" s="16" t="s">
        <v>94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64</v>
      </c>
      <c r="C6486" s="9">
        <v>46054</v>
      </c>
      <c r="D6486">
        <v>30</v>
      </c>
      <c r="E6486" s="16" t="s">
        <v>121</v>
      </c>
      <c r="F6486" s="16" t="s">
        <v>94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64</v>
      </c>
      <c r="C6487" s="9">
        <v>46082</v>
      </c>
      <c r="D6487">
        <v>30</v>
      </c>
      <c r="E6487" s="16" t="s">
        <v>121</v>
      </c>
      <c r="F6487" s="16" t="s">
        <v>94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64</v>
      </c>
      <c r="C6488" s="9">
        <v>46113</v>
      </c>
      <c r="D6488">
        <v>30</v>
      </c>
      <c r="E6488" s="16" t="s">
        <v>121</v>
      </c>
      <c r="F6488" s="16" t="s">
        <v>94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64</v>
      </c>
      <c r="C6489" s="9">
        <v>46143</v>
      </c>
      <c r="D6489">
        <v>30</v>
      </c>
      <c r="E6489" s="16" t="s">
        <v>121</v>
      </c>
      <c r="F6489" s="16" t="s">
        <v>94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64</v>
      </c>
      <c r="C6490" s="9">
        <v>46174</v>
      </c>
      <c r="D6490">
        <v>30</v>
      </c>
      <c r="E6490" s="16" t="s">
        <v>121</v>
      </c>
      <c r="F6490" s="16" t="s">
        <v>94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64</v>
      </c>
      <c r="C6491" s="9">
        <v>46204</v>
      </c>
      <c r="D6491">
        <v>30</v>
      </c>
      <c r="E6491" s="16" t="s">
        <v>121</v>
      </c>
      <c r="F6491" s="16" t="s">
        <v>94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64</v>
      </c>
      <c r="C6492" s="9">
        <v>46235</v>
      </c>
      <c r="D6492">
        <v>30</v>
      </c>
      <c r="E6492" s="16" t="s">
        <v>121</v>
      </c>
      <c r="F6492" s="16" t="s">
        <v>94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64</v>
      </c>
      <c r="C6493" s="9">
        <v>46266</v>
      </c>
      <c r="D6493">
        <v>30</v>
      </c>
      <c r="E6493" s="16" t="s">
        <v>121</v>
      </c>
      <c r="F6493" s="16" t="s">
        <v>94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64</v>
      </c>
      <c r="C6494" s="9">
        <v>45689</v>
      </c>
      <c r="D6494">
        <v>31</v>
      </c>
      <c r="E6494" s="16" t="s">
        <v>122</v>
      </c>
      <c r="F6494" s="16" t="s">
        <v>94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64</v>
      </c>
      <c r="C6495" s="9">
        <v>45717</v>
      </c>
      <c r="D6495">
        <v>31</v>
      </c>
      <c r="E6495" s="16" t="s">
        <v>122</v>
      </c>
      <c r="F6495" s="16" t="s">
        <v>94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64</v>
      </c>
      <c r="C6496" s="9">
        <v>45748</v>
      </c>
      <c r="D6496">
        <v>31</v>
      </c>
      <c r="E6496" s="16" t="s">
        <v>122</v>
      </c>
      <c r="F6496" s="16" t="s">
        <v>94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64</v>
      </c>
      <c r="C6497" s="9">
        <v>45778</v>
      </c>
      <c r="D6497">
        <v>31</v>
      </c>
      <c r="E6497" s="16" t="s">
        <v>122</v>
      </c>
      <c r="F6497" s="16" t="s">
        <v>94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64</v>
      </c>
      <c r="C6498" s="9">
        <v>45809</v>
      </c>
      <c r="D6498">
        <v>31</v>
      </c>
      <c r="E6498" s="16" t="s">
        <v>122</v>
      </c>
      <c r="F6498" s="16" t="s">
        <v>94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64</v>
      </c>
      <c r="C6499" s="9">
        <v>45839</v>
      </c>
      <c r="D6499">
        <v>31</v>
      </c>
      <c r="E6499" s="16" t="s">
        <v>122</v>
      </c>
      <c r="F6499" s="16" t="s">
        <v>94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64</v>
      </c>
      <c r="C6500" s="9">
        <v>45870</v>
      </c>
      <c r="D6500">
        <v>31</v>
      </c>
      <c r="E6500" s="16" t="s">
        <v>122</v>
      </c>
      <c r="F6500" s="16" t="s">
        <v>94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64</v>
      </c>
      <c r="C6501" s="9">
        <v>45901</v>
      </c>
      <c r="D6501">
        <v>31</v>
      </c>
      <c r="E6501" s="16" t="s">
        <v>122</v>
      </c>
      <c r="F6501" s="16" t="s">
        <v>94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64</v>
      </c>
      <c r="C6502" s="9">
        <v>45931</v>
      </c>
      <c r="D6502">
        <v>31</v>
      </c>
      <c r="E6502" s="16" t="s">
        <v>122</v>
      </c>
      <c r="F6502" s="16" t="s">
        <v>94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64</v>
      </c>
      <c r="C6503" s="9">
        <v>45962</v>
      </c>
      <c r="D6503">
        <v>31</v>
      </c>
      <c r="E6503" s="16" t="s">
        <v>122</v>
      </c>
      <c r="F6503" s="16" t="s">
        <v>94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64</v>
      </c>
      <c r="C6504" s="9">
        <v>45992</v>
      </c>
      <c r="D6504">
        <v>31</v>
      </c>
      <c r="E6504" s="16" t="s">
        <v>122</v>
      </c>
      <c r="F6504" s="16" t="s">
        <v>94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64</v>
      </c>
      <c r="C6505" s="9">
        <v>46023</v>
      </c>
      <c r="D6505">
        <v>31</v>
      </c>
      <c r="E6505" s="16" t="s">
        <v>122</v>
      </c>
      <c r="F6505" s="16" t="s">
        <v>94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64</v>
      </c>
      <c r="C6506" s="9">
        <v>46054</v>
      </c>
      <c r="D6506">
        <v>31</v>
      </c>
      <c r="E6506" s="16" t="s">
        <v>122</v>
      </c>
      <c r="F6506" s="16" t="s">
        <v>94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64</v>
      </c>
      <c r="C6507" s="9">
        <v>46082</v>
      </c>
      <c r="D6507">
        <v>31</v>
      </c>
      <c r="E6507" s="16" t="s">
        <v>122</v>
      </c>
      <c r="F6507" s="16" t="s">
        <v>94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64</v>
      </c>
      <c r="C6508" s="9">
        <v>46113</v>
      </c>
      <c r="D6508">
        <v>31</v>
      </c>
      <c r="E6508" s="16" t="s">
        <v>122</v>
      </c>
      <c r="F6508" s="16" t="s">
        <v>94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64</v>
      </c>
      <c r="C6509" s="9">
        <v>46143</v>
      </c>
      <c r="D6509">
        <v>31</v>
      </c>
      <c r="E6509" s="16" t="s">
        <v>122</v>
      </c>
      <c r="F6509" s="16" t="s">
        <v>94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64</v>
      </c>
      <c r="C6510" s="9">
        <v>46174</v>
      </c>
      <c r="D6510">
        <v>31</v>
      </c>
      <c r="E6510" s="16" t="s">
        <v>122</v>
      </c>
      <c r="F6510" s="16" t="s">
        <v>94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64</v>
      </c>
      <c r="C6511" s="9">
        <v>46204</v>
      </c>
      <c r="D6511">
        <v>31</v>
      </c>
      <c r="E6511" s="16" t="s">
        <v>122</v>
      </c>
      <c r="F6511" s="16" t="s">
        <v>94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64</v>
      </c>
      <c r="C6512" s="9">
        <v>46235</v>
      </c>
      <c r="D6512">
        <v>31</v>
      </c>
      <c r="E6512" s="16" t="s">
        <v>122</v>
      </c>
      <c r="F6512" s="16" t="s">
        <v>94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64</v>
      </c>
      <c r="C6513" s="9">
        <v>46266</v>
      </c>
      <c r="D6513">
        <v>31</v>
      </c>
      <c r="E6513" s="16" t="s">
        <v>122</v>
      </c>
      <c r="F6513" s="16" t="s">
        <v>94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64</v>
      </c>
      <c r="C6514" s="9">
        <v>45689</v>
      </c>
      <c r="D6514">
        <v>32</v>
      </c>
      <c r="E6514" s="16" t="s">
        <v>123</v>
      </c>
      <c r="F6514" s="16" t="s">
        <v>94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64</v>
      </c>
      <c r="C6515" s="9">
        <v>45717</v>
      </c>
      <c r="D6515">
        <v>32</v>
      </c>
      <c r="E6515" s="16" t="s">
        <v>123</v>
      </c>
      <c r="F6515" s="16" t="s">
        <v>94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64</v>
      </c>
      <c r="C6516" s="9">
        <v>45748</v>
      </c>
      <c r="D6516">
        <v>32</v>
      </c>
      <c r="E6516" s="16" t="s">
        <v>123</v>
      </c>
      <c r="F6516" s="16" t="s">
        <v>94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64</v>
      </c>
      <c r="C6517" s="9">
        <v>45778</v>
      </c>
      <c r="D6517">
        <v>32</v>
      </c>
      <c r="E6517" s="16" t="s">
        <v>123</v>
      </c>
      <c r="F6517" s="16" t="s">
        <v>94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64</v>
      </c>
      <c r="C6518" s="9">
        <v>45809</v>
      </c>
      <c r="D6518">
        <v>32</v>
      </c>
      <c r="E6518" s="16" t="s">
        <v>123</v>
      </c>
      <c r="F6518" s="16" t="s">
        <v>94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64</v>
      </c>
      <c r="C6519" s="9">
        <v>45839</v>
      </c>
      <c r="D6519">
        <v>32</v>
      </c>
      <c r="E6519" s="16" t="s">
        <v>123</v>
      </c>
      <c r="F6519" s="16" t="s">
        <v>94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64</v>
      </c>
      <c r="C6520" s="9">
        <v>45870</v>
      </c>
      <c r="D6520">
        <v>32</v>
      </c>
      <c r="E6520" s="16" t="s">
        <v>123</v>
      </c>
      <c r="F6520" s="16" t="s">
        <v>94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64</v>
      </c>
      <c r="C6521" s="9">
        <v>45901</v>
      </c>
      <c r="D6521">
        <v>32</v>
      </c>
      <c r="E6521" s="16" t="s">
        <v>123</v>
      </c>
      <c r="F6521" s="16" t="s">
        <v>94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64</v>
      </c>
      <c r="C6522" s="9">
        <v>45931</v>
      </c>
      <c r="D6522">
        <v>32</v>
      </c>
      <c r="E6522" s="16" t="s">
        <v>123</v>
      </c>
      <c r="F6522" s="16" t="s">
        <v>94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64</v>
      </c>
      <c r="C6523" s="9">
        <v>45962</v>
      </c>
      <c r="D6523">
        <v>32</v>
      </c>
      <c r="E6523" s="16" t="s">
        <v>123</v>
      </c>
      <c r="F6523" s="16" t="s">
        <v>94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64</v>
      </c>
      <c r="C6524" s="9">
        <v>45992</v>
      </c>
      <c r="D6524">
        <v>32</v>
      </c>
      <c r="E6524" s="16" t="s">
        <v>123</v>
      </c>
      <c r="F6524" s="16" t="s">
        <v>94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64</v>
      </c>
      <c r="C6525" s="9">
        <v>46023</v>
      </c>
      <c r="D6525">
        <v>32</v>
      </c>
      <c r="E6525" s="16" t="s">
        <v>123</v>
      </c>
      <c r="F6525" s="16" t="s">
        <v>94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64</v>
      </c>
      <c r="C6526" s="9">
        <v>46054</v>
      </c>
      <c r="D6526">
        <v>32</v>
      </c>
      <c r="E6526" s="16" t="s">
        <v>123</v>
      </c>
      <c r="F6526" s="16" t="s">
        <v>94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64</v>
      </c>
      <c r="C6527" s="9">
        <v>46082</v>
      </c>
      <c r="D6527">
        <v>32</v>
      </c>
      <c r="E6527" s="16" t="s">
        <v>123</v>
      </c>
      <c r="F6527" s="16" t="s">
        <v>94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64</v>
      </c>
      <c r="C6528" s="9">
        <v>46113</v>
      </c>
      <c r="D6528">
        <v>32</v>
      </c>
      <c r="E6528" s="16" t="s">
        <v>123</v>
      </c>
      <c r="F6528" s="16" t="s">
        <v>94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64</v>
      </c>
      <c r="C6529" s="9">
        <v>46143</v>
      </c>
      <c r="D6529">
        <v>32</v>
      </c>
      <c r="E6529" s="16" t="s">
        <v>123</v>
      </c>
      <c r="F6529" s="16" t="s">
        <v>94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64</v>
      </c>
      <c r="C6530" s="9">
        <v>46174</v>
      </c>
      <c r="D6530">
        <v>32</v>
      </c>
      <c r="E6530" s="16" t="s">
        <v>123</v>
      </c>
      <c r="F6530" s="16" t="s">
        <v>94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64</v>
      </c>
      <c r="C6531" s="9">
        <v>46204</v>
      </c>
      <c r="D6531">
        <v>32</v>
      </c>
      <c r="E6531" s="16" t="s">
        <v>123</v>
      </c>
      <c r="F6531" s="16" t="s">
        <v>94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64</v>
      </c>
      <c r="C6532" s="9">
        <v>46235</v>
      </c>
      <c r="D6532">
        <v>32</v>
      </c>
      <c r="E6532" s="16" t="s">
        <v>123</v>
      </c>
      <c r="F6532" s="16" t="s">
        <v>94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64</v>
      </c>
      <c r="C6533" s="9">
        <v>46266</v>
      </c>
      <c r="D6533">
        <v>32</v>
      </c>
      <c r="E6533" s="16" t="s">
        <v>123</v>
      </c>
      <c r="F6533" s="16" t="s">
        <v>94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64</v>
      </c>
      <c r="C6534" s="9">
        <v>45689</v>
      </c>
      <c r="D6534">
        <v>33</v>
      </c>
      <c r="E6534" s="16" t="s">
        <v>124</v>
      </c>
      <c r="F6534" s="16" t="s">
        <v>94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64</v>
      </c>
      <c r="C6535" s="9">
        <v>45717</v>
      </c>
      <c r="D6535">
        <v>33</v>
      </c>
      <c r="E6535" s="16" t="s">
        <v>124</v>
      </c>
      <c r="F6535" s="16" t="s">
        <v>94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64</v>
      </c>
      <c r="C6536" s="9">
        <v>45748</v>
      </c>
      <c r="D6536">
        <v>33</v>
      </c>
      <c r="E6536" s="16" t="s">
        <v>124</v>
      </c>
      <c r="F6536" s="16" t="s">
        <v>94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64</v>
      </c>
      <c r="C6537" s="9">
        <v>45778</v>
      </c>
      <c r="D6537">
        <v>33</v>
      </c>
      <c r="E6537" s="16" t="s">
        <v>124</v>
      </c>
      <c r="F6537" s="16" t="s">
        <v>94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64</v>
      </c>
      <c r="C6538" s="9">
        <v>45809</v>
      </c>
      <c r="D6538">
        <v>33</v>
      </c>
      <c r="E6538" s="16" t="s">
        <v>124</v>
      </c>
      <c r="F6538" s="16" t="s">
        <v>94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64</v>
      </c>
      <c r="C6539" s="9">
        <v>45839</v>
      </c>
      <c r="D6539">
        <v>33</v>
      </c>
      <c r="E6539" s="16" t="s">
        <v>124</v>
      </c>
      <c r="F6539" s="16" t="s">
        <v>94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64</v>
      </c>
      <c r="C6540" s="9">
        <v>45870</v>
      </c>
      <c r="D6540">
        <v>33</v>
      </c>
      <c r="E6540" s="16" t="s">
        <v>124</v>
      </c>
      <c r="F6540" s="16" t="s">
        <v>94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64</v>
      </c>
      <c r="C6541" s="9">
        <v>45901</v>
      </c>
      <c r="D6541">
        <v>33</v>
      </c>
      <c r="E6541" s="16" t="s">
        <v>124</v>
      </c>
      <c r="F6541" s="16" t="s">
        <v>94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64</v>
      </c>
      <c r="C6542" s="9">
        <v>45931</v>
      </c>
      <c r="D6542">
        <v>33</v>
      </c>
      <c r="E6542" s="16" t="s">
        <v>124</v>
      </c>
      <c r="F6542" s="16" t="s">
        <v>94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64</v>
      </c>
      <c r="C6543" s="9">
        <v>45962</v>
      </c>
      <c r="D6543">
        <v>33</v>
      </c>
      <c r="E6543" s="16" t="s">
        <v>124</v>
      </c>
      <c r="F6543" s="16" t="s">
        <v>94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64</v>
      </c>
      <c r="C6544" s="9">
        <v>45992</v>
      </c>
      <c r="D6544">
        <v>33</v>
      </c>
      <c r="E6544" s="16" t="s">
        <v>124</v>
      </c>
      <c r="F6544" s="16" t="s">
        <v>94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64</v>
      </c>
      <c r="C6545" s="9">
        <v>46023</v>
      </c>
      <c r="D6545">
        <v>33</v>
      </c>
      <c r="E6545" s="16" t="s">
        <v>124</v>
      </c>
      <c r="F6545" s="16" t="s">
        <v>94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64</v>
      </c>
      <c r="C6546" s="9">
        <v>46054</v>
      </c>
      <c r="D6546">
        <v>33</v>
      </c>
      <c r="E6546" s="16" t="s">
        <v>124</v>
      </c>
      <c r="F6546" s="16" t="s">
        <v>94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64</v>
      </c>
      <c r="C6547" s="9">
        <v>46082</v>
      </c>
      <c r="D6547">
        <v>33</v>
      </c>
      <c r="E6547" s="16" t="s">
        <v>124</v>
      </c>
      <c r="F6547" s="16" t="s">
        <v>94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64</v>
      </c>
      <c r="C6548" s="9">
        <v>46113</v>
      </c>
      <c r="D6548">
        <v>33</v>
      </c>
      <c r="E6548" s="16" t="s">
        <v>124</v>
      </c>
      <c r="F6548" s="16" t="s">
        <v>94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64</v>
      </c>
      <c r="C6549" s="9">
        <v>46143</v>
      </c>
      <c r="D6549">
        <v>33</v>
      </c>
      <c r="E6549" s="16" t="s">
        <v>124</v>
      </c>
      <c r="F6549" s="16" t="s">
        <v>94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64</v>
      </c>
      <c r="C6550" s="9">
        <v>46174</v>
      </c>
      <c r="D6550">
        <v>33</v>
      </c>
      <c r="E6550" s="16" t="s">
        <v>124</v>
      </c>
      <c r="F6550" s="16" t="s">
        <v>94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64</v>
      </c>
      <c r="C6551" s="9">
        <v>46204</v>
      </c>
      <c r="D6551">
        <v>33</v>
      </c>
      <c r="E6551" s="16" t="s">
        <v>124</v>
      </c>
      <c r="F6551" s="16" t="s">
        <v>94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64</v>
      </c>
      <c r="C6552" s="9">
        <v>46235</v>
      </c>
      <c r="D6552">
        <v>33</v>
      </c>
      <c r="E6552" s="16" t="s">
        <v>124</v>
      </c>
      <c r="F6552" s="16" t="s">
        <v>94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64</v>
      </c>
      <c r="C6553" s="9">
        <v>46266</v>
      </c>
      <c r="D6553">
        <v>33</v>
      </c>
      <c r="E6553" s="16" t="s">
        <v>124</v>
      </c>
      <c r="F6553" s="16" t="s">
        <v>94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64</v>
      </c>
      <c r="C6554" s="9">
        <v>45689</v>
      </c>
      <c r="D6554">
        <v>34</v>
      </c>
      <c r="E6554" s="16" t="s">
        <v>125</v>
      </c>
      <c r="F6554" s="16" t="s">
        <v>116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64</v>
      </c>
      <c r="C6555" s="9">
        <v>45717</v>
      </c>
      <c r="D6555">
        <v>34</v>
      </c>
      <c r="E6555" s="16" t="s">
        <v>125</v>
      </c>
      <c r="F6555" s="16" t="s">
        <v>116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64</v>
      </c>
      <c r="C6556" s="9">
        <v>45748</v>
      </c>
      <c r="D6556">
        <v>34</v>
      </c>
      <c r="E6556" s="16" t="s">
        <v>125</v>
      </c>
      <c r="F6556" s="16" t="s">
        <v>116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64</v>
      </c>
      <c r="C6557" s="9">
        <v>45778</v>
      </c>
      <c r="D6557">
        <v>34</v>
      </c>
      <c r="E6557" s="16" t="s">
        <v>125</v>
      </c>
      <c r="F6557" s="16" t="s">
        <v>116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64</v>
      </c>
      <c r="C6558" s="9">
        <v>45809</v>
      </c>
      <c r="D6558">
        <v>34</v>
      </c>
      <c r="E6558" s="16" t="s">
        <v>125</v>
      </c>
      <c r="F6558" s="16" t="s">
        <v>116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64</v>
      </c>
      <c r="C6559" s="9">
        <v>45839</v>
      </c>
      <c r="D6559">
        <v>34</v>
      </c>
      <c r="E6559" s="16" t="s">
        <v>125</v>
      </c>
      <c r="F6559" s="16" t="s">
        <v>116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64</v>
      </c>
      <c r="C6560" s="9">
        <v>45870</v>
      </c>
      <c r="D6560">
        <v>34</v>
      </c>
      <c r="E6560" s="16" t="s">
        <v>125</v>
      </c>
      <c r="F6560" s="16" t="s">
        <v>116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64</v>
      </c>
      <c r="C6561" s="9">
        <v>45901</v>
      </c>
      <c r="D6561">
        <v>34</v>
      </c>
      <c r="E6561" s="16" t="s">
        <v>125</v>
      </c>
      <c r="F6561" s="16" t="s">
        <v>116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64</v>
      </c>
      <c r="C6562" s="9">
        <v>45931</v>
      </c>
      <c r="D6562">
        <v>34</v>
      </c>
      <c r="E6562" s="16" t="s">
        <v>125</v>
      </c>
      <c r="F6562" s="16" t="s">
        <v>116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64</v>
      </c>
      <c r="C6563" s="9">
        <v>45962</v>
      </c>
      <c r="D6563">
        <v>34</v>
      </c>
      <c r="E6563" s="16" t="s">
        <v>125</v>
      </c>
      <c r="F6563" s="16" t="s">
        <v>116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64</v>
      </c>
      <c r="C6564" s="9">
        <v>45992</v>
      </c>
      <c r="D6564">
        <v>34</v>
      </c>
      <c r="E6564" s="16" t="s">
        <v>125</v>
      </c>
      <c r="F6564" s="16" t="s">
        <v>116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64</v>
      </c>
      <c r="C6565" s="9">
        <v>46023</v>
      </c>
      <c r="D6565">
        <v>34</v>
      </c>
      <c r="E6565" s="16" t="s">
        <v>125</v>
      </c>
      <c r="F6565" s="16" t="s">
        <v>116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64</v>
      </c>
      <c r="C6566" s="9">
        <v>46054</v>
      </c>
      <c r="D6566">
        <v>34</v>
      </c>
      <c r="E6566" s="16" t="s">
        <v>125</v>
      </c>
      <c r="F6566" s="16" t="s">
        <v>116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64</v>
      </c>
      <c r="C6567" s="9">
        <v>46082</v>
      </c>
      <c r="D6567">
        <v>34</v>
      </c>
      <c r="E6567" s="16" t="s">
        <v>125</v>
      </c>
      <c r="F6567" s="16" t="s">
        <v>116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64</v>
      </c>
      <c r="C6568" s="9">
        <v>46113</v>
      </c>
      <c r="D6568">
        <v>34</v>
      </c>
      <c r="E6568" s="16" t="s">
        <v>125</v>
      </c>
      <c r="F6568" s="16" t="s">
        <v>116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64</v>
      </c>
      <c r="C6569" s="9">
        <v>46143</v>
      </c>
      <c r="D6569">
        <v>34</v>
      </c>
      <c r="E6569" s="16" t="s">
        <v>125</v>
      </c>
      <c r="F6569" s="16" t="s">
        <v>116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64</v>
      </c>
      <c r="C6570" s="9">
        <v>46174</v>
      </c>
      <c r="D6570">
        <v>34</v>
      </c>
      <c r="E6570" s="16" t="s">
        <v>125</v>
      </c>
      <c r="F6570" s="16" t="s">
        <v>116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64</v>
      </c>
      <c r="C6571" s="9">
        <v>46204</v>
      </c>
      <c r="D6571">
        <v>34</v>
      </c>
      <c r="E6571" s="16" t="s">
        <v>125</v>
      </c>
      <c r="F6571" s="16" t="s">
        <v>116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64</v>
      </c>
      <c r="C6572" s="9">
        <v>46235</v>
      </c>
      <c r="D6572">
        <v>34</v>
      </c>
      <c r="E6572" s="16" t="s">
        <v>125</v>
      </c>
      <c r="F6572" s="16" t="s">
        <v>116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64</v>
      </c>
      <c r="C6573" s="9">
        <v>46266</v>
      </c>
      <c r="D6573">
        <v>34</v>
      </c>
      <c r="E6573" s="16" t="s">
        <v>125</v>
      </c>
      <c r="F6573" s="16" t="s">
        <v>116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64</v>
      </c>
      <c r="C6574" s="9">
        <v>45689</v>
      </c>
      <c r="D6574">
        <v>35</v>
      </c>
      <c r="E6574" s="16" t="s">
        <v>126</v>
      </c>
      <c r="F6574" s="16" t="s">
        <v>92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64</v>
      </c>
      <c r="C6575" s="9">
        <v>45748</v>
      </c>
      <c r="D6575">
        <v>35</v>
      </c>
      <c r="E6575" s="16" t="s">
        <v>126</v>
      </c>
      <c r="F6575" s="16" t="s">
        <v>92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64</v>
      </c>
      <c r="C6576" s="9">
        <v>45809</v>
      </c>
      <c r="D6576">
        <v>35</v>
      </c>
      <c r="E6576" s="16" t="s">
        <v>126</v>
      </c>
      <c r="F6576" s="16" t="s">
        <v>92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64</v>
      </c>
      <c r="C6577" s="9">
        <v>45870</v>
      </c>
      <c r="D6577">
        <v>35</v>
      </c>
      <c r="E6577" s="16" t="s">
        <v>126</v>
      </c>
      <c r="F6577" s="16" t="s">
        <v>92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64</v>
      </c>
      <c r="C6578" s="9">
        <v>45901</v>
      </c>
      <c r="D6578">
        <v>35</v>
      </c>
      <c r="E6578" s="16" t="s">
        <v>126</v>
      </c>
      <c r="F6578" s="16" t="s">
        <v>92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64</v>
      </c>
      <c r="C6579" s="9">
        <v>45962</v>
      </c>
      <c r="D6579">
        <v>35</v>
      </c>
      <c r="E6579" s="16" t="s">
        <v>126</v>
      </c>
      <c r="F6579" s="16" t="s">
        <v>92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64</v>
      </c>
      <c r="C6580" s="9">
        <v>46023</v>
      </c>
      <c r="D6580">
        <v>35</v>
      </c>
      <c r="E6580" s="16" t="s">
        <v>126</v>
      </c>
      <c r="F6580" s="16" t="s">
        <v>92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64</v>
      </c>
      <c r="C6581" s="9">
        <v>46054</v>
      </c>
      <c r="D6581">
        <v>35</v>
      </c>
      <c r="E6581" s="16" t="s">
        <v>126</v>
      </c>
      <c r="F6581" s="16" t="s">
        <v>92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64</v>
      </c>
      <c r="C6582" s="9">
        <v>46113</v>
      </c>
      <c r="D6582">
        <v>35</v>
      </c>
      <c r="E6582" s="16" t="s">
        <v>126</v>
      </c>
      <c r="F6582" s="16" t="s">
        <v>92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64</v>
      </c>
      <c r="C6583" s="9">
        <v>46143</v>
      </c>
      <c r="D6583">
        <v>35</v>
      </c>
      <c r="E6583" s="16" t="s">
        <v>126</v>
      </c>
      <c r="F6583" s="16" t="s">
        <v>92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64</v>
      </c>
      <c r="C6584" s="9">
        <v>46204</v>
      </c>
      <c r="D6584">
        <v>35</v>
      </c>
      <c r="E6584" s="16" t="s">
        <v>126</v>
      </c>
      <c r="F6584" s="16" t="s">
        <v>92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64</v>
      </c>
      <c r="C6585" s="9">
        <v>46235</v>
      </c>
      <c r="D6585">
        <v>35</v>
      </c>
      <c r="E6585" s="16" t="s">
        <v>126</v>
      </c>
      <c r="F6585" s="16" t="s">
        <v>92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64</v>
      </c>
      <c r="C6586" s="9">
        <v>45689</v>
      </c>
      <c r="D6586">
        <v>36</v>
      </c>
      <c r="E6586" s="16" t="s">
        <v>127</v>
      </c>
      <c r="F6586" s="16" t="s">
        <v>100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64</v>
      </c>
      <c r="C6587" s="9">
        <v>45717</v>
      </c>
      <c r="D6587">
        <v>36</v>
      </c>
      <c r="E6587" s="16" t="s">
        <v>127</v>
      </c>
      <c r="F6587" s="16" t="s">
        <v>100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64</v>
      </c>
      <c r="C6588" s="9">
        <v>45748</v>
      </c>
      <c r="D6588">
        <v>36</v>
      </c>
      <c r="E6588" s="16" t="s">
        <v>127</v>
      </c>
      <c r="F6588" s="16" t="s">
        <v>100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64</v>
      </c>
      <c r="C6589" s="9">
        <v>45778</v>
      </c>
      <c r="D6589">
        <v>36</v>
      </c>
      <c r="E6589" s="16" t="s">
        <v>127</v>
      </c>
      <c r="F6589" s="16" t="s">
        <v>100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64</v>
      </c>
      <c r="C6590" s="9">
        <v>45839</v>
      </c>
      <c r="D6590">
        <v>36</v>
      </c>
      <c r="E6590" s="16" t="s">
        <v>127</v>
      </c>
      <c r="F6590" s="16" t="s">
        <v>100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64</v>
      </c>
      <c r="C6591" s="9">
        <v>45870</v>
      </c>
      <c r="D6591">
        <v>36</v>
      </c>
      <c r="E6591" s="16" t="s">
        <v>127</v>
      </c>
      <c r="F6591" s="16" t="s">
        <v>100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64</v>
      </c>
      <c r="C6592" s="9">
        <v>45901</v>
      </c>
      <c r="D6592">
        <v>36</v>
      </c>
      <c r="E6592" s="16" t="s">
        <v>127</v>
      </c>
      <c r="F6592" s="16" t="s">
        <v>100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64</v>
      </c>
      <c r="C6593" s="9">
        <v>45931</v>
      </c>
      <c r="D6593">
        <v>36</v>
      </c>
      <c r="E6593" s="16" t="s">
        <v>127</v>
      </c>
      <c r="F6593" s="16" t="s">
        <v>100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64</v>
      </c>
      <c r="C6594" s="9">
        <v>45962</v>
      </c>
      <c r="D6594">
        <v>36</v>
      </c>
      <c r="E6594" s="16" t="s">
        <v>127</v>
      </c>
      <c r="F6594" s="16" t="s">
        <v>100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64</v>
      </c>
      <c r="C6595" s="9">
        <v>45992</v>
      </c>
      <c r="D6595">
        <v>36</v>
      </c>
      <c r="E6595" s="16" t="s">
        <v>127</v>
      </c>
      <c r="F6595" s="16" t="s">
        <v>100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64</v>
      </c>
      <c r="C6596" s="9">
        <v>46023</v>
      </c>
      <c r="D6596">
        <v>36</v>
      </c>
      <c r="E6596" s="16" t="s">
        <v>127</v>
      </c>
      <c r="F6596" s="16" t="s">
        <v>100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64</v>
      </c>
      <c r="C6597" s="9">
        <v>46054</v>
      </c>
      <c r="D6597">
        <v>36</v>
      </c>
      <c r="E6597" s="16" t="s">
        <v>127</v>
      </c>
      <c r="F6597" s="16" t="s">
        <v>100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64</v>
      </c>
      <c r="C6598" s="9">
        <v>46082</v>
      </c>
      <c r="D6598">
        <v>36</v>
      </c>
      <c r="E6598" s="16" t="s">
        <v>127</v>
      </c>
      <c r="F6598" s="16" t="s">
        <v>100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64</v>
      </c>
      <c r="C6599" s="9">
        <v>46113</v>
      </c>
      <c r="D6599">
        <v>36</v>
      </c>
      <c r="E6599" s="16" t="s">
        <v>127</v>
      </c>
      <c r="F6599" s="16" t="s">
        <v>100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64</v>
      </c>
      <c r="C6600" s="9">
        <v>46143</v>
      </c>
      <c r="D6600">
        <v>36</v>
      </c>
      <c r="E6600" s="16" t="s">
        <v>127</v>
      </c>
      <c r="F6600" s="16" t="s">
        <v>100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64</v>
      </c>
      <c r="C6601" s="9">
        <v>46174</v>
      </c>
      <c r="D6601">
        <v>36</v>
      </c>
      <c r="E6601" s="16" t="s">
        <v>127</v>
      </c>
      <c r="F6601" s="16" t="s">
        <v>100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64</v>
      </c>
      <c r="C6602" s="9">
        <v>46204</v>
      </c>
      <c r="D6602">
        <v>36</v>
      </c>
      <c r="E6602" s="16" t="s">
        <v>127</v>
      </c>
      <c r="F6602" s="16" t="s">
        <v>100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64</v>
      </c>
      <c r="C6603" s="9">
        <v>46235</v>
      </c>
      <c r="D6603">
        <v>36</v>
      </c>
      <c r="E6603" s="16" t="s">
        <v>127</v>
      </c>
      <c r="F6603" s="16" t="s">
        <v>100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64</v>
      </c>
      <c r="C6604" s="9">
        <v>46266</v>
      </c>
      <c r="D6604">
        <v>36</v>
      </c>
      <c r="E6604" s="16" t="s">
        <v>127</v>
      </c>
      <c r="F6604" s="16" t="s">
        <v>100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64</v>
      </c>
      <c r="C6605" s="9">
        <v>45689</v>
      </c>
      <c r="D6605">
        <v>37</v>
      </c>
      <c r="E6605" s="16" t="s">
        <v>128</v>
      </c>
      <c r="F6605" s="16" t="s">
        <v>92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64</v>
      </c>
      <c r="C6606" s="9">
        <v>45717</v>
      </c>
      <c r="D6606">
        <v>37</v>
      </c>
      <c r="E6606" s="16" t="s">
        <v>128</v>
      </c>
      <c r="F6606" s="16" t="s">
        <v>92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64</v>
      </c>
      <c r="C6607" s="9">
        <v>45748</v>
      </c>
      <c r="D6607">
        <v>37</v>
      </c>
      <c r="E6607" s="16" t="s">
        <v>128</v>
      </c>
      <c r="F6607" s="16" t="s">
        <v>92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64</v>
      </c>
      <c r="C6608" s="9">
        <v>45778</v>
      </c>
      <c r="D6608">
        <v>37</v>
      </c>
      <c r="E6608" s="16" t="s">
        <v>128</v>
      </c>
      <c r="F6608" s="16" t="s">
        <v>92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64</v>
      </c>
      <c r="C6609" s="9">
        <v>45809</v>
      </c>
      <c r="D6609">
        <v>37</v>
      </c>
      <c r="E6609" s="16" t="s">
        <v>128</v>
      </c>
      <c r="F6609" s="16" t="s">
        <v>92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64</v>
      </c>
      <c r="C6610" s="9">
        <v>45839</v>
      </c>
      <c r="D6610">
        <v>37</v>
      </c>
      <c r="E6610" s="16" t="s">
        <v>128</v>
      </c>
      <c r="F6610" s="16" t="s">
        <v>92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64</v>
      </c>
      <c r="C6611" s="9">
        <v>45870</v>
      </c>
      <c r="D6611">
        <v>37</v>
      </c>
      <c r="E6611" s="16" t="s">
        <v>128</v>
      </c>
      <c r="F6611" s="16" t="s">
        <v>92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64</v>
      </c>
      <c r="C6612" s="9">
        <v>45901</v>
      </c>
      <c r="D6612">
        <v>37</v>
      </c>
      <c r="E6612" s="16" t="s">
        <v>128</v>
      </c>
      <c r="F6612" s="16" t="s">
        <v>92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64</v>
      </c>
      <c r="C6613" s="9">
        <v>45931</v>
      </c>
      <c r="D6613">
        <v>37</v>
      </c>
      <c r="E6613" s="16" t="s">
        <v>128</v>
      </c>
      <c r="F6613" s="16" t="s">
        <v>92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64</v>
      </c>
      <c r="C6614" s="9">
        <v>45962</v>
      </c>
      <c r="D6614">
        <v>37</v>
      </c>
      <c r="E6614" s="16" t="s">
        <v>128</v>
      </c>
      <c r="F6614" s="16" t="s">
        <v>92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64</v>
      </c>
      <c r="C6615" s="9">
        <v>45992</v>
      </c>
      <c r="D6615">
        <v>37</v>
      </c>
      <c r="E6615" s="16" t="s">
        <v>128</v>
      </c>
      <c r="F6615" s="16" t="s">
        <v>92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64</v>
      </c>
      <c r="C6616" s="9">
        <v>46023</v>
      </c>
      <c r="D6616">
        <v>37</v>
      </c>
      <c r="E6616" s="16" t="s">
        <v>128</v>
      </c>
      <c r="F6616" s="16" t="s">
        <v>92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64</v>
      </c>
      <c r="C6617" s="9">
        <v>46054</v>
      </c>
      <c r="D6617">
        <v>37</v>
      </c>
      <c r="E6617" s="16" t="s">
        <v>128</v>
      </c>
      <c r="F6617" s="16" t="s">
        <v>92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64</v>
      </c>
      <c r="C6618" s="9">
        <v>46082</v>
      </c>
      <c r="D6618">
        <v>37</v>
      </c>
      <c r="E6618" s="16" t="s">
        <v>128</v>
      </c>
      <c r="F6618" s="16" t="s">
        <v>92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64</v>
      </c>
      <c r="C6619" s="9">
        <v>46113</v>
      </c>
      <c r="D6619">
        <v>37</v>
      </c>
      <c r="E6619" s="16" t="s">
        <v>128</v>
      </c>
      <c r="F6619" s="16" t="s">
        <v>92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64</v>
      </c>
      <c r="C6620" s="9">
        <v>46143</v>
      </c>
      <c r="D6620">
        <v>37</v>
      </c>
      <c r="E6620" s="16" t="s">
        <v>128</v>
      </c>
      <c r="F6620" s="16" t="s">
        <v>92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64</v>
      </c>
      <c r="C6621" s="9">
        <v>46174</v>
      </c>
      <c r="D6621">
        <v>37</v>
      </c>
      <c r="E6621" s="16" t="s">
        <v>128</v>
      </c>
      <c r="F6621" s="16" t="s">
        <v>92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64</v>
      </c>
      <c r="C6622" s="9">
        <v>46204</v>
      </c>
      <c r="D6622">
        <v>37</v>
      </c>
      <c r="E6622" s="16" t="s">
        <v>128</v>
      </c>
      <c r="F6622" s="16" t="s">
        <v>92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64</v>
      </c>
      <c r="C6623" s="9">
        <v>46235</v>
      </c>
      <c r="D6623">
        <v>37</v>
      </c>
      <c r="E6623" s="16" t="s">
        <v>128</v>
      </c>
      <c r="F6623" s="16" t="s">
        <v>92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64</v>
      </c>
      <c r="C6624" s="9">
        <v>46266</v>
      </c>
      <c r="D6624">
        <v>37</v>
      </c>
      <c r="E6624" s="16" t="s">
        <v>128</v>
      </c>
      <c r="F6624" s="16" t="s">
        <v>92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64</v>
      </c>
      <c r="C6625" s="9">
        <v>45689</v>
      </c>
      <c r="D6625">
        <v>38</v>
      </c>
      <c r="E6625" s="16" t="s">
        <v>129</v>
      </c>
      <c r="F6625" s="16" t="s">
        <v>85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64</v>
      </c>
      <c r="C6626" s="9">
        <v>45717</v>
      </c>
      <c r="D6626">
        <v>38</v>
      </c>
      <c r="E6626" s="16" t="s">
        <v>129</v>
      </c>
      <c r="F6626" s="16" t="s">
        <v>85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64</v>
      </c>
      <c r="C6627" s="9">
        <v>45748</v>
      </c>
      <c r="D6627">
        <v>38</v>
      </c>
      <c r="E6627" s="16" t="s">
        <v>129</v>
      </c>
      <c r="F6627" s="16" t="s">
        <v>85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64</v>
      </c>
      <c r="C6628" s="9">
        <v>45778</v>
      </c>
      <c r="D6628">
        <v>38</v>
      </c>
      <c r="E6628" s="16" t="s">
        <v>129</v>
      </c>
      <c r="F6628" s="16" t="s">
        <v>85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64</v>
      </c>
      <c r="C6629" s="9">
        <v>45809</v>
      </c>
      <c r="D6629">
        <v>38</v>
      </c>
      <c r="E6629" s="16" t="s">
        <v>129</v>
      </c>
      <c r="F6629" s="16" t="s">
        <v>85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64</v>
      </c>
      <c r="C6630" s="9">
        <v>45839</v>
      </c>
      <c r="D6630">
        <v>38</v>
      </c>
      <c r="E6630" s="16" t="s">
        <v>129</v>
      </c>
      <c r="F6630" s="16" t="s">
        <v>85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64</v>
      </c>
      <c r="C6631" s="9">
        <v>45870</v>
      </c>
      <c r="D6631">
        <v>38</v>
      </c>
      <c r="E6631" s="16" t="s">
        <v>129</v>
      </c>
      <c r="F6631" s="16" t="s">
        <v>85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64</v>
      </c>
      <c r="C6632" s="9">
        <v>45901</v>
      </c>
      <c r="D6632">
        <v>38</v>
      </c>
      <c r="E6632" s="16" t="s">
        <v>129</v>
      </c>
      <c r="F6632" s="16" t="s">
        <v>85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64</v>
      </c>
      <c r="C6633" s="9">
        <v>45931</v>
      </c>
      <c r="D6633">
        <v>38</v>
      </c>
      <c r="E6633" s="16" t="s">
        <v>129</v>
      </c>
      <c r="F6633" s="16" t="s">
        <v>85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64</v>
      </c>
      <c r="C6634" s="9">
        <v>45962</v>
      </c>
      <c r="D6634">
        <v>38</v>
      </c>
      <c r="E6634" s="16" t="s">
        <v>129</v>
      </c>
      <c r="F6634" s="16" t="s">
        <v>85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64</v>
      </c>
      <c r="C6635" s="9">
        <v>45992</v>
      </c>
      <c r="D6635">
        <v>38</v>
      </c>
      <c r="E6635" s="16" t="s">
        <v>129</v>
      </c>
      <c r="F6635" s="16" t="s">
        <v>85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64</v>
      </c>
      <c r="C6636" s="9">
        <v>46023</v>
      </c>
      <c r="D6636">
        <v>38</v>
      </c>
      <c r="E6636" s="16" t="s">
        <v>129</v>
      </c>
      <c r="F6636" s="16" t="s">
        <v>85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64</v>
      </c>
      <c r="C6637" s="9">
        <v>46054</v>
      </c>
      <c r="D6637">
        <v>38</v>
      </c>
      <c r="E6637" s="16" t="s">
        <v>129</v>
      </c>
      <c r="F6637" s="16" t="s">
        <v>85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64</v>
      </c>
      <c r="C6638" s="9">
        <v>46082</v>
      </c>
      <c r="D6638">
        <v>38</v>
      </c>
      <c r="E6638" s="16" t="s">
        <v>129</v>
      </c>
      <c r="F6638" s="16" t="s">
        <v>85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64</v>
      </c>
      <c r="C6639" s="9">
        <v>46113</v>
      </c>
      <c r="D6639">
        <v>38</v>
      </c>
      <c r="E6639" s="16" t="s">
        <v>129</v>
      </c>
      <c r="F6639" s="16" t="s">
        <v>85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64</v>
      </c>
      <c r="C6640" s="9">
        <v>46143</v>
      </c>
      <c r="D6640">
        <v>38</v>
      </c>
      <c r="E6640" s="16" t="s">
        <v>129</v>
      </c>
      <c r="F6640" s="16" t="s">
        <v>85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64</v>
      </c>
      <c r="C6641" s="9">
        <v>46174</v>
      </c>
      <c r="D6641">
        <v>38</v>
      </c>
      <c r="E6641" s="16" t="s">
        <v>129</v>
      </c>
      <c r="F6641" s="16" t="s">
        <v>85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64</v>
      </c>
      <c r="C6642" s="9">
        <v>46204</v>
      </c>
      <c r="D6642">
        <v>38</v>
      </c>
      <c r="E6642" s="16" t="s">
        <v>129</v>
      </c>
      <c r="F6642" s="16" t="s">
        <v>85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64</v>
      </c>
      <c r="C6643" s="9">
        <v>46235</v>
      </c>
      <c r="D6643">
        <v>38</v>
      </c>
      <c r="E6643" s="16" t="s">
        <v>129</v>
      </c>
      <c r="F6643" s="16" t="s">
        <v>85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64</v>
      </c>
      <c r="C6644" s="9">
        <v>46266</v>
      </c>
      <c r="D6644">
        <v>38</v>
      </c>
      <c r="E6644" s="16" t="s">
        <v>129</v>
      </c>
      <c r="F6644" s="16" t="s">
        <v>85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64</v>
      </c>
      <c r="C6645" s="9">
        <v>45689</v>
      </c>
      <c r="D6645">
        <v>39</v>
      </c>
      <c r="E6645" s="16" t="s">
        <v>130</v>
      </c>
      <c r="F6645" s="16" t="s">
        <v>89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64</v>
      </c>
      <c r="C6646" s="9">
        <v>45717</v>
      </c>
      <c r="D6646">
        <v>39</v>
      </c>
      <c r="E6646" s="16" t="s">
        <v>130</v>
      </c>
      <c r="F6646" s="16" t="s">
        <v>89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64</v>
      </c>
      <c r="C6647" s="9">
        <v>45748</v>
      </c>
      <c r="D6647">
        <v>39</v>
      </c>
      <c r="E6647" s="16" t="s">
        <v>130</v>
      </c>
      <c r="F6647" s="16" t="s">
        <v>89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64</v>
      </c>
      <c r="C6648" s="9">
        <v>45778</v>
      </c>
      <c r="D6648">
        <v>39</v>
      </c>
      <c r="E6648" s="16" t="s">
        <v>130</v>
      </c>
      <c r="F6648" s="16" t="s">
        <v>89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64</v>
      </c>
      <c r="C6649" s="9">
        <v>45809</v>
      </c>
      <c r="D6649">
        <v>39</v>
      </c>
      <c r="E6649" s="16" t="s">
        <v>130</v>
      </c>
      <c r="F6649" s="16" t="s">
        <v>89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64</v>
      </c>
      <c r="C6650" s="9">
        <v>45839</v>
      </c>
      <c r="D6650">
        <v>39</v>
      </c>
      <c r="E6650" s="16" t="s">
        <v>130</v>
      </c>
      <c r="F6650" s="16" t="s">
        <v>89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64</v>
      </c>
      <c r="C6651" s="9">
        <v>45870</v>
      </c>
      <c r="D6651">
        <v>39</v>
      </c>
      <c r="E6651" s="16" t="s">
        <v>130</v>
      </c>
      <c r="F6651" s="16" t="s">
        <v>89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64</v>
      </c>
      <c r="C6652" s="9">
        <v>45901</v>
      </c>
      <c r="D6652">
        <v>39</v>
      </c>
      <c r="E6652" s="16" t="s">
        <v>130</v>
      </c>
      <c r="F6652" s="16" t="s">
        <v>89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64</v>
      </c>
      <c r="C6653" s="9">
        <v>45931</v>
      </c>
      <c r="D6653">
        <v>39</v>
      </c>
      <c r="E6653" s="16" t="s">
        <v>130</v>
      </c>
      <c r="F6653" s="16" t="s">
        <v>89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64</v>
      </c>
      <c r="C6654" s="9">
        <v>45962</v>
      </c>
      <c r="D6654">
        <v>39</v>
      </c>
      <c r="E6654" s="16" t="s">
        <v>130</v>
      </c>
      <c r="F6654" s="16" t="s">
        <v>89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64</v>
      </c>
      <c r="C6655" s="9">
        <v>45992</v>
      </c>
      <c r="D6655">
        <v>39</v>
      </c>
      <c r="E6655" s="16" t="s">
        <v>130</v>
      </c>
      <c r="F6655" s="16" t="s">
        <v>89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64</v>
      </c>
      <c r="C6656" s="9">
        <v>46023</v>
      </c>
      <c r="D6656">
        <v>39</v>
      </c>
      <c r="E6656" s="16" t="s">
        <v>130</v>
      </c>
      <c r="F6656" s="16" t="s">
        <v>89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64</v>
      </c>
      <c r="C6657" s="9">
        <v>46054</v>
      </c>
      <c r="D6657">
        <v>39</v>
      </c>
      <c r="E6657" s="16" t="s">
        <v>130</v>
      </c>
      <c r="F6657" s="16" t="s">
        <v>89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64</v>
      </c>
      <c r="C6658" s="9">
        <v>46082</v>
      </c>
      <c r="D6658">
        <v>39</v>
      </c>
      <c r="E6658" s="16" t="s">
        <v>130</v>
      </c>
      <c r="F6658" s="16" t="s">
        <v>89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64</v>
      </c>
      <c r="C6659" s="9">
        <v>46113</v>
      </c>
      <c r="D6659">
        <v>39</v>
      </c>
      <c r="E6659" s="16" t="s">
        <v>130</v>
      </c>
      <c r="F6659" s="16" t="s">
        <v>89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64</v>
      </c>
      <c r="C6660" s="9">
        <v>46143</v>
      </c>
      <c r="D6660">
        <v>39</v>
      </c>
      <c r="E6660" s="16" t="s">
        <v>130</v>
      </c>
      <c r="F6660" s="16" t="s">
        <v>89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64</v>
      </c>
      <c r="C6661" s="9">
        <v>46174</v>
      </c>
      <c r="D6661">
        <v>39</v>
      </c>
      <c r="E6661" s="16" t="s">
        <v>130</v>
      </c>
      <c r="F6661" s="16" t="s">
        <v>89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64</v>
      </c>
      <c r="C6662" s="9">
        <v>46204</v>
      </c>
      <c r="D6662">
        <v>39</v>
      </c>
      <c r="E6662" s="16" t="s">
        <v>130</v>
      </c>
      <c r="F6662" s="16" t="s">
        <v>89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64</v>
      </c>
      <c r="C6663" s="9">
        <v>46235</v>
      </c>
      <c r="D6663">
        <v>39</v>
      </c>
      <c r="E6663" s="16" t="s">
        <v>130</v>
      </c>
      <c r="F6663" s="16" t="s">
        <v>89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64</v>
      </c>
      <c r="C6664" s="9">
        <v>46266</v>
      </c>
      <c r="D6664">
        <v>39</v>
      </c>
      <c r="E6664" s="16" t="s">
        <v>130</v>
      </c>
      <c r="F6664" s="16" t="s">
        <v>89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64</v>
      </c>
      <c r="C6665" s="9">
        <v>45689</v>
      </c>
      <c r="D6665">
        <v>40</v>
      </c>
      <c r="E6665" s="16" t="s">
        <v>131</v>
      </c>
      <c r="F6665" s="16" t="s">
        <v>110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64</v>
      </c>
      <c r="C6666" s="9">
        <v>45717</v>
      </c>
      <c r="D6666">
        <v>40</v>
      </c>
      <c r="E6666" s="16" t="s">
        <v>131</v>
      </c>
      <c r="F6666" s="16" t="s">
        <v>110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64</v>
      </c>
      <c r="C6667" s="9">
        <v>45748</v>
      </c>
      <c r="D6667">
        <v>40</v>
      </c>
      <c r="E6667" s="16" t="s">
        <v>131</v>
      </c>
      <c r="F6667" s="16" t="s">
        <v>110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64</v>
      </c>
      <c r="C6668" s="9">
        <v>45809</v>
      </c>
      <c r="D6668">
        <v>40</v>
      </c>
      <c r="E6668" s="16" t="s">
        <v>131</v>
      </c>
      <c r="F6668" s="16" t="s">
        <v>110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64</v>
      </c>
      <c r="C6669" s="9">
        <v>45870</v>
      </c>
      <c r="D6669">
        <v>40</v>
      </c>
      <c r="E6669" s="16" t="s">
        <v>131</v>
      </c>
      <c r="F6669" s="16" t="s">
        <v>110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64</v>
      </c>
      <c r="C6670" s="9">
        <v>45931</v>
      </c>
      <c r="D6670">
        <v>40</v>
      </c>
      <c r="E6670" s="16" t="s">
        <v>131</v>
      </c>
      <c r="F6670" s="16" t="s">
        <v>110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64</v>
      </c>
      <c r="C6671" s="9">
        <v>45962</v>
      </c>
      <c r="D6671">
        <v>40</v>
      </c>
      <c r="E6671" s="16" t="s">
        <v>131</v>
      </c>
      <c r="F6671" s="16" t="s">
        <v>110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64</v>
      </c>
      <c r="C6672" s="9">
        <v>45992</v>
      </c>
      <c r="D6672">
        <v>40</v>
      </c>
      <c r="E6672" s="16" t="s">
        <v>131</v>
      </c>
      <c r="F6672" s="16" t="s">
        <v>110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64</v>
      </c>
      <c r="C6673" s="9">
        <v>46054</v>
      </c>
      <c r="D6673">
        <v>40</v>
      </c>
      <c r="E6673" s="16" t="s">
        <v>131</v>
      </c>
      <c r="F6673" s="16" t="s">
        <v>110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64</v>
      </c>
      <c r="C6674" s="9">
        <v>46082</v>
      </c>
      <c r="D6674">
        <v>40</v>
      </c>
      <c r="E6674" s="16" t="s">
        <v>131</v>
      </c>
      <c r="F6674" s="16" t="s">
        <v>110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64</v>
      </c>
      <c r="C6675" s="9">
        <v>46113</v>
      </c>
      <c r="D6675">
        <v>40</v>
      </c>
      <c r="E6675" s="16" t="s">
        <v>131</v>
      </c>
      <c r="F6675" s="16" t="s">
        <v>110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64</v>
      </c>
      <c r="C6676" s="9">
        <v>46174</v>
      </c>
      <c r="D6676">
        <v>40</v>
      </c>
      <c r="E6676" s="16" t="s">
        <v>131</v>
      </c>
      <c r="F6676" s="16" t="s">
        <v>110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64</v>
      </c>
      <c r="C6677" s="9">
        <v>46204</v>
      </c>
      <c r="D6677">
        <v>40</v>
      </c>
      <c r="E6677" s="16" t="s">
        <v>131</v>
      </c>
      <c r="F6677" s="16" t="s">
        <v>110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64</v>
      </c>
      <c r="C6678" s="9">
        <v>46266</v>
      </c>
      <c r="D6678">
        <v>40</v>
      </c>
      <c r="E6678" s="16" t="s">
        <v>131</v>
      </c>
      <c r="F6678" s="16" t="s">
        <v>110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64</v>
      </c>
      <c r="C6679" s="9">
        <v>45689</v>
      </c>
      <c r="D6679">
        <v>41</v>
      </c>
      <c r="E6679" s="16" t="s">
        <v>132</v>
      </c>
      <c r="F6679" s="16" t="s">
        <v>89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64</v>
      </c>
      <c r="C6680" s="9">
        <v>45717</v>
      </c>
      <c r="D6680">
        <v>41</v>
      </c>
      <c r="E6680" s="16" t="s">
        <v>132</v>
      </c>
      <c r="F6680" s="16" t="s">
        <v>89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64</v>
      </c>
      <c r="C6681" s="9">
        <v>45748</v>
      </c>
      <c r="D6681">
        <v>41</v>
      </c>
      <c r="E6681" s="16" t="s">
        <v>132</v>
      </c>
      <c r="F6681" s="16" t="s">
        <v>89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64</v>
      </c>
      <c r="C6682" s="9">
        <v>45778</v>
      </c>
      <c r="D6682">
        <v>41</v>
      </c>
      <c r="E6682" s="16" t="s">
        <v>132</v>
      </c>
      <c r="F6682" s="16" t="s">
        <v>89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64</v>
      </c>
      <c r="C6683" s="9">
        <v>45809</v>
      </c>
      <c r="D6683">
        <v>41</v>
      </c>
      <c r="E6683" s="16" t="s">
        <v>132</v>
      </c>
      <c r="F6683" s="16" t="s">
        <v>89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64</v>
      </c>
      <c r="C6684" s="9">
        <v>45839</v>
      </c>
      <c r="D6684">
        <v>41</v>
      </c>
      <c r="E6684" s="16" t="s">
        <v>132</v>
      </c>
      <c r="F6684" s="16" t="s">
        <v>89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64</v>
      </c>
      <c r="C6685" s="9">
        <v>45870</v>
      </c>
      <c r="D6685">
        <v>41</v>
      </c>
      <c r="E6685" s="16" t="s">
        <v>132</v>
      </c>
      <c r="F6685" s="16" t="s">
        <v>89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64</v>
      </c>
      <c r="C6686" s="9">
        <v>45901</v>
      </c>
      <c r="D6686">
        <v>41</v>
      </c>
      <c r="E6686" s="16" t="s">
        <v>132</v>
      </c>
      <c r="F6686" s="16" t="s">
        <v>89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64</v>
      </c>
      <c r="C6687" s="9">
        <v>45931</v>
      </c>
      <c r="D6687">
        <v>41</v>
      </c>
      <c r="E6687" s="16" t="s">
        <v>132</v>
      </c>
      <c r="F6687" s="16" t="s">
        <v>89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64</v>
      </c>
      <c r="C6688" s="9">
        <v>45962</v>
      </c>
      <c r="D6688">
        <v>41</v>
      </c>
      <c r="E6688" s="16" t="s">
        <v>132</v>
      </c>
      <c r="F6688" s="16" t="s">
        <v>89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64</v>
      </c>
      <c r="C6689" s="9">
        <v>45992</v>
      </c>
      <c r="D6689">
        <v>41</v>
      </c>
      <c r="E6689" s="16" t="s">
        <v>132</v>
      </c>
      <c r="F6689" s="16" t="s">
        <v>89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64</v>
      </c>
      <c r="C6690" s="9">
        <v>46023</v>
      </c>
      <c r="D6690">
        <v>41</v>
      </c>
      <c r="E6690" s="16" t="s">
        <v>132</v>
      </c>
      <c r="F6690" s="16" t="s">
        <v>89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64</v>
      </c>
      <c r="C6691" s="9">
        <v>46054</v>
      </c>
      <c r="D6691">
        <v>41</v>
      </c>
      <c r="E6691" s="16" t="s">
        <v>132</v>
      </c>
      <c r="F6691" s="16" t="s">
        <v>89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64</v>
      </c>
      <c r="C6692" s="9">
        <v>46082</v>
      </c>
      <c r="D6692">
        <v>41</v>
      </c>
      <c r="E6692" s="16" t="s">
        <v>132</v>
      </c>
      <c r="F6692" s="16" t="s">
        <v>89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64</v>
      </c>
      <c r="C6693" s="9">
        <v>46113</v>
      </c>
      <c r="D6693">
        <v>41</v>
      </c>
      <c r="E6693" s="16" t="s">
        <v>132</v>
      </c>
      <c r="F6693" s="16" t="s">
        <v>89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64</v>
      </c>
      <c r="C6694" s="9">
        <v>46143</v>
      </c>
      <c r="D6694">
        <v>41</v>
      </c>
      <c r="E6694" s="16" t="s">
        <v>132</v>
      </c>
      <c r="F6694" s="16" t="s">
        <v>89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64</v>
      </c>
      <c r="C6695" s="9">
        <v>46174</v>
      </c>
      <c r="D6695">
        <v>41</v>
      </c>
      <c r="E6695" s="16" t="s">
        <v>132</v>
      </c>
      <c r="F6695" s="16" t="s">
        <v>89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64</v>
      </c>
      <c r="C6696" s="9">
        <v>46204</v>
      </c>
      <c r="D6696">
        <v>41</v>
      </c>
      <c r="E6696" s="16" t="s">
        <v>132</v>
      </c>
      <c r="F6696" s="16" t="s">
        <v>89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64</v>
      </c>
      <c r="C6697" s="9">
        <v>46235</v>
      </c>
      <c r="D6697">
        <v>41</v>
      </c>
      <c r="E6697" s="16" t="s">
        <v>132</v>
      </c>
      <c r="F6697" s="16" t="s">
        <v>89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64</v>
      </c>
      <c r="C6698" s="9">
        <v>46266</v>
      </c>
      <c r="D6698">
        <v>41</v>
      </c>
      <c r="E6698" s="16" t="s">
        <v>132</v>
      </c>
      <c r="F6698" s="16" t="s">
        <v>89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64</v>
      </c>
      <c r="C6699" s="9">
        <v>45689</v>
      </c>
      <c r="D6699">
        <v>42</v>
      </c>
      <c r="E6699" s="16" t="s">
        <v>133</v>
      </c>
      <c r="F6699" s="16" t="s">
        <v>85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64</v>
      </c>
      <c r="C6700" s="9">
        <v>45717</v>
      </c>
      <c r="D6700">
        <v>42</v>
      </c>
      <c r="E6700" s="16" t="s">
        <v>133</v>
      </c>
      <c r="F6700" s="16" t="s">
        <v>85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64</v>
      </c>
      <c r="C6701" s="9">
        <v>45748</v>
      </c>
      <c r="D6701">
        <v>42</v>
      </c>
      <c r="E6701" s="16" t="s">
        <v>133</v>
      </c>
      <c r="F6701" s="16" t="s">
        <v>85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64</v>
      </c>
      <c r="C6702" s="9">
        <v>45778</v>
      </c>
      <c r="D6702">
        <v>42</v>
      </c>
      <c r="E6702" s="16" t="s">
        <v>133</v>
      </c>
      <c r="F6702" s="16" t="s">
        <v>85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64</v>
      </c>
      <c r="C6703" s="9">
        <v>45809</v>
      </c>
      <c r="D6703">
        <v>42</v>
      </c>
      <c r="E6703" s="16" t="s">
        <v>133</v>
      </c>
      <c r="F6703" s="16" t="s">
        <v>85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64</v>
      </c>
      <c r="C6704" s="9">
        <v>45839</v>
      </c>
      <c r="D6704">
        <v>42</v>
      </c>
      <c r="E6704" s="16" t="s">
        <v>133</v>
      </c>
      <c r="F6704" s="16" t="s">
        <v>85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64</v>
      </c>
      <c r="C6705" s="9">
        <v>45870</v>
      </c>
      <c r="D6705">
        <v>42</v>
      </c>
      <c r="E6705" s="16" t="s">
        <v>133</v>
      </c>
      <c r="F6705" s="16" t="s">
        <v>85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64</v>
      </c>
      <c r="C6706" s="9">
        <v>45901</v>
      </c>
      <c r="D6706">
        <v>42</v>
      </c>
      <c r="E6706" s="16" t="s">
        <v>133</v>
      </c>
      <c r="F6706" s="16" t="s">
        <v>85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64</v>
      </c>
      <c r="C6707" s="9">
        <v>45931</v>
      </c>
      <c r="D6707">
        <v>42</v>
      </c>
      <c r="E6707" s="16" t="s">
        <v>133</v>
      </c>
      <c r="F6707" s="16" t="s">
        <v>85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64</v>
      </c>
      <c r="C6708" s="9">
        <v>45962</v>
      </c>
      <c r="D6708">
        <v>42</v>
      </c>
      <c r="E6708" s="16" t="s">
        <v>133</v>
      </c>
      <c r="F6708" s="16" t="s">
        <v>85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64</v>
      </c>
      <c r="C6709" s="9">
        <v>45992</v>
      </c>
      <c r="D6709">
        <v>42</v>
      </c>
      <c r="E6709" s="16" t="s">
        <v>133</v>
      </c>
      <c r="F6709" s="16" t="s">
        <v>85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64</v>
      </c>
      <c r="C6710" s="9">
        <v>46023</v>
      </c>
      <c r="D6710">
        <v>42</v>
      </c>
      <c r="E6710" s="16" t="s">
        <v>133</v>
      </c>
      <c r="F6710" s="16" t="s">
        <v>85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64</v>
      </c>
      <c r="C6711" s="9">
        <v>46054</v>
      </c>
      <c r="D6711">
        <v>42</v>
      </c>
      <c r="E6711" s="16" t="s">
        <v>133</v>
      </c>
      <c r="F6711" s="16" t="s">
        <v>85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64</v>
      </c>
      <c r="C6712" s="9">
        <v>46082</v>
      </c>
      <c r="D6712">
        <v>42</v>
      </c>
      <c r="E6712" s="16" t="s">
        <v>133</v>
      </c>
      <c r="F6712" s="16" t="s">
        <v>85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64</v>
      </c>
      <c r="C6713" s="9">
        <v>46113</v>
      </c>
      <c r="D6713">
        <v>42</v>
      </c>
      <c r="E6713" s="16" t="s">
        <v>133</v>
      </c>
      <c r="F6713" s="16" t="s">
        <v>85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64</v>
      </c>
      <c r="C6714" s="9">
        <v>46143</v>
      </c>
      <c r="D6714">
        <v>42</v>
      </c>
      <c r="E6714" s="16" t="s">
        <v>133</v>
      </c>
      <c r="F6714" s="16" t="s">
        <v>85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64</v>
      </c>
      <c r="C6715" s="9">
        <v>46174</v>
      </c>
      <c r="D6715">
        <v>42</v>
      </c>
      <c r="E6715" s="16" t="s">
        <v>133</v>
      </c>
      <c r="F6715" s="16" t="s">
        <v>85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64</v>
      </c>
      <c r="C6716" s="9">
        <v>46204</v>
      </c>
      <c r="D6716">
        <v>42</v>
      </c>
      <c r="E6716" s="16" t="s">
        <v>133</v>
      </c>
      <c r="F6716" s="16" t="s">
        <v>85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64</v>
      </c>
      <c r="C6717" s="9">
        <v>46235</v>
      </c>
      <c r="D6717">
        <v>42</v>
      </c>
      <c r="E6717" s="16" t="s">
        <v>133</v>
      </c>
      <c r="F6717" s="16" t="s">
        <v>85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64</v>
      </c>
      <c r="C6718" s="9">
        <v>46266</v>
      </c>
      <c r="D6718">
        <v>42</v>
      </c>
      <c r="E6718" s="16" t="s">
        <v>133</v>
      </c>
      <c r="F6718" s="16" t="s">
        <v>85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64</v>
      </c>
      <c r="C6719" s="9">
        <v>45717</v>
      </c>
      <c r="D6719">
        <v>43</v>
      </c>
      <c r="E6719" s="16" t="s">
        <v>134</v>
      </c>
      <c r="F6719" s="16" t="s">
        <v>92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64</v>
      </c>
      <c r="C6720" s="9">
        <v>45748</v>
      </c>
      <c r="D6720">
        <v>43</v>
      </c>
      <c r="E6720" s="16" t="s">
        <v>134</v>
      </c>
      <c r="F6720" s="16" t="s">
        <v>92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64</v>
      </c>
      <c r="C6721" s="9">
        <v>45809</v>
      </c>
      <c r="D6721">
        <v>43</v>
      </c>
      <c r="E6721" s="16" t="s">
        <v>134</v>
      </c>
      <c r="F6721" s="16" t="s">
        <v>92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64</v>
      </c>
      <c r="C6722" s="9">
        <v>45839</v>
      </c>
      <c r="D6722">
        <v>43</v>
      </c>
      <c r="E6722" s="16" t="s">
        <v>134</v>
      </c>
      <c r="F6722" s="16" t="s">
        <v>92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64</v>
      </c>
      <c r="C6723" s="9">
        <v>45901</v>
      </c>
      <c r="D6723">
        <v>43</v>
      </c>
      <c r="E6723" s="16" t="s">
        <v>134</v>
      </c>
      <c r="F6723" s="16" t="s">
        <v>92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64</v>
      </c>
      <c r="C6724" s="9">
        <v>45962</v>
      </c>
      <c r="D6724">
        <v>43</v>
      </c>
      <c r="E6724" s="16" t="s">
        <v>134</v>
      </c>
      <c r="F6724" s="16" t="s">
        <v>92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64</v>
      </c>
      <c r="C6725" s="9">
        <v>45992</v>
      </c>
      <c r="D6725">
        <v>43</v>
      </c>
      <c r="E6725" s="16" t="s">
        <v>134</v>
      </c>
      <c r="F6725" s="16" t="s">
        <v>92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64</v>
      </c>
      <c r="C6726" s="9">
        <v>46023</v>
      </c>
      <c r="D6726">
        <v>43</v>
      </c>
      <c r="E6726" s="16" t="s">
        <v>134</v>
      </c>
      <c r="F6726" s="16" t="s">
        <v>92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64</v>
      </c>
      <c r="C6727" s="9">
        <v>46054</v>
      </c>
      <c r="D6727">
        <v>43</v>
      </c>
      <c r="E6727" s="16" t="s">
        <v>134</v>
      </c>
      <c r="F6727" s="16" t="s">
        <v>92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64</v>
      </c>
      <c r="C6728" s="9">
        <v>46113</v>
      </c>
      <c r="D6728">
        <v>43</v>
      </c>
      <c r="E6728" s="16" t="s">
        <v>134</v>
      </c>
      <c r="F6728" s="16" t="s">
        <v>92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64</v>
      </c>
      <c r="C6729" s="9">
        <v>46143</v>
      </c>
      <c r="D6729">
        <v>43</v>
      </c>
      <c r="E6729" s="16" t="s">
        <v>134</v>
      </c>
      <c r="F6729" s="16" t="s">
        <v>92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64</v>
      </c>
      <c r="C6730" s="9">
        <v>46174</v>
      </c>
      <c r="D6730">
        <v>43</v>
      </c>
      <c r="E6730" s="16" t="s">
        <v>134</v>
      </c>
      <c r="F6730" s="16" t="s">
        <v>92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64</v>
      </c>
      <c r="C6731" s="9">
        <v>46235</v>
      </c>
      <c r="D6731">
        <v>43</v>
      </c>
      <c r="E6731" s="16" t="s">
        <v>134</v>
      </c>
      <c r="F6731" s="16" t="s">
        <v>92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64</v>
      </c>
      <c r="C6732" s="9">
        <v>46266</v>
      </c>
      <c r="D6732">
        <v>43</v>
      </c>
      <c r="E6732" s="16" t="s">
        <v>134</v>
      </c>
      <c r="F6732" s="16" t="s">
        <v>92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64</v>
      </c>
      <c r="C6733" s="9">
        <v>45689</v>
      </c>
      <c r="D6733">
        <v>44</v>
      </c>
      <c r="E6733" s="16" t="s">
        <v>135</v>
      </c>
      <c r="F6733" s="16" t="s">
        <v>92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64</v>
      </c>
      <c r="C6734" s="9">
        <v>45748</v>
      </c>
      <c r="D6734">
        <v>44</v>
      </c>
      <c r="E6734" s="16" t="s">
        <v>135</v>
      </c>
      <c r="F6734" s="16" t="s">
        <v>92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64</v>
      </c>
      <c r="C6735" s="9">
        <v>45778</v>
      </c>
      <c r="D6735">
        <v>44</v>
      </c>
      <c r="E6735" s="16" t="s">
        <v>135</v>
      </c>
      <c r="F6735" s="16" t="s">
        <v>92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64</v>
      </c>
      <c r="C6736" s="9">
        <v>45809</v>
      </c>
      <c r="D6736">
        <v>44</v>
      </c>
      <c r="E6736" s="16" t="s">
        <v>135</v>
      </c>
      <c r="F6736" s="16" t="s">
        <v>92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64</v>
      </c>
      <c r="C6737" s="9">
        <v>45839</v>
      </c>
      <c r="D6737">
        <v>44</v>
      </c>
      <c r="E6737" s="16" t="s">
        <v>135</v>
      </c>
      <c r="F6737" s="16" t="s">
        <v>92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64</v>
      </c>
      <c r="C6738" s="9">
        <v>45870</v>
      </c>
      <c r="D6738">
        <v>44</v>
      </c>
      <c r="E6738" s="16" t="s">
        <v>135</v>
      </c>
      <c r="F6738" s="16" t="s">
        <v>92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64</v>
      </c>
      <c r="C6739" s="9">
        <v>45901</v>
      </c>
      <c r="D6739">
        <v>44</v>
      </c>
      <c r="E6739" s="16" t="s">
        <v>135</v>
      </c>
      <c r="F6739" s="16" t="s">
        <v>92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64</v>
      </c>
      <c r="C6740" s="9">
        <v>45931</v>
      </c>
      <c r="D6740">
        <v>44</v>
      </c>
      <c r="E6740" s="16" t="s">
        <v>135</v>
      </c>
      <c r="F6740" s="16" t="s">
        <v>92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64</v>
      </c>
      <c r="C6741" s="9">
        <v>45962</v>
      </c>
      <c r="D6741">
        <v>44</v>
      </c>
      <c r="E6741" s="16" t="s">
        <v>135</v>
      </c>
      <c r="F6741" s="16" t="s">
        <v>92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64</v>
      </c>
      <c r="C6742" s="9">
        <v>46023</v>
      </c>
      <c r="D6742">
        <v>44</v>
      </c>
      <c r="E6742" s="16" t="s">
        <v>135</v>
      </c>
      <c r="F6742" s="16" t="s">
        <v>92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64</v>
      </c>
      <c r="C6743" s="9">
        <v>46054</v>
      </c>
      <c r="D6743">
        <v>44</v>
      </c>
      <c r="E6743" s="16" t="s">
        <v>135</v>
      </c>
      <c r="F6743" s="16" t="s">
        <v>92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64</v>
      </c>
      <c r="C6744" s="9">
        <v>46082</v>
      </c>
      <c r="D6744">
        <v>44</v>
      </c>
      <c r="E6744" s="16" t="s">
        <v>135</v>
      </c>
      <c r="F6744" s="16" t="s">
        <v>92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64</v>
      </c>
      <c r="C6745" s="9">
        <v>46113</v>
      </c>
      <c r="D6745">
        <v>44</v>
      </c>
      <c r="E6745" s="16" t="s">
        <v>135</v>
      </c>
      <c r="F6745" s="16" t="s">
        <v>92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64</v>
      </c>
      <c r="C6746" s="9">
        <v>46143</v>
      </c>
      <c r="D6746">
        <v>44</v>
      </c>
      <c r="E6746" s="16" t="s">
        <v>135</v>
      </c>
      <c r="F6746" s="16" t="s">
        <v>92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64</v>
      </c>
      <c r="C6747" s="9">
        <v>46174</v>
      </c>
      <c r="D6747">
        <v>44</v>
      </c>
      <c r="E6747" s="16" t="s">
        <v>135</v>
      </c>
      <c r="F6747" s="16" t="s">
        <v>92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64</v>
      </c>
      <c r="C6748" s="9">
        <v>46204</v>
      </c>
      <c r="D6748">
        <v>44</v>
      </c>
      <c r="E6748" s="16" t="s">
        <v>135</v>
      </c>
      <c r="F6748" s="16" t="s">
        <v>92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64</v>
      </c>
      <c r="C6749" s="9">
        <v>46235</v>
      </c>
      <c r="D6749">
        <v>44</v>
      </c>
      <c r="E6749" s="16" t="s">
        <v>135</v>
      </c>
      <c r="F6749" s="16" t="s">
        <v>92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64</v>
      </c>
      <c r="C6750" s="9">
        <v>46266</v>
      </c>
      <c r="D6750">
        <v>44</v>
      </c>
      <c r="E6750" s="16" t="s">
        <v>135</v>
      </c>
      <c r="F6750" s="16" t="s">
        <v>92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64</v>
      </c>
      <c r="C6751" s="9">
        <v>45689</v>
      </c>
      <c r="D6751">
        <v>45</v>
      </c>
      <c r="E6751" s="16" t="s">
        <v>136</v>
      </c>
      <c r="F6751" s="16" t="s">
        <v>85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64</v>
      </c>
      <c r="C6752" s="9">
        <v>45717</v>
      </c>
      <c r="D6752">
        <v>45</v>
      </c>
      <c r="E6752" s="16" t="s">
        <v>136</v>
      </c>
      <c r="F6752" s="16" t="s">
        <v>85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64</v>
      </c>
      <c r="C6753" s="9">
        <v>45748</v>
      </c>
      <c r="D6753">
        <v>45</v>
      </c>
      <c r="E6753" s="16" t="s">
        <v>136</v>
      </c>
      <c r="F6753" s="16" t="s">
        <v>85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64</v>
      </c>
      <c r="C6754" s="9">
        <v>45778</v>
      </c>
      <c r="D6754">
        <v>45</v>
      </c>
      <c r="E6754" s="16" t="s">
        <v>136</v>
      </c>
      <c r="F6754" s="16" t="s">
        <v>85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64</v>
      </c>
      <c r="C6755" s="9">
        <v>45809</v>
      </c>
      <c r="D6755">
        <v>45</v>
      </c>
      <c r="E6755" s="16" t="s">
        <v>136</v>
      </c>
      <c r="F6755" s="16" t="s">
        <v>85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64</v>
      </c>
      <c r="C6756" s="9">
        <v>45839</v>
      </c>
      <c r="D6756">
        <v>45</v>
      </c>
      <c r="E6756" s="16" t="s">
        <v>136</v>
      </c>
      <c r="F6756" s="16" t="s">
        <v>85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64</v>
      </c>
      <c r="C6757" s="9">
        <v>45870</v>
      </c>
      <c r="D6757">
        <v>45</v>
      </c>
      <c r="E6757" s="16" t="s">
        <v>136</v>
      </c>
      <c r="F6757" s="16" t="s">
        <v>85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64</v>
      </c>
      <c r="C6758" s="9">
        <v>45901</v>
      </c>
      <c r="D6758">
        <v>45</v>
      </c>
      <c r="E6758" s="16" t="s">
        <v>136</v>
      </c>
      <c r="F6758" s="16" t="s">
        <v>85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64</v>
      </c>
      <c r="C6759" s="9">
        <v>45931</v>
      </c>
      <c r="D6759">
        <v>45</v>
      </c>
      <c r="E6759" s="16" t="s">
        <v>136</v>
      </c>
      <c r="F6759" s="16" t="s">
        <v>85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64</v>
      </c>
      <c r="C6760" s="9">
        <v>45962</v>
      </c>
      <c r="D6760">
        <v>45</v>
      </c>
      <c r="E6760" s="16" t="s">
        <v>136</v>
      </c>
      <c r="F6760" s="16" t="s">
        <v>85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64</v>
      </c>
      <c r="C6761" s="9">
        <v>45992</v>
      </c>
      <c r="D6761">
        <v>45</v>
      </c>
      <c r="E6761" s="16" t="s">
        <v>136</v>
      </c>
      <c r="F6761" s="16" t="s">
        <v>85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64</v>
      </c>
      <c r="C6762" s="9">
        <v>46023</v>
      </c>
      <c r="D6762">
        <v>45</v>
      </c>
      <c r="E6762" s="16" t="s">
        <v>136</v>
      </c>
      <c r="F6762" s="16" t="s">
        <v>85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64</v>
      </c>
      <c r="C6763" s="9">
        <v>46054</v>
      </c>
      <c r="D6763">
        <v>45</v>
      </c>
      <c r="E6763" s="16" t="s">
        <v>136</v>
      </c>
      <c r="F6763" s="16" t="s">
        <v>85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64</v>
      </c>
      <c r="C6764" s="9">
        <v>46082</v>
      </c>
      <c r="D6764">
        <v>45</v>
      </c>
      <c r="E6764" s="16" t="s">
        <v>136</v>
      </c>
      <c r="F6764" s="16" t="s">
        <v>85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64</v>
      </c>
      <c r="C6765" s="9">
        <v>46113</v>
      </c>
      <c r="D6765">
        <v>45</v>
      </c>
      <c r="E6765" s="16" t="s">
        <v>136</v>
      </c>
      <c r="F6765" s="16" t="s">
        <v>85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64</v>
      </c>
      <c r="C6766" s="9">
        <v>46143</v>
      </c>
      <c r="D6766">
        <v>45</v>
      </c>
      <c r="E6766" s="16" t="s">
        <v>136</v>
      </c>
      <c r="F6766" s="16" t="s">
        <v>85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64</v>
      </c>
      <c r="C6767" s="9">
        <v>46174</v>
      </c>
      <c r="D6767">
        <v>45</v>
      </c>
      <c r="E6767" s="16" t="s">
        <v>136</v>
      </c>
      <c r="F6767" s="16" t="s">
        <v>85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64</v>
      </c>
      <c r="C6768" s="9">
        <v>46204</v>
      </c>
      <c r="D6768">
        <v>45</v>
      </c>
      <c r="E6768" s="16" t="s">
        <v>136</v>
      </c>
      <c r="F6768" s="16" t="s">
        <v>85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64</v>
      </c>
      <c r="C6769" s="9">
        <v>46235</v>
      </c>
      <c r="D6769">
        <v>45</v>
      </c>
      <c r="E6769" s="16" t="s">
        <v>136</v>
      </c>
      <c r="F6769" s="16" t="s">
        <v>85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64</v>
      </c>
      <c r="C6770" s="9">
        <v>46266</v>
      </c>
      <c r="D6770">
        <v>45</v>
      </c>
      <c r="E6770" s="16" t="s">
        <v>136</v>
      </c>
      <c r="F6770" s="16" t="s">
        <v>85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64</v>
      </c>
      <c r="C6771" s="9">
        <v>45689</v>
      </c>
      <c r="D6771">
        <v>46</v>
      </c>
      <c r="E6771" s="16" t="s">
        <v>137</v>
      </c>
      <c r="F6771" s="16" t="s">
        <v>110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64</v>
      </c>
      <c r="C6772" s="9">
        <v>45717</v>
      </c>
      <c r="D6772">
        <v>46</v>
      </c>
      <c r="E6772" s="16" t="s">
        <v>137</v>
      </c>
      <c r="F6772" s="16" t="s">
        <v>110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64</v>
      </c>
      <c r="C6773" s="9">
        <v>45748</v>
      </c>
      <c r="D6773">
        <v>46</v>
      </c>
      <c r="E6773" s="16" t="s">
        <v>137</v>
      </c>
      <c r="F6773" s="16" t="s">
        <v>110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64</v>
      </c>
      <c r="C6774" s="9">
        <v>45778</v>
      </c>
      <c r="D6774">
        <v>46</v>
      </c>
      <c r="E6774" s="16" t="s">
        <v>137</v>
      </c>
      <c r="F6774" s="16" t="s">
        <v>110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64</v>
      </c>
      <c r="C6775" s="9">
        <v>45809</v>
      </c>
      <c r="D6775">
        <v>46</v>
      </c>
      <c r="E6775" s="16" t="s">
        <v>137</v>
      </c>
      <c r="F6775" s="16" t="s">
        <v>110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64</v>
      </c>
      <c r="C6776" s="9">
        <v>45839</v>
      </c>
      <c r="D6776">
        <v>46</v>
      </c>
      <c r="E6776" s="16" t="s">
        <v>137</v>
      </c>
      <c r="F6776" s="16" t="s">
        <v>110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64</v>
      </c>
      <c r="C6777" s="9">
        <v>45870</v>
      </c>
      <c r="D6777">
        <v>46</v>
      </c>
      <c r="E6777" s="16" t="s">
        <v>137</v>
      </c>
      <c r="F6777" s="16" t="s">
        <v>110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64</v>
      </c>
      <c r="C6778" s="9">
        <v>45901</v>
      </c>
      <c r="D6778">
        <v>46</v>
      </c>
      <c r="E6778" s="16" t="s">
        <v>137</v>
      </c>
      <c r="F6778" s="16" t="s">
        <v>110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64</v>
      </c>
      <c r="C6779" s="9">
        <v>45931</v>
      </c>
      <c r="D6779">
        <v>46</v>
      </c>
      <c r="E6779" s="16" t="s">
        <v>137</v>
      </c>
      <c r="F6779" s="16" t="s">
        <v>110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64</v>
      </c>
      <c r="C6780" s="9">
        <v>45962</v>
      </c>
      <c r="D6780">
        <v>46</v>
      </c>
      <c r="E6780" s="16" t="s">
        <v>137</v>
      </c>
      <c r="F6780" s="16" t="s">
        <v>110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64</v>
      </c>
      <c r="C6781" s="9">
        <v>45992</v>
      </c>
      <c r="D6781">
        <v>46</v>
      </c>
      <c r="E6781" s="16" t="s">
        <v>137</v>
      </c>
      <c r="F6781" s="16" t="s">
        <v>110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64</v>
      </c>
      <c r="C6782" s="9">
        <v>46023</v>
      </c>
      <c r="D6782">
        <v>46</v>
      </c>
      <c r="E6782" s="16" t="s">
        <v>137</v>
      </c>
      <c r="F6782" s="16" t="s">
        <v>110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64</v>
      </c>
      <c r="C6783" s="9">
        <v>46054</v>
      </c>
      <c r="D6783">
        <v>46</v>
      </c>
      <c r="E6783" s="16" t="s">
        <v>137</v>
      </c>
      <c r="F6783" s="16" t="s">
        <v>110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64</v>
      </c>
      <c r="C6784" s="9">
        <v>46082</v>
      </c>
      <c r="D6784">
        <v>46</v>
      </c>
      <c r="E6784" s="16" t="s">
        <v>137</v>
      </c>
      <c r="F6784" s="16" t="s">
        <v>110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64</v>
      </c>
      <c r="C6785" s="9">
        <v>46113</v>
      </c>
      <c r="D6785">
        <v>46</v>
      </c>
      <c r="E6785" s="16" t="s">
        <v>137</v>
      </c>
      <c r="F6785" s="16" t="s">
        <v>110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64</v>
      </c>
      <c r="C6786" s="9">
        <v>46143</v>
      </c>
      <c r="D6786">
        <v>46</v>
      </c>
      <c r="E6786" s="16" t="s">
        <v>137</v>
      </c>
      <c r="F6786" s="16" t="s">
        <v>110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64</v>
      </c>
      <c r="C6787" s="9">
        <v>46174</v>
      </c>
      <c r="D6787">
        <v>46</v>
      </c>
      <c r="E6787" s="16" t="s">
        <v>137</v>
      </c>
      <c r="F6787" s="16" t="s">
        <v>110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64</v>
      </c>
      <c r="C6788" s="9">
        <v>46204</v>
      </c>
      <c r="D6788">
        <v>46</v>
      </c>
      <c r="E6788" s="16" t="s">
        <v>137</v>
      </c>
      <c r="F6788" s="16" t="s">
        <v>110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64</v>
      </c>
      <c r="C6789" s="9">
        <v>46235</v>
      </c>
      <c r="D6789">
        <v>46</v>
      </c>
      <c r="E6789" s="16" t="s">
        <v>137</v>
      </c>
      <c r="F6789" s="16" t="s">
        <v>110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64</v>
      </c>
      <c r="C6790" s="9">
        <v>46266</v>
      </c>
      <c r="D6790">
        <v>46</v>
      </c>
      <c r="E6790" s="16" t="s">
        <v>137</v>
      </c>
      <c r="F6790" s="16" t="s">
        <v>110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64</v>
      </c>
      <c r="C6791" s="9">
        <v>45689</v>
      </c>
      <c r="D6791">
        <v>47</v>
      </c>
      <c r="E6791" s="16" t="s">
        <v>138</v>
      </c>
      <c r="F6791" s="16" t="s">
        <v>94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64</v>
      </c>
      <c r="C6792" s="9">
        <v>45717</v>
      </c>
      <c r="D6792">
        <v>47</v>
      </c>
      <c r="E6792" s="16" t="s">
        <v>138</v>
      </c>
      <c r="F6792" s="16" t="s">
        <v>94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64</v>
      </c>
      <c r="C6793" s="9">
        <v>45748</v>
      </c>
      <c r="D6793">
        <v>47</v>
      </c>
      <c r="E6793" s="16" t="s">
        <v>138</v>
      </c>
      <c r="F6793" s="16" t="s">
        <v>94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64</v>
      </c>
      <c r="C6794" s="9">
        <v>45778</v>
      </c>
      <c r="D6794">
        <v>47</v>
      </c>
      <c r="E6794" s="16" t="s">
        <v>138</v>
      </c>
      <c r="F6794" s="16" t="s">
        <v>94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64</v>
      </c>
      <c r="C6795" s="9">
        <v>45809</v>
      </c>
      <c r="D6795">
        <v>47</v>
      </c>
      <c r="E6795" s="16" t="s">
        <v>138</v>
      </c>
      <c r="F6795" s="16" t="s">
        <v>94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64</v>
      </c>
      <c r="C6796" s="9">
        <v>45839</v>
      </c>
      <c r="D6796">
        <v>47</v>
      </c>
      <c r="E6796" s="16" t="s">
        <v>138</v>
      </c>
      <c r="F6796" s="16" t="s">
        <v>94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64</v>
      </c>
      <c r="C6797" s="9">
        <v>45870</v>
      </c>
      <c r="D6797">
        <v>47</v>
      </c>
      <c r="E6797" s="16" t="s">
        <v>138</v>
      </c>
      <c r="F6797" s="16" t="s">
        <v>94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64</v>
      </c>
      <c r="C6798" s="9">
        <v>45901</v>
      </c>
      <c r="D6798">
        <v>47</v>
      </c>
      <c r="E6798" s="16" t="s">
        <v>138</v>
      </c>
      <c r="F6798" s="16" t="s">
        <v>94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64</v>
      </c>
      <c r="C6799" s="9">
        <v>45931</v>
      </c>
      <c r="D6799">
        <v>47</v>
      </c>
      <c r="E6799" s="16" t="s">
        <v>138</v>
      </c>
      <c r="F6799" s="16" t="s">
        <v>94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64</v>
      </c>
      <c r="C6800" s="9">
        <v>45962</v>
      </c>
      <c r="D6800">
        <v>47</v>
      </c>
      <c r="E6800" s="16" t="s">
        <v>138</v>
      </c>
      <c r="F6800" s="16" t="s">
        <v>94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64</v>
      </c>
      <c r="C6801" s="9">
        <v>45992</v>
      </c>
      <c r="D6801">
        <v>47</v>
      </c>
      <c r="E6801" s="16" t="s">
        <v>138</v>
      </c>
      <c r="F6801" s="16" t="s">
        <v>94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64</v>
      </c>
      <c r="C6802" s="9">
        <v>46023</v>
      </c>
      <c r="D6802">
        <v>47</v>
      </c>
      <c r="E6802" s="16" t="s">
        <v>138</v>
      </c>
      <c r="F6802" s="16" t="s">
        <v>94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64</v>
      </c>
      <c r="C6803" s="9">
        <v>46054</v>
      </c>
      <c r="D6803">
        <v>47</v>
      </c>
      <c r="E6803" s="16" t="s">
        <v>138</v>
      </c>
      <c r="F6803" s="16" t="s">
        <v>94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64</v>
      </c>
      <c r="C6804" s="9">
        <v>46082</v>
      </c>
      <c r="D6804">
        <v>47</v>
      </c>
      <c r="E6804" s="16" t="s">
        <v>138</v>
      </c>
      <c r="F6804" s="16" t="s">
        <v>94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64</v>
      </c>
      <c r="C6805" s="9">
        <v>46113</v>
      </c>
      <c r="D6805">
        <v>47</v>
      </c>
      <c r="E6805" s="16" t="s">
        <v>138</v>
      </c>
      <c r="F6805" s="16" t="s">
        <v>94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64</v>
      </c>
      <c r="C6806" s="9">
        <v>46143</v>
      </c>
      <c r="D6806">
        <v>47</v>
      </c>
      <c r="E6806" s="16" t="s">
        <v>138</v>
      </c>
      <c r="F6806" s="16" t="s">
        <v>94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64</v>
      </c>
      <c r="C6807" s="9">
        <v>46174</v>
      </c>
      <c r="D6807">
        <v>47</v>
      </c>
      <c r="E6807" s="16" t="s">
        <v>138</v>
      </c>
      <c r="F6807" s="16" t="s">
        <v>94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64</v>
      </c>
      <c r="C6808" s="9">
        <v>46204</v>
      </c>
      <c r="D6808">
        <v>47</v>
      </c>
      <c r="E6808" s="16" t="s">
        <v>138</v>
      </c>
      <c r="F6808" s="16" t="s">
        <v>94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64</v>
      </c>
      <c r="C6809" s="9">
        <v>46235</v>
      </c>
      <c r="D6809">
        <v>47</v>
      </c>
      <c r="E6809" s="16" t="s">
        <v>138</v>
      </c>
      <c r="F6809" s="16" t="s">
        <v>94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64</v>
      </c>
      <c r="C6810" s="9">
        <v>46266</v>
      </c>
      <c r="D6810">
        <v>47</v>
      </c>
      <c r="E6810" s="16" t="s">
        <v>138</v>
      </c>
      <c r="F6810" s="16" t="s">
        <v>94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64</v>
      </c>
      <c r="C6811" s="9">
        <v>45689</v>
      </c>
      <c r="D6811">
        <v>48</v>
      </c>
      <c r="E6811" s="16" t="s">
        <v>139</v>
      </c>
      <c r="F6811" s="16" t="s">
        <v>140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64</v>
      </c>
      <c r="C6812" s="9">
        <v>45717</v>
      </c>
      <c r="D6812">
        <v>48</v>
      </c>
      <c r="E6812" s="16" t="s">
        <v>139</v>
      </c>
      <c r="F6812" s="16" t="s">
        <v>140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64</v>
      </c>
      <c r="C6813" s="9">
        <v>45748</v>
      </c>
      <c r="D6813">
        <v>48</v>
      </c>
      <c r="E6813" s="16" t="s">
        <v>139</v>
      </c>
      <c r="F6813" s="16" t="s">
        <v>140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64</v>
      </c>
      <c r="C6814" s="9">
        <v>45778</v>
      </c>
      <c r="D6814">
        <v>48</v>
      </c>
      <c r="E6814" s="16" t="s">
        <v>139</v>
      </c>
      <c r="F6814" s="16" t="s">
        <v>140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64</v>
      </c>
      <c r="C6815" s="9">
        <v>45809</v>
      </c>
      <c r="D6815">
        <v>48</v>
      </c>
      <c r="E6815" s="16" t="s">
        <v>139</v>
      </c>
      <c r="F6815" s="16" t="s">
        <v>140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64</v>
      </c>
      <c r="C6816" s="9">
        <v>45839</v>
      </c>
      <c r="D6816">
        <v>48</v>
      </c>
      <c r="E6816" s="16" t="s">
        <v>139</v>
      </c>
      <c r="F6816" s="16" t="s">
        <v>140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64</v>
      </c>
      <c r="C6817" s="9">
        <v>45870</v>
      </c>
      <c r="D6817">
        <v>48</v>
      </c>
      <c r="E6817" s="16" t="s">
        <v>139</v>
      </c>
      <c r="F6817" s="16" t="s">
        <v>140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64</v>
      </c>
      <c r="C6818" s="9">
        <v>45901</v>
      </c>
      <c r="D6818">
        <v>48</v>
      </c>
      <c r="E6818" s="16" t="s">
        <v>139</v>
      </c>
      <c r="F6818" s="16" t="s">
        <v>140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64</v>
      </c>
      <c r="C6819" s="9">
        <v>45931</v>
      </c>
      <c r="D6819">
        <v>48</v>
      </c>
      <c r="E6819" s="16" t="s">
        <v>139</v>
      </c>
      <c r="F6819" s="16" t="s">
        <v>140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64</v>
      </c>
      <c r="C6820" s="9">
        <v>45962</v>
      </c>
      <c r="D6820">
        <v>48</v>
      </c>
      <c r="E6820" s="16" t="s">
        <v>139</v>
      </c>
      <c r="F6820" s="16" t="s">
        <v>140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64</v>
      </c>
      <c r="C6821" s="9">
        <v>45992</v>
      </c>
      <c r="D6821">
        <v>48</v>
      </c>
      <c r="E6821" s="16" t="s">
        <v>139</v>
      </c>
      <c r="F6821" s="16" t="s">
        <v>140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64</v>
      </c>
      <c r="C6822" s="9">
        <v>46023</v>
      </c>
      <c r="D6822">
        <v>48</v>
      </c>
      <c r="E6822" s="16" t="s">
        <v>139</v>
      </c>
      <c r="F6822" s="16" t="s">
        <v>140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64</v>
      </c>
      <c r="C6823" s="9">
        <v>46054</v>
      </c>
      <c r="D6823">
        <v>48</v>
      </c>
      <c r="E6823" s="16" t="s">
        <v>139</v>
      </c>
      <c r="F6823" s="16" t="s">
        <v>140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64</v>
      </c>
      <c r="C6824" s="9">
        <v>46082</v>
      </c>
      <c r="D6824">
        <v>48</v>
      </c>
      <c r="E6824" s="16" t="s">
        <v>139</v>
      </c>
      <c r="F6824" s="16" t="s">
        <v>140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64</v>
      </c>
      <c r="C6825" s="9">
        <v>46113</v>
      </c>
      <c r="D6825">
        <v>48</v>
      </c>
      <c r="E6825" s="16" t="s">
        <v>139</v>
      </c>
      <c r="F6825" s="16" t="s">
        <v>140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64</v>
      </c>
      <c r="C6826" s="9">
        <v>46143</v>
      </c>
      <c r="D6826">
        <v>48</v>
      </c>
      <c r="E6826" s="16" t="s">
        <v>139</v>
      </c>
      <c r="F6826" s="16" t="s">
        <v>140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64</v>
      </c>
      <c r="C6827" s="9">
        <v>46174</v>
      </c>
      <c r="D6827">
        <v>48</v>
      </c>
      <c r="E6827" s="16" t="s">
        <v>139</v>
      </c>
      <c r="F6827" s="16" t="s">
        <v>140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64</v>
      </c>
      <c r="C6828" s="9">
        <v>46204</v>
      </c>
      <c r="D6828">
        <v>48</v>
      </c>
      <c r="E6828" s="16" t="s">
        <v>139</v>
      </c>
      <c r="F6828" s="16" t="s">
        <v>140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64</v>
      </c>
      <c r="C6829" s="9">
        <v>46235</v>
      </c>
      <c r="D6829">
        <v>48</v>
      </c>
      <c r="E6829" s="16" t="s">
        <v>139</v>
      </c>
      <c r="F6829" s="16" t="s">
        <v>140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64</v>
      </c>
      <c r="C6830" s="9">
        <v>46266</v>
      </c>
      <c r="D6830">
        <v>48</v>
      </c>
      <c r="E6830" s="16" t="s">
        <v>139</v>
      </c>
      <c r="F6830" s="16" t="s">
        <v>140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64</v>
      </c>
      <c r="C6831" s="9">
        <v>45689</v>
      </c>
      <c r="D6831">
        <v>49</v>
      </c>
      <c r="E6831" s="16" t="s">
        <v>141</v>
      </c>
      <c r="F6831" s="16" t="s">
        <v>140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64</v>
      </c>
      <c r="C6832" s="9">
        <v>45717</v>
      </c>
      <c r="D6832">
        <v>49</v>
      </c>
      <c r="E6832" s="16" t="s">
        <v>141</v>
      </c>
      <c r="F6832" s="16" t="s">
        <v>140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64</v>
      </c>
      <c r="C6833" s="9">
        <v>45748</v>
      </c>
      <c r="D6833">
        <v>49</v>
      </c>
      <c r="E6833" s="16" t="s">
        <v>141</v>
      </c>
      <c r="F6833" s="16" t="s">
        <v>140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64</v>
      </c>
      <c r="C6834" s="9">
        <v>45778</v>
      </c>
      <c r="D6834">
        <v>49</v>
      </c>
      <c r="E6834" s="16" t="s">
        <v>141</v>
      </c>
      <c r="F6834" s="16" t="s">
        <v>140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64</v>
      </c>
      <c r="C6835" s="9">
        <v>45809</v>
      </c>
      <c r="D6835">
        <v>49</v>
      </c>
      <c r="E6835" s="16" t="s">
        <v>141</v>
      </c>
      <c r="F6835" s="16" t="s">
        <v>140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64</v>
      </c>
      <c r="C6836" s="9">
        <v>45839</v>
      </c>
      <c r="D6836">
        <v>49</v>
      </c>
      <c r="E6836" s="16" t="s">
        <v>141</v>
      </c>
      <c r="F6836" s="16" t="s">
        <v>140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64</v>
      </c>
      <c r="C6837" s="9">
        <v>45870</v>
      </c>
      <c r="D6837">
        <v>49</v>
      </c>
      <c r="E6837" s="16" t="s">
        <v>141</v>
      </c>
      <c r="F6837" s="16" t="s">
        <v>140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64</v>
      </c>
      <c r="C6838" s="9">
        <v>45901</v>
      </c>
      <c r="D6838">
        <v>49</v>
      </c>
      <c r="E6838" s="16" t="s">
        <v>141</v>
      </c>
      <c r="F6838" s="16" t="s">
        <v>140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64</v>
      </c>
      <c r="C6839" s="9">
        <v>45931</v>
      </c>
      <c r="D6839">
        <v>49</v>
      </c>
      <c r="E6839" s="16" t="s">
        <v>141</v>
      </c>
      <c r="F6839" s="16" t="s">
        <v>140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64</v>
      </c>
      <c r="C6840" s="9">
        <v>45962</v>
      </c>
      <c r="D6840">
        <v>49</v>
      </c>
      <c r="E6840" s="16" t="s">
        <v>141</v>
      </c>
      <c r="F6840" s="16" t="s">
        <v>140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64</v>
      </c>
      <c r="C6841" s="9">
        <v>45992</v>
      </c>
      <c r="D6841">
        <v>49</v>
      </c>
      <c r="E6841" s="16" t="s">
        <v>141</v>
      </c>
      <c r="F6841" s="16" t="s">
        <v>140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64</v>
      </c>
      <c r="C6842" s="9">
        <v>46023</v>
      </c>
      <c r="D6842">
        <v>49</v>
      </c>
      <c r="E6842" s="16" t="s">
        <v>141</v>
      </c>
      <c r="F6842" s="16" t="s">
        <v>140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64</v>
      </c>
      <c r="C6843" s="9">
        <v>46054</v>
      </c>
      <c r="D6843">
        <v>49</v>
      </c>
      <c r="E6843" s="16" t="s">
        <v>141</v>
      </c>
      <c r="F6843" s="16" t="s">
        <v>140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64</v>
      </c>
      <c r="C6844" s="9">
        <v>46082</v>
      </c>
      <c r="D6844">
        <v>49</v>
      </c>
      <c r="E6844" s="16" t="s">
        <v>141</v>
      </c>
      <c r="F6844" s="16" t="s">
        <v>140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64</v>
      </c>
      <c r="C6845" s="9">
        <v>46113</v>
      </c>
      <c r="D6845">
        <v>49</v>
      </c>
      <c r="E6845" s="16" t="s">
        <v>141</v>
      </c>
      <c r="F6845" s="16" t="s">
        <v>140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64</v>
      </c>
      <c r="C6846" s="9">
        <v>46143</v>
      </c>
      <c r="D6846">
        <v>49</v>
      </c>
      <c r="E6846" s="16" t="s">
        <v>141</v>
      </c>
      <c r="F6846" s="16" t="s">
        <v>140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64</v>
      </c>
      <c r="C6847" s="9">
        <v>46174</v>
      </c>
      <c r="D6847">
        <v>49</v>
      </c>
      <c r="E6847" s="16" t="s">
        <v>141</v>
      </c>
      <c r="F6847" s="16" t="s">
        <v>140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64</v>
      </c>
      <c r="C6848" s="9">
        <v>46204</v>
      </c>
      <c r="D6848">
        <v>49</v>
      </c>
      <c r="E6848" s="16" t="s">
        <v>141</v>
      </c>
      <c r="F6848" s="16" t="s">
        <v>140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64</v>
      </c>
      <c r="C6849" s="9">
        <v>46235</v>
      </c>
      <c r="D6849">
        <v>49</v>
      </c>
      <c r="E6849" s="16" t="s">
        <v>141</v>
      </c>
      <c r="F6849" s="16" t="s">
        <v>140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64</v>
      </c>
      <c r="C6850" s="9">
        <v>46266</v>
      </c>
      <c r="D6850">
        <v>49</v>
      </c>
      <c r="E6850" s="16" t="s">
        <v>141</v>
      </c>
      <c r="F6850" s="16" t="s">
        <v>140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64</v>
      </c>
      <c r="C6851" s="9">
        <v>45689</v>
      </c>
      <c r="D6851">
        <v>50</v>
      </c>
      <c r="E6851" s="16" t="s">
        <v>142</v>
      </c>
      <c r="F6851" s="16" t="s">
        <v>140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64</v>
      </c>
      <c r="C6852" s="9">
        <v>45717</v>
      </c>
      <c r="D6852">
        <v>50</v>
      </c>
      <c r="E6852" s="16" t="s">
        <v>142</v>
      </c>
      <c r="F6852" s="16" t="s">
        <v>140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64</v>
      </c>
      <c r="C6853" s="9">
        <v>45748</v>
      </c>
      <c r="D6853">
        <v>50</v>
      </c>
      <c r="E6853" s="16" t="s">
        <v>142</v>
      </c>
      <c r="F6853" s="16" t="s">
        <v>140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64</v>
      </c>
      <c r="C6854" s="9">
        <v>45778</v>
      </c>
      <c r="D6854">
        <v>50</v>
      </c>
      <c r="E6854" s="16" t="s">
        <v>142</v>
      </c>
      <c r="F6854" s="16" t="s">
        <v>140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64</v>
      </c>
      <c r="C6855" s="9">
        <v>45809</v>
      </c>
      <c r="D6855">
        <v>50</v>
      </c>
      <c r="E6855" s="16" t="s">
        <v>142</v>
      </c>
      <c r="F6855" s="16" t="s">
        <v>140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64</v>
      </c>
      <c r="C6856" s="9">
        <v>45839</v>
      </c>
      <c r="D6856">
        <v>50</v>
      </c>
      <c r="E6856" s="16" t="s">
        <v>142</v>
      </c>
      <c r="F6856" s="16" t="s">
        <v>140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64</v>
      </c>
      <c r="C6857" s="9">
        <v>45870</v>
      </c>
      <c r="D6857">
        <v>50</v>
      </c>
      <c r="E6857" s="16" t="s">
        <v>142</v>
      </c>
      <c r="F6857" s="16" t="s">
        <v>140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64</v>
      </c>
      <c r="C6858" s="9">
        <v>45901</v>
      </c>
      <c r="D6858">
        <v>50</v>
      </c>
      <c r="E6858" s="16" t="s">
        <v>142</v>
      </c>
      <c r="F6858" s="16" t="s">
        <v>140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64</v>
      </c>
      <c r="C6859" s="9">
        <v>45931</v>
      </c>
      <c r="D6859">
        <v>50</v>
      </c>
      <c r="E6859" s="16" t="s">
        <v>142</v>
      </c>
      <c r="F6859" s="16" t="s">
        <v>140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64</v>
      </c>
      <c r="C6860" s="9">
        <v>45962</v>
      </c>
      <c r="D6860">
        <v>50</v>
      </c>
      <c r="E6860" s="16" t="s">
        <v>142</v>
      </c>
      <c r="F6860" s="16" t="s">
        <v>140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64</v>
      </c>
      <c r="C6861" s="9">
        <v>45992</v>
      </c>
      <c r="D6861">
        <v>50</v>
      </c>
      <c r="E6861" s="16" t="s">
        <v>142</v>
      </c>
      <c r="F6861" s="16" t="s">
        <v>140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64</v>
      </c>
      <c r="C6862" s="9">
        <v>46023</v>
      </c>
      <c r="D6862">
        <v>50</v>
      </c>
      <c r="E6862" s="16" t="s">
        <v>142</v>
      </c>
      <c r="F6862" s="16" t="s">
        <v>140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64</v>
      </c>
      <c r="C6863" s="9">
        <v>46054</v>
      </c>
      <c r="D6863">
        <v>50</v>
      </c>
      <c r="E6863" s="16" t="s">
        <v>142</v>
      </c>
      <c r="F6863" s="16" t="s">
        <v>140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64</v>
      </c>
      <c r="C6864" s="9">
        <v>46082</v>
      </c>
      <c r="D6864">
        <v>50</v>
      </c>
      <c r="E6864" s="16" t="s">
        <v>142</v>
      </c>
      <c r="F6864" s="16" t="s">
        <v>140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64</v>
      </c>
      <c r="C6865" s="9">
        <v>46113</v>
      </c>
      <c r="D6865">
        <v>50</v>
      </c>
      <c r="E6865" s="16" t="s">
        <v>142</v>
      </c>
      <c r="F6865" s="16" t="s">
        <v>140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64</v>
      </c>
      <c r="C6866" s="9">
        <v>46143</v>
      </c>
      <c r="D6866">
        <v>50</v>
      </c>
      <c r="E6866" s="16" t="s">
        <v>142</v>
      </c>
      <c r="F6866" s="16" t="s">
        <v>140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64</v>
      </c>
      <c r="C6867" s="9">
        <v>46174</v>
      </c>
      <c r="D6867">
        <v>50</v>
      </c>
      <c r="E6867" s="16" t="s">
        <v>142</v>
      </c>
      <c r="F6867" s="16" t="s">
        <v>140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64</v>
      </c>
      <c r="C6868" s="9">
        <v>46204</v>
      </c>
      <c r="D6868">
        <v>50</v>
      </c>
      <c r="E6868" s="16" t="s">
        <v>142</v>
      </c>
      <c r="F6868" s="16" t="s">
        <v>140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64</v>
      </c>
      <c r="C6869" s="9">
        <v>46235</v>
      </c>
      <c r="D6869">
        <v>50</v>
      </c>
      <c r="E6869" s="16" t="s">
        <v>142</v>
      </c>
      <c r="F6869" s="16" t="s">
        <v>140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64</v>
      </c>
      <c r="C6870" s="9">
        <v>46266</v>
      </c>
      <c r="D6870">
        <v>50</v>
      </c>
      <c r="E6870" s="16" t="s">
        <v>142</v>
      </c>
      <c r="F6870" s="16" t="s">
        <v>140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64</v>
      </c>
      <c r="C6871" s="9">
        <v>45689</v>
      </c>
      <c r="D6871">
        <v>51</v>
      </c>
      <c r="E6871" s="16" t="s">
        <v>143</v>
      </c>
      <c r="F6871" s="16" t="s">
        <v>83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64</v>
      </c>
      <c r="C6872" s="9">
        <v>45717</v>
      </c>
      <c r="D6872">
        <v>51</v>
      </c>
      <c r="E6872" s="16" t="s">
        <v>143</v>
      </c>
      <c r="F6872" s="16" t="s">
        <v>83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64</v>
      </c>
      <c r="C6873" s="9">
        <v>45748</v>
      </c>
      <c r="D6873">
        <v>51</v>
      </c>
      <c r="E6873" s="16" t="s">
        <v>143</v>
      </c>
      <c r="F6873" s="16" t="s">
        <v>83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64</v>
      </c>
      <c r="C6874" s="9">
        <v>45778</v>
      </c>
      <c r="D6874">
        <v>51</v>
      </c>
      <c r="E6874" s="16" t="s">
        <v>143</v>
      </c>
      <c r="F6874" s="16" t="s">
        <v>83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64</v>
      </c>
      <c r="C6875" s="9">
        <v>45809</v>
      </c>
      <c r="D6875">
        <v>51</v>
      </c>
      <c r="E6875" s="16" t="s">
        <v>143</v>
      </c>
      <c r="F6875" s="16" t="s">
        <v>83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64</v>
      </c>
      <c r="C6876" s="9">
        <v>45839</v>
      </c>
      <c r="D6876">
        <v>51</v>
      </c>
      <c r="E6876" s="16" t="s">
        <v>143</v>
      </c>
      <c r="F6876" s="16" t="s">
        <v>83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64</v>
      </c>
      <c r="C6877" s="9">
        <v>45870</v>
      </c>
      <c r="D6877">
        <v>51</v>
      </c>
      <c r="E6877" s="16" t="s">
        <v>143</v>
      </c>
      <c r="F6877" s="16" t="s">
        <v>83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64</v>
      </c>
      <c r="C6878" s="9">
        <v>45901</v>
      </c>
      <c r="D6878">
        <v>51</v>
      </c>
      <c r="E6878" s="16" t="s">
        <v>143</v>
      </c>
      <c r="F6878" s="16" t="s">
        <v>83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64</v>
      </c>
      <c r="C6879" s="9">
        <v>45931</v>
      </c>
      <c r="D6879">
        <v>51</v>
      </c>
      <c r="E6879" s="16" t="s">
        <v>143</v>
      </c>
      <c r="F6879" s="16" t="s">
        <v>83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64</v>
      </c>
      <c r="C6880" s="9">
        <v>45962</v>
      </c>
      <c r="D6880">
        <v>51</v>
      </c>
      <c r="E6880" s="16" t="s">
        <v>143</v>
      </c>
      <c r="F6880" s="16" t="s">
        <v>83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64</v>
      </c>
      <c r="C6881" s="9">
        <v>45992</v>
      </c>
      <c r="D6881">
        <v>51</v>
      </c>
      <c r="E6881" s="16" t="s">
        <v>143</v>
      </c>
      <c r="F6881" s="16" t="s">
        <v>83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64</v>
      </c>
      <c r="C6882" s="9">
        <v>46023</v>
      </c>
      <c r="D6882">
        <v>51</v>
      </c>
      <c r="E6882" s="16" t="s">
        <v>143</v>
      </c>
      <c r="F6882" s="16" t="s">
        <v>83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64</v>
      </c>
      <c r="C6883" s="9">
        <v>46054</v>
      </c>
      <c r="D6883">
        <v>51</v>
      </c>
      <c r="E6883" s="16" t="s">
        <v>143</v>
      </c>
      <c r="F6883" s="16" t="s">
        <v>83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64</v>
      </c>
      <c r="C6884" s="9">
        <v>46082</v>
      </c>
      <c r="D6884">
        <v>51</v>
      </c>
      <c r="E6884" s="16" t="s">
        <v>143</v>
      </c>
      <c r="F6884" s="16" t="s">
        <v>83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64</v>
      </c>
      <c r="C6885" s="9">
        <v>46113</v>
      </c>
      <c r="D6885">
        <v>51</v>
      </c>
      <c r="E6885" s="16" t="s">
        <v>143</v>
      </c>
      <c r="F6885" s="16" t="s">
        <v>83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64</v>
      </c>
      <c r="C6886" s="9">
        <v>46143</v>
      </c>
      <c r="D6886">
        <v>51</v>
      </c>
      <c r="E6886" s="16" t="s">
        <v>143</v>
      </c>
      <c r="F6886" s="16" t="s">
        <v>83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64</v>
      </c>
      <c r="C6887" s="9">
        <v>46174</v>
      </c>
      <c r="D6887">
        <v>51</v>
      </c>
      <c r="E6887" s="16" t="s">
        <v>143</v>
      </c>
      <c r="F6887" s="16" t="s">
        <v>83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64</v>
      </c>
      <c r="C6888" s="9">
        <v>46204</v>
      </c>
      <c r="D6888">
        <v>51</v>
      </c>
      <c r="E6888" s="16" t="s">
        <v>143</v>
      </c>
      <c r="F6888" s="16" t="s">
        <v>83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64</v>
      </c>
      <c r="C6889" s="9">
        <v>46235</v>
      </c>
      <c r="D6889">
        <v>51</v>
      </c>
      <c r="E6889" s="16" t="s">
        <v>143</v>
      </c>
      <c r="F6889" s="16" t="s">
        <v>83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64</v>
      </c>
      <c r="C6890" s="9">
        <v>46266</v>
      </c>
      <c r="D6890">
        <v>51</v>
      </c>
      <c r="E6890" s="16" t="s">
        <v>143</v>
      </c>
      <c r="F6890" s="16" t="s">
        <v>83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64</v>
      </c>
      <c r="C6891" s="9">
        <v>45689</v>
      </c>
      <c r="D6891">
        <v>52</v>
      </c>
      <c r="E6891" s="16" t="s">
        <v>144</v>
      </c>
      <c r="F6891" s="16" t="s">
        <v>110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64</v>
      </c>
      <c r="C6892" s="9">
        <v>45748</v>
      </c>
      <c r="D6892">
        <v>52</v>
      </c>
      <c r="E6892" s="16" t="s">
        <v>144</v>
      </c>
      <c r="F6892" s="16" t="s">
        <v>110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64</v>
      </c>
      <c r="C6893" s="9">
        <v>45778</v>
      </c>
      <c r="D6893">
        <v>52</v>
      </c>
      <c r="E6893" s="16" t="s">
        <v>144</v>
      </c>
      <c r="F6893" s="16" t="s">
        <v>110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64</v>
      </c>
      <c r="C6894" s="9">
        <v>45839</v>
      </c>
      <c r="D6894">
        <v>52</v>
      </c>
      <c r="E6894" s="16" t="s">
        <v>144</v>
      </c>
      <c r="F6894" s="16" t="s">
        <v>110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64</v>
      </c>
      <c r="C6895" s="9">
        <v>45870</v>
      </c>
      <c r="D6895">
        <v>52</v>
      </c>
      <c r="E6895" s="16" t="s">
        <v>144</v>
      </c>
      <c r="F6895" s="16" t="s">
        <v>110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64</v>
      </c>
      <c r="C6896" s="9">
        <v>45901</v>
      </c>
      <c r="D6896">
        <v>52</v>
      </c>
      <c r="E6896" s="16" t="s">
        <v>144</v>
      </c>
      <c r="F6896" s="16" t="s">
        <v>110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64</v>
      </c>
      <c r="C6897" s="9">
        <v>45962</v>
      </c>
      <c r="D6897">
        <v>52</v>
      </c>
      <c r="E6897" s="16" t="s">
        <v>144</v>
      </c>
      <c r="F6897" s="16" t="s">
        <v>110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64</v>
      </c>
      <c r="C6898" s="9">
        <v>45992</v>
      </c>
      <c r="D6898">
        <v>52</v>
      </c>
      <c r="E6898" s="16" t="s">
        <v>144</v>
      </c>
      <c r="F6898" s="16" t="s">
        <v>110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64</v>
      </c>
      <c r="C6899" s="9">
        <v>46023</v>
      </c>
      <c r="D6899">
        <v>52</v>
      </c>
      <c r="E6899" s="16" t="s">
        <v>144</v>
      </c>
      <c r="F6899" s="16" t="s">
        <v>110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64</v>
      </c>
      <c r="C6900" s="9">
        <v>46082</v>
      </c>
      <c r="D6900">
        <v>52</v>
      </c>
      <c r="E6900" s="16" t="s">
        <v>144</v>
      </c>
      <c r="F6900" s="16" t="s">
        <v>110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64</v>
      </c>
      <c r="C6901" s="9">
        <v>46113</v>
      </c>
      <c r="D6901">
        <v>52</v>
      </c>
      <c r="E6901" s="16" t="s">
        <v>144</v>
      </c>
      <c r="F6901" s="16" t="s">
        <v>110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64</v>
      </c>
      <c r="C6902" s="9">
        <v>46143</v>
      </c>
      <c r="D6902">
        <v>52</v>
      </c>
      <c r="E6902" s="16" t="s">
        <v>144</v>
      </c>
      <c r="F6902" s="16" t="s">
        <v>110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64</v>
      </c>
      <c r="C6903" s="9">
        <v>46174</v>
      </c>
      <c r="D6903">
        <v>52</v>
      </c>
      <c r="E6903" s="16" t="s">
        <v>144</v>
      </c>
      <c r="F6903" s="16" t="s">
        <v>110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64</v>
      </c>
      <c r="C6904" s="9">
        <v>46235</v>
      </c>
      <c r="D6904">
        <v>52</v>
      </c>
      <c r="E6904" s="16" t="s">
        <v>144</v>
      </c>
      <c r="F6904" s="16" t="s">
        <v>110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64</v>
      </c>
      <c r="C6905" s="9">
        <v>46266</v>
      </c>
      <c r="D6905">
        <v>52</v>
      </c>
      <c r="E6905" s="16" t="s">
        <v>144</v>
      </c>
      <c r="F6905" s="16" t="s">
        <v>110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64</v>
      </c>
      <c r="C6906" s="9">
        <v>45689</v>
      </c>
      <c r="D6906">
        <v>53</v>
      </c>
      <c r="E6906" s="16" t="s">
        <v>145</v>
      </c>
      <c r="F6906" s="16" t="s">
        <v>105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64</v>
      </c>
      <c r="C6907" s="9">
        <v>45717</v>
      </c>
      <c r="D6907">
        <v>53</v>
      </c>
      <c r="E6907" s="16" t="s">
        <v>145</v>
      </c>
      <c r="F6907" s="16" t="s">
        <v>105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64</v>
      </c>
      <c r="C6908" s="9">
        <v>45748</v>
      </c>
      <c r="D6908">
        <v>53</v>
      </c>
      <c r="E6908" s="16" t="s">
        <v>145</v>
      </c>
      <c r="F6908" s="16" t="s">
        <v>105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64</v>
      </c>
      <c r="C6909" s="9">
        <v>45778</v>
      </c>
      <c r="D6909">
        <v>53</v>
      </c>
      <c r="E6909" s="16" t="s">
        <v>145</v>
      </c>
      <c r="F6909" s="16" t="s">
        <v>105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64</v>
      </c>
      <c r="C6910" s="9">
        <v>45809</v>
      </c>
      <c r="D6910">
        <v>53</v>
      </c>
      <c r="E6910" s="16" t="s">
        <v>145</v>
      </c>
      <c r="F6910" s="16" t="s">
        <v>105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64</v>
      </c>
      <c r="C6911" s="9">
        <v>45839</v>
      </c>
      <c r="D6911">
        <v>53</v>
      </c>
      <c r="E6911" s="16" t="s">
        <v>145</v>
      </c>
      <c r="F6911" s="16" t="s">
        <v>105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64</v>
      </c>
      <c r="C6912" s="9">
        <v>45870</v>
      </c>
      <c r="D6912">
        <v>53</v>
      </c>
      <c r="E6912" s="16" t="s">
        <v>145</v>
      </c>
      <c r="F6912" s="16" t="s">
        <v>105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64</v>
      </c>
      <c r="C6913" s="9">
        <v>45901</v>
      </c>
      <c r="D6913">
        <v>53</v>
      </c>
      <c r="E6913" s="16" t="s">
        <v>145</v>
      </c>
      <c r="F6913" s="16" t="s">
        <v>105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64</v>
      </c>
      <c r="C6914" s="9">
        <v>45931</v>
      </c>
      <c r="D6914">
        <v>53</v>
      </c>
      <c r="E6914" s="16" t="s">
        <v>145</v>
      </c>
      <c r="F6914" s="16" t="s">
        <v>105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64</v>
      </c>
      <c r="C6915" s="9">
        <v>45962</v>
      </c>
      <c r="D6915">
        <v>53</v>
      </c>
      <c r="E6915" s="16" t="s">
        <v>145</v>
      </c>
      <c r="F6915" s="16" t="s">
        <v>105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64</v>
      </c>
      <c r="C6916" s="9">
        <v>45992</v>
      </c>
      <c r="D6916">
        <v>53</v>
      </c>
      <c r="E6916" s="16" t="s">
        <v>145</v>
      </c>
      <c r="F6916" s="16" t="s">
        <v>105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64</v>
      </c>
      <c r="C6917" s="9">
        <v>46023</v>
      </c>
      <c r="D6917">
        <v>53</v>
      </c>
      <c r="E6917" s="16" t="s">
        <v>145</v>
      </c>
      <c r="F6917" s="16" t="s">
        <v>105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64</v>
      </c>
      <c r="C6918" s="9">
        <v>46054</v>
      </c>
      <c r="D6918">
        <v>53</v>
      </c>
      <c r="E6918" s="16" t="s">
        <v>145</v>
      </c>
      <c r="F6918" s="16" t="s">
        <v>105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64</v>
      </c>
      <c r="C6919" s="9">
        <v>46082</v>
      </c>
      <c r="D6919">
        <v>53</v>
      </c>
      <c r="E6919" s="16" t="s">
        <v>145</v>
      </c>
      <c r="F6919" s="16" t="s">
        <v>105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64</v>
      </c>
      <c r="C6920" s="9">
        <v>46113</v>
      </c>
      <c r="D6920">
        <v>53</v>
      </c>
      <c r="E6920" s="16" t="s">
        <v>145</v>
      </c>
      <c r="F6920" s="16" t="s">
        <v>105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64</v>
      </c>
      <c r="C6921" s="9">
        <v>46143</v>
      </c>
      <c r="D6921">
        <v>53</v>
      </c>
      <c r="E6921" s="16" t="s">
        <v>145</v>
      </c>
      <c r="F6921" s="16" t="s">
        <v>105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64</v>
      </c>
      <c r="C6922" s="9">
        <v>46174</v>
      </c>
      <c r="D6922">
        <v>53</v>
      </c>
      <c r="E6922" s="16" t="s">
        <v>145</v>
      </c>
      <c r="F6922" s="16" t="s">
        <v>105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64</v>
      </c>
      <c r="C6923" s="9">
        <v>46204</v>
      </c>
      <c r="D6923">
        <v>53</v>
      </c>
      <c r="E6923" s="16" t="s">
        <v>145</v>
      </c>
      <c r="F6923" s="16" t="s">
        <v>105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64</v>
      </c>
      <c r="C6924" s="9">
        <v>46235</v>
      </c>
      <c r="D6924">
        <v>53</v>
      </c>
      <c r="E6924" s="16" t="s">
        <v>145</v>
      </c>
      <c r="F6924" s="16" t="s">
        <v>105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64</v>
      </c>
      <c r="C6925" s="9">
        <v>46266</v>
      </c>
      <c r="D6925">
        <v>53</v>
      </c>
      <c r="E6925" s="16" t="s">
        <v>145</v>
      </c>
      <c r="F6925" s="16" t="s">
        <v>105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64</v>
      </c>
      <c r="C6926" s="9">
        <v>45689</v>
      </c>
      <c r="D6926">
        <v>54</v>
      </c>
      <c r="E6926" s="16" t="s">
        <v>146</v>
      </c>
      <c r="F6926" s="16" t="s">
        <v>105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64</v>
      </c>
      <c r="C6927" s="9">
        <v>45717</v>
      </c>
      <c r="D6927">
        <v>54</v>
      </c>
      <c r="E6927" s="16" t="s">
        <v>146</v>
      </c>
      <c r="F6927" s="16" t="s">
        <v>105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64</v>
      </c>
      <c r="C6928" s="9">
        <v>45748</v>
      </c>
      <c r="D6928">
        <v>54</v>
      </c>
      <c r="E6928" s="16" t="s">
        <v>146</v>
      </c>
      <c r="F6928" s="16" t="s">
        <v>105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64</v>
      </c>
      <c r="C6929" s="9">
        <v>45778</v>
      </c>
      <c r="D6929">
        <v>54</v>
      </c>
      <c r="E6929" s="16" t="s">
        <v>146</v>
      </c>
      <c r="F6929" s="16" t="s">
        <v>105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64</v>
      </c>
      <c r="C6930" s="9">
        <v>45809</v>
      </c>
      <c r="D6930">
        <v>54</v>
      </c>
      <c r="E6930" s="16" t="s">
        <v>146</v>
      </c>
      <c r="F6930" s="16" t="s">
        <v>105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64</v>
      </c>
      <c r="C6931" s="9">
        <v>45839</v>
      </c>
      <c r="D6931">
        <v>54</v>
      </c>
      <c r="E6931" s="16" t="s">
        <v>146</v>
      </c>
      <c r="F6931" s="16" t="s">
        <v>105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64</v>
      </c>
      <c r="C6932" s="9">
        <v>45870</v>
      </c>
      <c r="D6932">
        <v>54</v>
      </c>
      <c r="E6932" s="16" t="s">
        <v>146</v>
      </c>
      <c r="F6932" s="16" t="s">
        <v>105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64</v>
      </c>
      <c r="C6933" s="9">
        <v>45901</v>
      </c>
      <c r="D6933">
        <v>54</v>
      </c>
      <c r="E6933" s="16" t="s">
        <v>146</v>
      </c>
      <c r="F6933" s="16" t="s">
        <v>105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64</v>
      </c>
      <c r="C6934" s="9">
        <v>45931</v>
      </c>
      <c r="D6934">
        <v>54</v>
      </c>
      <c r="E6934" s="16" t="s">
        <v>146</v>
      </c>
      <c r="F6934" s="16" t="s">
        <v>105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64</v>
      </c>
      <c r="C6935" s="9">
        <v>45962</v>
      </c>
      <c r="D6935">
        <v>54</v>
      </c>
      <c r="E6935" s="16" t="s">
        <v>146</v>
      </c>
      <c r="F6935" s="16" t="s">
        <v>105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64</v>
      </c>
      <c r="C6936" s="9">
        <v>45992</v>
      </c>
      <c r="D6936">
        <v>54</v>
      </c>
      <c r="E6936" s="16" t="s">
        <v>146</v>
      </c>
      <c r="F6936" s="16" t="s">
        <v>105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64</v>
      </c>
      <c r="C6937" s="9">
        <v>46023</v>
      </c>
      <c r="D6937">
        <v>54</v>
      </c>
      <c r="E6937" s="16" t="s">
        <v>146</v>
      </c>
      <c r="F6937" s="16" t="s">
        <v>105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64</v>
      </c>
      <c r="C6938" s="9">
        <v>46054</v>
      </c>
      <c r="D6938">
        <v>54</v>
      </c>
      <c r="E6938" s="16" t="s">
        <v>146</v>
      </c>
      <c r="F6938" s="16" t="s">
        <v>105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64</v>
      </c>
      <c r="C6939" s="9">
        <v>46082</v>
      </c>
      <c r="D6939">
        <v>54</v>
      </c>
      <c r="E6939" s="16" t="s">
        <v>146</v>
      </c>
      <c r="F6939" s="16" t="s">
        <v>105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64</v>
      </c>
      <c r="C6940" s="9">
        <v>46113</v>
      </c>
      <c r="D6940">
        <v>54</v>
      </c>
      <c r="E6940" s="16" t="s">
        <v>146</v>
      </c>
      <c r="F6940" s="16" t="s">
        <v>105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64</v>
      </c>
      <c r="C6941" s="9">
        <v>46143</v>
      </c>
      <c r="D6941">
        <v>54</v>
      </c>
      <c r="E6941" s="16" t="s">
        <v>146</v>
      </c>
      <c r="F6941" s="16" t="s">
        <v>105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64</v>
      </c>
      <c r="C6942" s="9">
        <v>46174</v>
      </c>
      <c r="D6942">
        <v>54</v>
      </c>
      <c r="E6942" s="16" t="s">
        <v>146</v>
      </c>
      <c r="F6942" s="16" t="s">
        <v>105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64</v>
      </c>
      <c r="C6943" s="9">
        <v>46204</v>
      </c>
      <c r="D6943">
        <v>54</v>
      </c>
      <c r="E6943" s="16" t="s">
        <v>146</v>
      </c>
      <c r="F6943" s="16" t="s">
        <v>105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64</v>
      </c>
      <c r="C6944" s="9">
        <v>46235</v>
      </c>
      <c r="D6944">
        <v>54</v>
      </c>
      <c r="E6944" s="16" t="s">
        <v>146</v>
      </c>
      <c r="F6944" s="16" t="s">
        <v>105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64</v>
      </c>
      <c r="C6945" s="9">
        <v>46266</v>
      </c>
      <c r="D6945">
        <v>54</v>
      </c>
      <c r="E6945" s="16" t="s">
        <v>146</v>
      </c>
      <c r="F6945" s="16" t="s">
        <v>105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64</v>
      </c>
      <c r="C6946" s="9">
        <v>45689</v>
      </c>
      <c r="D6946">
        <v>55</v>
      </c>
      <c r="E6946" s="16" t="s">
        <v>147</v>
      </c>
      <c r="F6946" s="16" t="s">
        <v>85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64</v>
      </c>
      <c r="C6947" s="9">
        <v>45717</v>
      </c>
      <c r="D6947">
        <v>55</v>
      </c>
      <c r="E6947" s="16" t="s">
        <v>147</v>
      </c>
      <c r="F6947" s="16" t="s">
        <v>85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64</v>
      </c>
      <c r="C6948" s="9">
        <v>45748</v>
      </c>
      <c r="D6948">
        <v>55</v>
      </c>
      <c r="E6948" s="16" t="s">
        <v>147</v>
      </c>
      <c r="F6948" s="16" t="s">
        <v>85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64</v>
      </c>
      <c r="C6949" s="9">
        <v>45778</v>
      </c>
      <c r="D6949">
        <v>55</v>
      </c>
      <c r="E6949" s="16" t="s">
        <v>147</v>
      </c>
      <c r="F6949" s="16" t="s">
        <v>85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64</v>
      </c>
      <c r="C6950" s="9">
        <v>45809</v>
      </c>
      <c r="D6950">
        <v>55</v>
      </c>
      <c r="E6950" s="16" t="s">
        <v>147</v>
      </c>
      <c r="F6950" s="16" t="s">
        <v>85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64</v>
      </c>
      <c r="C6951" s="9">
        <v>45839</v>
      </c>
      <c r="D6951">
        <v>55</v>
      </c>
      <c r="E6951" s="16" t="s">
        <v>147</v>
      </c>
      <c r="F6951" s="16" t="s">
        <v>85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64</v>
      </c>
      <c r="C6952" s="9">
        <v>45870</v>
      </c>
      <c r="D6952">
        <v>55</v>
      </c>
      <c r="E6952" s="16" t="s">
        <v>147</v>
      </c>
      <c r="F6952" s="16" t="s">
        <v>85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64</v>
      </c>
      <c r="C6953" s="9">
        <v>45901</v>
      </c>
      <c r="D6953">
        <v>55</v>
      </c>
      <c r="E6953" s="16" t="s">
        <v>147</v>
      </c>
      <c r="F6953" s="16" t="s">
        <v>85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64</v>
      </c>
      <c r="C6954" s="9">
        <v>45931</v>
      </c>
      <c r="D6954">
        <v>55</v>
      </c>
      <c r="E6954" s="16" t="s">
        <v>147</v>
      </c>
      <c r="F6954" s="16" t="s">
        <v>85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64</v>
      </c>
      <c r="C6955" s="9">
        <v>45962</v>
      </c>
      <c r="D6955">
        <v>55</v>
      </c>
      <c r="E6955" s="16" t="s">
        <v>147</v>
      </c>
      <c r="F6955" s="16" t="s">
        <v>85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64</v>
      </c>
      <c r="C6956" s="9">
        <v>45992</v>
      </c>
      <c r="D6956">
        <v>55</v>
      </c>
      <c r="E6956" s="16" t="s">
        <v>147</v>
      </c>
      <c r="F6956" s="16" t="s">
        <v>85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64</v>
      </c>
      <c r="C6957" s="9">
        <v>46023</v>
      </c>
      <c r="D6957">
        <v>55</v>
      </c>
      <c r="E6957" s="16" t="s">
        <v>147</v>
      </c>
      <c r="F6957" s="16" t="s">
        <v>85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64</v>
      </c>
      <c r="C6958" s="9">
        <v>46054</v>
      </c>
      <c r="D6958">
        <v>55</v>
      </c>
      <c r="E6958" s="16" t="s">
        <v>147</v>
      </c>
      <c r="F6958" s="16" t="s">
        <v>85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64</v>
      </c>
      <c r="C6959" s="9">
        <v>46082</v>
      </c>
      <c r="D6959">
        <v>55</v>
      </c>
      <c r="E6959" s="16" t="s">
        <v>147</v>
      </c>
      <c r="F6959" s="16" t="s">
        <v>85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64</v>
      </c>
      <c r="C6960" s="9">
        <v>46113</v>
      </c>
      <c r="D6960">
        <v>55</v>
      </c>
      <c r="E6960" s="16" t="s">
        <v>147</v>
      </c>
      <c r="F6960" s="16" t="s">
        <v>85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64</v>
      </c>
      <c r="C6961" s="9">
        <v>46143</v>
      </c>
      <c r="D6961">
        <v>55</v>
      </c>
      <c r="E6961" s="16" t="s">
        <v>147</v>
      </c>
      <c r="F6961" s="16" t="s">
        <v>85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64</v>
      </c>
      <c r="C6962" s="9">
        <v>46174</v>
      </c>
      <c r="D6962">
        <v>55</v>
      </c>
      <c r="E6962" s="16" t="s">
        <v>147</v>
      </c>
      <c r="F6962" s="16" t="s">
        <v>85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64</v>
      </c>
      <c r="C6963" s="9">
        <v>46204</v>
      </c>
      <c r="D6963">
        <v>55</v>
      </c>
      <c r="E6963" s="16" t="s">
        <v>147</v>
      </c>
      <c r="F6963" s="16" t="s">
        <v>85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64</v>
      </c>
      <c r="C6964" s="9">
        <v>46235</v>
      </c>
      <c r="D6964">
        <v>55</v>
      </c>
      <c r="E6964" s="16" t="s">
        <v>147</v>
      </c>
      <c r="F6964" s="16" t="s">
        <v>85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64</v>
      </c>
      <c r="C6965" s="9">
        <v>46266</v>
      </c>
      <c r="D6965">
        <v>55</v>
      </c>
      <c r="E6965" s="16" t="s">
        <v>147</v>
      </c>
      <c r="F6965" s="16" t="s">
        <v>85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64</v>
      </c>
      <c r="C6966" s="9">
        <v>45689</v>
      </c>
      <c r="D6966">
        <v>56</v>
      </c>
      <c r="E6966" s="16" t="s">
        <v>148</v>
      </c>
      <c r="F6966" s="16" t="s">
        <v>140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64</v>
      </c>
      <c r="C6967" s="9">
        <v>45717</v>
      </c>
      <c r="D6967">
        <v>56</v>
      </c>
      <c r="E6967" s="16" t="s">
        <v>148</v>
      </c>
      <c r="F6967" s="16" t="s">
        <v>140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64</v>
      </c>
      <c r="C6968" s="9">
        <v>45748</v>
      </c>
      <c r="D6968">
        <v>56</v>
      </c>
      <c r="E6968" s="16" t="s">
        <v>148</v>
      </c>
      <c r="F6968" s="16" t="s">
        <v>140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64</v>
      </c>
      <c r="C6969" s="9">
        <v>45778</v>
      </c>
      <c r="D6969">
        <v>56</v>
      </c>
      <c r="E6969" s="16" t="s">
        <v>148</v>
      </c>
      <c r="F6969" s="16" t="s">
        <v>140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64</v>
      </c>
      <c r="C6970" s="9">
        <v>45809</v>
      </c>
      <c r="D6970">
        <v>56</v>
      </c>
      <c r="E6970" s="16" t="s">
        <v>148</v>
      </c>
      <c r="F6970" s="16" t="s">
        <v>140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64</v>
      </c>
      <c r="C6971" s="9">
        <v>45839</v>
      </c>
      <c r="D6971">
        <v>56</v>
      </c>
      <c r="E6971" s="16" t="s">
        <v>148</v>
      </c>
      <c r="F6971" s="16" t="s">
        <v>140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64</v>
      </c>
      <c r="C6972" s="9">
        <v>45870</v>
      </c>
      <c r="D6972">
        <v>56</v>
      </c>
      <c r="E6972" s="16" t="s">
        <v>148</v>
      </c>
      <c r="F6972" s="16" t="s">
        <v>140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64</v>
      </c>
      <c r="C6973" s="9">
        <v>45901</v>
      </c>
      <c r="D6973">
        <v>56</v>
      </c>
      <c r="E6973" s="16" t="s">
        <v>148</v>
      </c>
      <c r="F6973" s="16" t="s">
        <v>140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64</v>
      </c>
      <c r="C6974" s="9">
        <v>45931</v>
      </c>
      <c r="D6974">
        <v>56</v>
      </c>
      <c r="E6974" s="16" t="s">
        <v>148</v>
      </c>
      <c r="F6974" s="16" t="s">
        <v>140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64</v>
      </c>
      <c r="C6975" s="9">
        <v>45962</v>
      </c>
      <c r="D6975">
        <v>56</v>
      </c>
      <c r="E6975" s="16" t="s">
        <v>148</v>
      </c>
      <c r="F6975" s="16" t="s">
        <v>140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64</v>
      </c>
      <c r="C6976" s="9">
        <v>45992</v>
      </c>
      <c r="D6976">
        <v>56</v>
      </c>
      <c r="E6976" s="16" t="s">
        <v>148</v>
      </c>
      <c r="F6976" s="16" t="s">
        <v>140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64</v>
      </c>
      <c r="C6977" s="9">
        <v>46023</v>
      </c>
      <c r="D6977">
        <v>56</v>
      </c>
      <c r="E6977" s="16" t="s">
        <v>148</v>
      </c>
      <c r="F6977" s="16" t="s">
        <v>140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64</v>
      </c>
      <c r="C6978" s="9">
        <v>46054</v>
      </c>
      <c r="D6978">
        <v>56</v>
      </c>
      <c r="E6978" s="16" t="s">
        <v>148</v>
      </c>
      <c r="F6978" s="16" t="s">
        <v>140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64</v>
      </c>
      <c r="C6979" s="9">
        <v>46082</v>
      </c>
      <c r="D6979">
        <v>56</v>
      </c>
      <c r="E6979" s="16" t="s">
        <v>148</v>
      </c>
      <c r="F6979" s="16" t="s">
        <v>140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64</v>
      </c>
      <c r="C6980" s="9">
        <v>46113</v>
      </c>
      <c r="D6980">
        <v>56</v>
      </c>
      <c r="E6980" s="16" t="s">
        <v>148</v>
      </c>
      <c r="F6980" s="16" t="s">
        <v>140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64</v>
      </c>
      <c r="C6981" s="9">
        <v>46143</v>
      </c>
      <c r="D6981">
        <v>56</v>
      </c>
      <c r="E6981" s="16" t="s">
        <v>148</v>
      </c>
      <c r="F6981" s="16" t="s">
        <v>140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64</v>
      </c>
      <c r="C6982" s="9">
        <v>46174</v>
      </c>
      <c r="D6982">
        <v>56</v>
      </c>
      <c r="E6982" s="16" t="s">
        <v>148</v>
      </c>
      <c r="F6982" s="16" t="s">
        <v>140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64</v>
      </c>
      <c r="C6983" s="9">
        <v>46204</v>
      </c>
      <c r="D6983">
        <v>56</v>
      </c>
      <c r="E6983" s="16" t="s">
        <v>148</v>
      </c>
      <c r="F6983" s="16" t="s">
        <v>140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64</v>
      </c>
      <c r="C6984" s="9">
        <v>46235</v>
      </c>
      <c r="D6984">
        <v>56</v>
      </c>
      <c r="E6984" s="16" t="s">
        <v>148</v>
      </c>
      <c r="F6984" s="16" t="s">
        <v>140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64</v>
      </c>
      <c r="C6985" s="9">
        <v>46266</v>
      </c>
      <c r="D6985">
        <v>56</v>
      </c>
      <c r="E6985" s="16" t="s">
        <v>148</v>
      </c>
      <c r="F6985" s="16" t="s">
        <v>140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65</v>
      </c>
      <c r="C6986" s="9">
        <v>45689</v>
      </c>
      <c r="D6986">
        <v>1</v>
      </c>
      <c r="E6986" s="16" t="s">
        <v>82</v>
      </c>
      <c r="F6986" s="16" t="s">
        <v>83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65</v>
      </c>
      <c r="C6987" s="9">
        <v>45717</v>
      </c>
      <c r="D6987">
        <v>1</v>
      </c>
      <c r="E6987" s="16" t="s">
        <v>82</v>
      </c>
      <c r="F6987" s="16" t="s">
        <v>83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65</v>
      </c>
      <c r="C6988" s="9">
        <v>45748</v>
      </c>
      <c r="D6988">
        <v>1</v>
      </c>
      <c r="E6988" s="16" t="s">
        <v>82</v>
      </c>
      <c r="F6988" s="16" t="s">
        <v>83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65</v>
      </c>
      <c r="C6989" s="9">
        <v>45778</v>
      </c>
      <c r="D6989">
        <v>1</v>
      </c>
      <c r="E6989" s="16" t="s">
        <v>82</v>
      </c>
      <c r="F6989" s="16" t="s">
        <v>83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65</v>
      </c>
      <c r="C6990" s="9">
        <v>45809</v>
      </c>
      <c r="D6990">
        <v>1</v>
      </c>
      <c r="E6990" s="16" t="s">
        <v>82</v>
      </c>
      <c r="F6990" s="16" t="s">
        <v>83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65</v>
      </c>
      <c r="C6991" s="9">
        <v>45839</v>
      </c>
      <c r="D6991">
        <v>1</v>
      </c>
      <c r="E6991" s="16" t="s">
        <v>82</v>
      </c>
      <c r="F6991" s="16" t="s">
        <v>83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65</v>
      </c>
      <c r="C6992" s="9">
        <v>45870</v>
      </c>
      <c r="D6992">
        <v>1</v>
      </c>
      <c r="E6992" s="16" t="s">
        <v>82</v>
      </c>
      <c r="F6992" s="16" t="s">
        <v>83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65</v>
      </c>
      <c r="C6993" s="9">
        <v>45901</v>
      </c>
      <c r="D6993">
        <v>1</v>
      </c>
      <c r="E6993" s="16" t="s">
        <v>82</v>
      </c>
      <c r="F6993" s="16" t="s">
        <v>83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65</v>
      </c>
      <c r="C6994" s="9">
        <v>45931</v>
      </c>
      <c r="D6994">
        <v>1</v>
      </c>
      <c r="E6994" s="16" t="s">
        <v>82</v>
      </c>
      <c r="F6994" s="16" t="s">
        <v>83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65</v>
      </c>
      <c r="C6995" s="9">
        <v>45962</v>
      </c>
      <c r="D6995">
        <v>1</v>
      </c>
      <c r="E6995" s="16" t="s">
        <v>82</v>
      </c>
      <c r="F6995" s="16" t="s">
        <v>83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65</v>
      </c>
      <c r="C6996" s="9">
        <v>45992</v>
      </c>
      <c r="D6996">
        <v>1</v>
      </c>
      <c r="E6996" s="16" t="s">
        <v>82</v>
      </c>
      <c r="F6996" s="16" t="s">
        <v>83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65</v>
      </c>
      <c r="C6997" s="9">
        <v>46023</v>
      </c>
      <c r="D6997">
        <v>1</v>
      </c>
      <c r="E6997" s="16" t="s">
        <v>82</v>
      </c>
      <c r="F6997" s="16" t="s">
        <v>83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65</v>
      </c>
      <c r="C6998" s="9">
        <v>46054</v>
      </c>
      <c r="D6998">
        <v>1</v>
      </c>
      <c r="E6998" s="16" t="s">
        <v>82</v>
      </c>
      <c r="F6998" s="16" t="s">
        <v>83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65</v>
      </c>
      <c r="C6999" s="9">
        <v>46082</v>
      </c>
      <c r="D6999">
        <v>1</v>
      </c>
      <c r="E6999" s="16" t="s">
        <v>82</v>
      </c>
      <c r="F6999" s="16" t="s">
        <v>83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65</v>
      </c>
      <c r="C7000" s="9">
        <v>46113</v>
      </c>
      <c r="D7000">
        <v>1</v>
      </c>
      <c r="E7000" s="16" t="s">
        <v>82</v>
      </c>
      <c r="F7000" s="16" t="s">
        <v>83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65</v>
      </c>
      <c r="C7001" s="9">
        <v>46143</v>
      </c>
      <c r="D7001">
        <v>1</v>
      </c>
      <c r="E7001" s="16" t="s">
        <v>82</v>
      </c>
      <c r="F7001" s="16" t="s">
        <v>83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65</v>
      </c>
      <c r="C7002" s="9">
        <v>46174</v>
      </c>
      <c r="D7002">
        <v>1</v>
      </c>
      <c r="E7002" s="16" t="s">
        <v>82</v>
      </c>
      <c r="F7002" s="16" t="s">
        <v>83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65</v>
      </c>
      <c r="C7003" s="9">
        <v>46204</v>
      </c>
      <c r="D7003">
        <v>1</v>
      </c>
      <c r="E7003" s="16" t="s">
        <v>82</v>
      </c>
      <c r="F7003" s="16" t="s">
        <v>83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65</v>
      </c>
      <c r="C7004" s="9">
        <v>46235</v>
      </c>
      <c r="D7004">
        <v>1</v>
      </c>
      <c r="E7004" s="16" t="s">
        <v>82</v>
      </c>
      <c r="F7004" s="16" t="s">
        <v>83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65</v>
      </c>
      <c r="C7005" s="9">
        <v>46266</v>
      </c>
      <c r="D7005">
        <v>1</v>
      </c>
      <c r="E7005" s="16" t="s">
        <v>82</v>
      </c>
      <c r="F7005" s="16" t="s">
        <v>83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65</v>
      </c>
      <c r="C7006" s="9">
        <v>45689</v>
      </c>
      <c r="D7006">
        <v>2</v>
      </c>
      <c r="E7006" s="16" t="s">
        <v>84</v>
      </c>
      <c r="F7006" s="16" t="s">
        <v>85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65</v>
      </c>
      <c r="C7007" s="9">
        <v>45717</v>
      </c>
      <c r="D7007">
        <v>2</v>
      </c>
      <c r="E7007" s="16" t="s">
        <v>84</v>
      </c>
      <c r="F7007" s="16" t="s">
        <v>85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65</v>
      </c>
      <c r="C7008" s="9">
        <v>45748</v>
      </c>
      <c r="D7008">
        <v>2</v>
      </c>
      <c r="E7008" s="16" t="s">
        <v>84</v>
      </c>
      <c r="F7008" s="16" t="s">
        <v>85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65</v>
      </c>
      <c r="C7009" s="9">
        <v>45778</v>
      </c>
      <c r="D7009">
        <v>2</v>
      </c>
      <c r="E7009" s="16" t="s">
        <v>84</v>
      </c>
      <c r="F7009" s="16" t="s">
        <v>85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65</v>
      </c>
      <c r="C7010" s="9">
        <v>45809</v>
      </c>
      <c r="D7010">
        <v>2</v>
      </c>
      <c r="E7010" s="16" t="s">
        <v>84</v>
      </c>
      <c r="F7010" s="16" t="s">
        <v>85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65</v>
      </c>
      <c r="C7011" s="9">
        <v>45839</v>
      </c>
      <c r="D7011">
        <v>2</v>
      </c>
      <c r="E7011" s="16" t="s">
        <v>84</v>
      </c>
      <c r="F7011" s="16" t="s">
        <v>85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65</v>
      </c>
      <c r="C7012" s="9">
        <v>45870</v>
      </c>
      <c r="D7012">
        <v>2</v>
      </c>
      <c r="E7012" s="16" t="s">
        <v>84</v>
      </c>
      <c r="F7012" s="16" t="s">
        <v>85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65</v>
      </c>
      <c r="C7013" s="9">
        <v>45901</v>
      </c>
      <c r="D7013">
        <v>2</v>
      </c>
      <c r="E7013" s="16" t="s">
        <v>84</v>
      </c>
      <c r="F7013" s="16" t="s">
        <v>85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65</v>
      </c>
      <c r="C7014" s="9">
        <v>45931</v>
      </c>
      <c r="D7014">
        <v>2</v>
      </c>
      <c r="E7014" s="16" t="s">
        <v>84</v>
      </c>
      <c r="F7014" s="16" t="s">
        <v>85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65</v>
      </c>
      <c r="C7015" s="9">
        <v>45962</v>
      </c>
      <c r="D7015">
        <v>2</v>
      </c>
      <c r="E7015" s="16" t="s">
        <v>84</v>
      </c>
      <c r="F7015" s="16" t="s">
        <v>85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65</v>
      </c>
      <c r="C7016" s="9">
        <v>45992</v>
      </c>
      <c r="D7016">
        <v>2</v>
      </c>
      <c r="E7016" s="16" t="s">
        <v>84</v>
      </c>
      <c r="F7016" s="16" t="s">
        <v>85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65</v>
      </c>
      <c r="C7017" s="9">
        <v>46023</v>
      </c>
      <c r="D7017">
        <v>2</v>
      </c>
      <c r="E7017" s="16" t="s">
        <v>84</v>
      </c>
      <c r="F7017" s="16" t="s">
        <v>85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65</v>
      </c>
      <c r="C7018" s="9">
        <v>46054</v>
      </c>
      <c r="D7018">
        <v>2</v>
      </c>
      <c r="E7018" s="16" t="s">
        <v>84</v>
      </c>
      <c r="F7018" s="16" t="s">
        <v>85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65</v>
      </c>
      <c r="C7019" s="9">
        <v>46082</v>
      </c>
      <c r="D7019">
        <v>2</v>
      </c>
      <c r="E7019" s="16" t="s">
        <v>84</v>
      </c>
      <c r="F7019" s="16" t="s">
        <v>85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65</v>
      </c>
      <c r="C7020" s="9">
        <v>46113</v>
      </c>
      <c r="D7020">
        <v>2</v>
      </c>
      <c r="E7020" s="16" t="s">
        <v>84</v>
      </c>
      <c r="F7020" s="16" t="s">
        <v>85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65</v>
      </c>
      <c r="C7021" s="9">
        <v>46143</v>
      </c>
      <c r="D7021">
        <v>2</v>
      </c>
      <c r="E7021" s="16" t="s">
        <v>84</v>
      </c>
      <c r="F7021" s="16" t="s">
        <v>85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65</v>
      </c>
      <c r="C7022" s="9">
        <v>46174</v>
      </c>
      <c r="D7022">
        <v>2</v>
      </c>
      <c r="E7022" s="16" t="s">
        <v>84</v>
      </c>
      <c r="F7022" s="16" t="s">
        <v>85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65</v>
      </c>
      <c r="C7023" s="9">
        <v>46204</v>
      </c>
      <c r="D7023">
        <v>2</v>
      </c>
      <c r="E7023" s="16" t="s">
        <v>84</v>
      </c>
      <c r="F7023" s="16" t="s">
        <v>85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65</v>
      </c>
      <c r="C7024" s="9">
        <v>46235</v>
      </c>
      <c r="D7024">
        <v>2</v>
      </c>
      <c r="E7024" s="16" t="s">
        <v>84</v>
      </c>
      <c r="F7024" s="16" t="s">
        <v>85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65</v>
      </c>
      <c r="C7025" s="9">
        <v>46266</v>
      </c>
      <c r="D7025">
        <v>2</v>
      </c>
      <c r="E7025" s="16" t="s">
        <v>84</v>
      </c>
      <c r="F7025" s="16" t="s">
        <v>85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65</v>
      </c>
      <c r="C7026" s="9">
        <v>45689</v>
      </c>
      <c r="D7026">
        <v>3</v>
      </c>
      <c r="E7026" s="16" t="s">
        <v>86</v>
      </c>
      <c r="F7026" s="16" t="s">
        <v>87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65</v>
      </c>
      <c r="C7027" s="9">
        <v>45717</v>
      </c>
      <c r="D7027">
        <v>3</v>
      </c>
      <c r="E7027" s="16" t="s">
        <v>86</v>
      </c>
      <c r="F7027" s="16" t="s">
        <v>87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65</v>
      </c>
      <c r="C7028" s="9">
        <v>45748</v>
      </c>
      <c r="D7028">
        <v>3</v>
      </c>
      <c r="E7028" s="16" t="s">
        <v>86</v>
      </c>
      <c r="F7028" s="16" t="s">
        <v>87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65</v>
      </c>
      <c r="C7029" s="9">
        <v>45778</v>
      </c>
      <c r="D7029">
        <v>3</v>
      </c>
      <c r="E7029" s="16" t="s">
        <v>86</v>
      </c>
      <c r="F7029" s="16" t="s">
        <v>87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65</v>
      </c>
      <c r="C7030" s="9">
        <v>45809</v>
      </c>
      <c r="D7030">
        <v>3</v>
      </c>
      <c r="E7030" s="16" t="s">
        <v>86</v>
      </c>
      <c r="F7030" s="16" t="s">
        <v>87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65</v>
      </c>
      <c r="C7031" s="9">
        <v>45839</v>
      </c>
      <c r="D7031">
        <v>3</v>
      </c>
      <c r="E7031" s="16" t="s">
        <v>86</v>
      </c>
      <c r="F7031" s="16" t="s">
        <v>87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65</v>
      </c>
      <c r="C7032" s="9">
        <v>45870</v>
      </c>
      <c r="D7032">
        <v>3</v>
      </c>
      <c r="E7032" s="16" t="s">
        <v>86</v>
      </c>
      <c r="F7032" s="16" t="s">
        <v>87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65</v>
      </c>
      <c r="C7033" s="9">
        <v>45901</v>
      </c>
      <c r="D7033">
        <v>3</v>
      </c>
      <c r="E7033" s="16" t="s">
        <v>86</v>
      </c>
      <c r="F7033" s="16" t="s">
        <v>87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65</v>
      </c>
      <c r="C7034" s="9">
        <v>45931</v>
      </c>
      <c r="D7034">
        <v>3</v>
      </c>
      <c r="E7034" s="16" t="s">
        <v>86</v>
      </c>
      <c r="F7034" s="16" t="s">
        <v>87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65</v>
      </c>
      <c r="C7035" s="9">
        <v>45962</v>
      </c>
      <c r="D7035">
        <v>3</v>
      </c>
      <c r="E7035" s="16" t="s">
        <v>86</v>
      </c>
      <c r="F7035" s="16" t="s">
        <v>87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65</v>
      </c>
      <c r="C7036" s="9">
        <v>45992</v>
      </c>
      <c r="D7036">
        <v>3</v>
      </c>
      <c r="E7036" s="16" t="s">
        <v>86</v>
      </c>
      <c r="F7036" s="16" t="s">
        <v>87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65</v>
      </c>
      <c r="C7037" s="9">
        <v>46023</v>
      </c>
      <c r="D7037">
        <v>3</v>
      </c>
      <c r="E7037" s="16" t="s">
        <v>86</v>
      </c>
      <c r="F7037" s="16" t="s">
        <v>87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65</v>
      </c>
      <c r="C7038" s="9">
        <v>46054</v>
      </c>
      <c r="D7038">
        <v>3</v>
      </c>
      <c r="E7038" s="16" t="s">
        <v>86</v>
      </c>
      <c r="F7038" s="16" t="s">
        <v>87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65</v>
      </c>
      <c r="C7039" s="9">
        <v>46082</v>
      </c>
      <c r="D7039">
        <v>3</v>
      </c>
      <c r="E7039" s="16" t="s">
        <v>86</v>
      </c>
      <c r="F7039" s="16" t="s">
        <v>87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65</v>
      </c>
      <c r="C7040" s="9">
        <v>46113</v>
      </c>
      <c r="D7040">
        <v>3</v>
      </c>
      <c r="E7040" s="16" t="s">
        <v>86</v>
      </c>
      <c r="F7040" s="16" t="s">
        <v>87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65</v>
      </c>
      <c r="C7041" s="9">
        <v>46143</v>
      </c>
      <c r="D7041">
        <v>3</v>
      </c>
      <c r="E7041" s="16" t="s">
        <v>86</v>
      </c>
      <c r="F7041" s="16" t="s">
        <v>87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65</v>
      </c>
      <c r="C7042" s="9">
        <v>46174</v>
      </c>
      <c r="D7042">
        <v>3</v>
      </c>
      <c r="E7042" s="16" t="s">
        <v>86</v>
      </c>
      <c r="F7042" s="16" t="s">
        <v>87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65</v>
      </c>
      <c r="C7043" s="9">
        <v>46204</v>
      </c>
      <c r="D7043">
        <v>3</v>
      </c>
      <c r="E7043" s="16" t="s">
        <v>86</v>
      </c>
      <c r="F7043" s="16" t="s">
        <v>87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65</v>
      </c>
      <c r="C7044" s="9">
        <v>46235</v>
      </c>
      <c r="D7044">
        <v>3</v>
      </c>
      <c r="E7044" s="16" t="s">
        <v>86</v>
      </c>
      <c r="F7044" s="16" t="s">
        <v>87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65</v>
      </c>
      <c r="C7045" s="9">
        <v>46266</v>
      </c>
      <c r="D7045">
        <v>3</v>
      </c>
      <c r="E7045" s="16" t="s">
        <v>86</v>
      </c>
      <c r="F7045" s="16" t="s">
        <v>87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65</v>
      </c>
      <c r="C7046" s="9">
        <v>45689</v>
      </c>
      <c r="D7046">
        <v>4</v>
      </c>
      <c r="E7046" s="16" t="s">
        <v>88</v>
      </c>
      <c r="F7046" s="16" t="s">
        <v>89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65</v>
      </c>
      <c r="C7047" s="9">
        <v>45717</v>
      </c>
      <c r="D7047">
        <v>4</v>
      </c>
      <c r="E7047" s="16" t="s">
        <v>88</v>
      </c>
      <c r="F7047" s="16" t="s">
        <v>89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65</v>
      </c>
      <c r="C7048" s="9">
        <v>45748</v>
      </c>
      <c r="D7048">
        <v>4</v>
      </c>
      <c r="E7048" s="16" t="s">
        <v>88</v>
      </c>
      <c r="F7048" s="16" t="s">
        <v>89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65</v>
      </c>
      <c r="C7049" s="9">
        <v>45778</v>
      </c>
      <c r="D7049">
        <v>4</v>
      </c>
      <c r="E7049" s="16" t="s">
        <v>88</v>
      </c>
      <c r="F7049" s="16" t="s">
        <v>89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65</v>
      </c>
      <c r="C7050" s="9">
        <v>45809</v>
      </c>
      <c r="D7050">
        <v>4</v>
      </c>
      <c r="E7050" s="16" t="s">
        <v>88</v>
      </c>
      <c r="F7050" s="16" t="s">
        <v>89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65</v>
      </c>
      <c r="C7051" s="9">
        <v>45839</v>
      </c>
      <c r="D7051">
        <v>4</v>
      </c>
      <c r="E7051" s="16" t="s">
        <v>88</v>
      </c>
      <c r="F7051" s="16" t="s">
        <v>89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65</v>
      </c>
      <c r="C7052" s="9">
        <v>45870</v>
      </c>
      <c r="D7052">
        <v>4</v>
      </c>
      <c r="E7052" s="16" t="s">
        <v>88</v>
      </c>
      <c r="F7052" s="16" t="s">
        <v>89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65</v>
      </c>
      <c r="C7053" s="9">
        <v>45901</v>
      </c>
      <c r="D7053">
        <v>4</v>
      </c>
      <c r="E7053" s="16" t="s">
        <v>88</v>
      </c>
      <c r="F7053" s="16" t="s">
        <v>89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65</v>
      </c>
      <c r="C7054" s="9">
        <v>45931</v>
      </c>
      <c r="D7054">
        <v>4</v>
      </c>
      <c r="E7054" s="16" t="s">
        <v>88</v>
      </c>
      <c r="F7054" s="16" t="s">
        <v>89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65</v>
      </c>
      <c r="C7055" s="9">
        <v>45962</v>
      </c>
      <c r="D7055">
        <v>4</v>
      </c>
      <c r="E7055" s="16" t="s">
        <v>88</v>
      </c>
      <c r="F7055" s="16" t="s">
        <v>89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65</v>
      </c>
      <c r="C7056" s="9">
        <v>45992</v>
      </c>
      <c r="D7056">
        <v>4</v>
      </c>
      <c r="E7056" s="16" t="s">
        <v>88</v>
      </c>
      <c r="F7056" s="16" t="s">
        <v>89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65</v>
      </c>
      <c r="C7057" s="9">
        <v>46023</v>
      </c>
      <c r="D7057">
        <v>4</v>
      </c>
      <c r="E7057" s="16" t="s">
        <v>88</v>
      </c>
      <c r="F7057" s="16" t="s">
        <v>89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65</v>
      </c>
      <c r="C7058" s="9">
        <v>46054</v>
      </c>
      <c r="D7058">
        <v>4</v>
      </c>
      <c r="E7058" s="16" t="s">
        <v>88</v>
      </c>
      <c r="F7058" s="16" t="s">
        <v>89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65</v>
      </c>
      <c r="C7059" s="9">
        <v>46082</v>
      </c>
      <c r="D7059">
        <v>4</v>
      </c>
      <c r="E7059" s="16" t="s">
        <v>88</v>
      </c>
      <c r="F7059" s="16" t="s">
        <v>89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65</v>
      </c>
      <c r="C7060" s="9">
        <v>46113</v>
      </c>
      <c r="D7060">
        <v>4</v>
      </c>
      <c r="E7060" s="16" t="s">
        <v>88</v>
      </c>
      <c r="F7060" s="16" t="s">
        <v>89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65</v>
      </c>
      <c r="C7061" s="9">
        <v>46143</v>
      </c>
      <c r="D7061">
        <v>4</v>
      </c>
      <c r="E7061" s="16" t="s">
        <v>88</v>
      </c>
      <c r="F7061" s="16" t="s">
        <v>89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65</v>
      </c>
      <c r="C7062" s="9">
        <v>46174</v>
      </c>
      <c r="D7062">
        <v>4</v>
      </c>
      <c r="E7062" s="16" t="s">
        <v>88</v>
      </c>
      <c r="F7062" s="16" t="s">
        <v>89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65</v>
      </c>
      <c r="C7063" s="9">
        <v>46204</v>
      </c>
      <c r="D7063">
        <v>4</v>
      </c>
      <c r="E7063" s="16" t="s">
        <v>88</v>
      </c>
      <c r="F7063" s="16" t="s">
        <v>89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65</v>
      </c>
      <c r="C7064" s="9">
        <v>46235</v>
      </c>
      <c r="D7064">
        <v>4</v>
      </c>
      <c r="E7064" s="16" t="s">
        <v>88</v>
      </c>
      <c r="F7064" s="16" t="s">
        <v>89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65</v>
      </c>
      <c r="C7065" s="9">
        <v>46266</v>
      </c>
      <c r="D7065">
        <v>4</v>
      </c>
      <c r="E7065" s="16" t="s">
        <v>88</v>
      </c>
      <c r="F7065" s="16" t="s">
        <v>89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65</v>
      </c>
      <c r="C7066" s="9">
        <v>45689</v>
      </c>
      <c r="D7066">
        <v>5</v>
      </c>
      <c r="E7066" s="16" t="s">
        <v>90</v>
      </c>
      <c r="F7066" s="16" t="s">
        <v>85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65</v>
      </c>
      <c r="C7067" s="9">
        <v>45717</v>
      </c>
      <c r="D7067">
        <v>5</v>
      </c>
      <c r="E7067" s="16" t="s">
        <v>90</v>
      </c>
      <c r="F7067" s="16" t="s">
        <v>85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65</v>
      </c>
      <c r="C7068" s="9">
        <v>45748</v>
      </c>
      <c r="D7068">
        <v>5</v>
      </c>
      <c r="E7068" s="16" t="s">
        <v>90</v>
      </c>
      <c r="F7068" s="16" t="s">
        <v>85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65</v>
      </c>
      <c r="C7069" s="9">
        <v>45778</v>
      </c>
      <c r="D7069">
        <v>5</v>
      </c>
      <c r="E7069" s="16" t="s">
        <v>90</v>
      </c>
      <c r="F7069" s="16" t="s">
        <v>85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65</v>
      </c>
      <c r="C7070" s="9">
        <v>45809</v>
      </c>
      <c r="D7070">
        <v>5</v>
      </c>
      <c r="E7070" s="16" t="s">
        <v>90</v>
      </c>
      <c r="F7070" s="16" t="s">
        <v>85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65</v>
      </c>
      <c r="C7071" s="9">
        <v>45839</v>
      </c>
      <c r="D7071">
        <v>5</v>
      </c>
      <c r="E7071" s="16" t="s">
        <v>90</v>
      </c>
      <c r="F7071" s="16" t="s">
        <v>85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65</v>
      </c>
      <c r="C7072" s="9">
        <v>45870</v>
      </c>
      <c r="D7072">
        <v>5</v>
      </c>
      <c r="E7072" s="16" t="s">
        <v>90</v>
      </c>
      <c r="F7072" s="16" t="s">
        <v>85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65</v>
      </c>
      <c r="C7073" s="9">
        <v>45901</v>
      </c>
      <c r="D7073">
        <v>5</v>
      </c>
      <c r="E7073" s="16" t="s">
        <v>90</v>
      </c>
      <c r="F7073" s="16" t="s">
        <v>85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65</v>
      </c>
      <c r="C7074" s="9">
        <v>45931</v>
      </c>
      <c r="D7074">
        <v>5</v>
      </c>
      <c r="E7074" s="16" t="s">
        <v>90</v>
      </c>
      <c r="F7074" s="16" t="s">
        <v>85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65</v>
      </c>
      <c r="C7075" s="9">
        <v>45962</v>
      </c>
      <c r="D7075">
        <v>5</v>
      </c>
      <c r="E7075" s="16" t="s">
        <v>90</v>
      </c>
      <c r="F7075" s="16" t="s">
        <v>85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65</v>
      </c>
      <c r="C7076" s="9">
        <v>45992</v>
      </c>
      <c r="D7076">
        <v>5</v>
      </c>
      <c r="E7076" s="16" t="s">
        <v>90</v>
      </c>
      <c r="F7076" s="16" t="s">
        <v>85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65</v>
      </c>
      <c r="C7077" s="9">
        <v>46023</v>
      </c>
      <c r="D7077">
        <v>5</v>
      </c>
      <c r="E7077" s="16" t="s">
        <v>90</v>
      </c>
      <c r="F7077" s="16" t="s">
        <v>85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65</v>
      </c>
      <c r="C7078" s="9">
        <v>46054</v>
      </c>
      <c r="D7078">
        <v>5</v>
      </c>
      <c r="E7078" s="16" t="s">
        <v>90</v>
      </c>
      <c r="F7078" s="16" t="s">
        <v>85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65</v>
      </c>
      <c r="C7079" s="9">
        <v>46082</v>
      </c>
      <c r="D7079">
        <v>5</v>
      </c>
      <c r="E7079" s="16" t="s">
        <v>90</v>
      </c>
      <c r="F7079" s="16" t="s">
        <v>85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65</v>
      </c>
      <c r="C7080" s="9">
        <v>46113</v>
      </c>
      <c r="D7080">
        <v>5</v>
      </c>
      <c r="E7080" s="16" t="s">
        <v>90</v>
      </c>
      <c r="F7080" s="16" t="s">
        <v>85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65</v>
      </c>
      <c r="C7081" s="9">
        <v>46143</v>
      </c>
      <c r="D7081">
        <v>5</v>
      </c>
      <c r="E7081" s="16" t="s">
        <v>90</v>
      </c>
      <c r="F7081" s="16" t="s">
        <v>85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65</v>
      </c>
      <c r="C7082" s="9">
        <v>46174</v>
      </c>
      <c r="D7082">
        <v>5</v>
      </c>
      <c r="E7082" s="16" t="s">
        <v>90</v>
      </c>
      <c r="F7082" s="16" t="s">
        <v>85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65</v>
      </c>
      <c r="C7083" s="9">
        <v>46204</v>
      </c>
      <c r="D7083">
        <v>5</v>
      </c>
      <c r="E7083" s="16" t="s">
        <v>90</v>
      </c>
      <c r="F7083" s="16" t="s">
        <v>85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65</v>
      </c>
      <c r="C7084" s="9">
        <v>46235</v>
      </c>
      <c r="D7084">
        <v>5</v>
      </c>
      <c r="E7084" s="16" t="s">
        <v>90</v>
      </c>
      <c r="F7084" s="16" t="s">
        <v>85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65</v>
      </c>
      <c r="C7085" s="9">
        <v>46266</v>
      </c>
      <c r="D7085">
        <v>5</v>
      </c>
      <c r="E7085" s="16" t="s">
        <v>90</v>
      </c>
      <c r="F7085" s="16" t="s">
        <v>85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65</v>
      </c>
      <c r="C7086" s="9">
        <v>45689</v>
      </c>
      <c r="D7086">
        <v>6</v>
      </c>
      <c r="E7086" s="16" t="s">
        <v>91</v>
      </c>
      <c r="F7086" s="16" t="s">
        <v>92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65</v>
      </c>
      <c r="C7087" s="9">
        <v>45717</v>
      </c>
      <c r="D7087">
        <v>6</v>
      </c>
      <c r="E7087" s="16" t="s">
        <v>91</v>
      </c>
      <c r="F7087" s="16" t="s">
        <v>92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65</v>
      </c>
      <c r="C7088" s="9">
        <v>45748</v>
      </c>
      <c r="D7088">
        <v>6</v>
      </c>
      <c r="E7088" s="16" t="s">
        <v>91</v>
      </c>
      <c r="F7088" s="16" t="s">
        <v>92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65</v>
      </c>
      <c r="C7089" s="9">
        <v>45778</v>
      </c>
      <c r="D7089">
        <v>6</v>
      </c>
      <c r="E7089" s="16" t="s">
        <v>91</v>
      </c>
      <c r="F7089" s="16" t="s">
        <v>92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65</v>
      </c>
      <c r="C7090" s="9">
        <v>45809</v>
      </c>
      <c r="D7090">
        <v>6</v>
      </c>
      <c r="E7090" s="16" t="s">
        <v>91</v>
      </c>
      <c r="F7090" s="16" t="s">
        <v>92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65</v>
      </c>
      <c r="C7091" s="9">
        <v>45839</v>
      </c>
      <c r="D7091">
        <v>6</v>
      </c>
      <c r="E7091" s="16" t="s">
        <v>91</v>
      </c>
      <c r="F7091" s="16" t="s">
        <v>92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65</v>
      </c>
      <c r="C7092" s="9">
        <v>45870</v>
      </c>
      <c r="D7092">
        <v>6</v>
      </c>
      <c r="E7092" s="16" t="s">
        <v>91</v>
      </c>
      <c r="F7092" s="16" t="s">
        <v>92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65</v>
      </c>
      <c r="C7093" s="9">
        <v>45901</v>
      </c>
      <c r="D7093">
        <v>6</v>
      </c>
      <c r="E7093" s="16" t="s">
        <v>91</v>
      </c>
      <c r="F7093" s="16" t="s">
        <v>92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65</v>
      </c>
      <c r="C7094" s="9">
        <v>45931</v>
      </c>
      <c r="D7094">
        <v>6</v>
      </c>
      <c r="E7094" s="16" t="s">
        <v>91</v>
      </c>
      <c r="F7094" s="16" t="s">
        <v>92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65</v>
      </c>
      <c r="C7095" s="9">
        <v>45962</v>
      </c>
      <c r="D7095">
        <v>6</v>
      </c>
      <c r="E7095" s="16" t="s">
        <v>91</v>
      </c>
      <c r="F7095" s="16" t="s">
        <v>92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65</v>
      </c>
      <c r="C7096" s="9">
        <v>45992</v>
      </c>
      <c r="D7096">
        <v>6</v>
      </c>
      <c r="E7096" s="16" t="s">
        <v>91</v>
      </c>
      <c r="F7096" s="16" t="s">
        <v>92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65</v>
      </c>
      <c r="C7097" s="9">
        <v>46023</v>
      </c>
      <c r="D7097">
        <v>6</v>
      </c>
      <c r="E7097" s="16" t="s">
        <v>91</v>
      </c>
      <c r="F7097" s="16" t="s">
        <v>92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65</v>
      </c>
      <c r="C7098" s="9">
        <v>46054</v>
      </c>
      <c r="D7098">
        <v>6</v>
      </c>
      <c r="E7098" s="16" t="s">
        <v>91</v>
      </c>
      <c r="F7098" s="16" t="s">
        <v>92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65</v>
      </c>
      <c r="C7099" s="9">
        <v>46082</v>
      </c>
      <c r="D7099">
        <v>6</v>
      </c>
      <c r="E7099" s="16" t="s">
        <v>91</v>
      </c>
      <c r="F7099" s="16" t="s">
        <v>92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65</v>
      </c>
      <c r="C7100" s="9">
        <v>46113</v>
      </c>
      <c r="D7100">
        <v>6</v>
      </c>
      <c r="E7100" s="16" t="s">
        <v>91</v>
      </c>
      <c r="F7100" s="16" t="s">
        <v>92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65</v>
      </c>
      <c r="C7101" s="9">
        <v>46143</v>
      </c>
      <c r="D7101">
        <v>6</v>
      </c>
      <c r="E7101" s="16" t="s">
        <v>91</v>
      </c>
      <c r="F7101" s="16" t="s">
        <v>92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65</v>
      </c>
      <c r="C7102" s="9">
        <v>46174</v>
      </c>
      <c r="D7102">
        <v>6</v>
      </c>
      <c r="E7102" s="16" t="s">
        <v>91</v>
      </c>
      <c r="F7102" s="16" t="s">
        <v>92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65</v>
      </c>
      <c r="C7103" s="9">
        <v>46204</v>
      </c>
      <c r="D7103">
        <v>6</v>
      </c>
      <c r="E7103" s="16" t="s">
        <v>91</v>
      </c>
      <c r="F7103" s="16" t="s">
        <v>92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65</v>
      </c>
      <c r="C7104" s="9">
        <v>46235</v>
      </c>
      <c r="D7104">
        <v>6</v>
      </c>
      <c r="E7104" s="16" t="s">
        <v>91</v>
      </c>
      <c r="F7104" s="16" t="s">
        <v>92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65</v>
      </c>
      <c r="C7105" s="9">
        <v>46266</v>
      </c>
      <c r="D7105">
        <v>6</v>
      </c>
      <c r="E7105" s="16" t="s">
        <v>91</v>
      </c>
      <c r="F7105" s="16" t="s">
        <v>92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65</v>
      </c>
      <c r="C7106" s="9">
        <v>45689</v>
      </c>
      <c r="D7106">
        <v>7</v>
      </c>
      <c r="E7106" s="16" t="s">
        <v>93</v>
      </c>
      <c r="F7106" s="16" t="s">
        <v>94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65</v>
      </c>
      <c r="C7107" s="9">
        <v>45717</v>
      </c>
      <c r="D7107">
        <v>7</v>
      </c>
      <c r="E7107" s="16" t="s">
        <v>93</v>
      </c>
      <c r="F7107" s="16" t="s">
        <v>94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65</v>
      </c>
      <c r="C7108" s="9">
        <v>45748</v>
      </c>
      <c r="D7108">
        <v>7</v>
      </c>
      <c r="E7108" s="16" t="s">
        <v>93</v>
      </c>
      <c r="F7108" s="16" t="s">
        <v>94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65</v>
      </c>
      <c r="C7109" s="9">
        <v>45778</v>
      </c>
      <c r="D7109">
        <v>7</v>
      </c>
      <c r="E7109" s="16" t="s">
        <v>93</v>
      </c>
      <c r="F7109" s="16" t="s">
        <v>94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65</v>
      </c>
      <c r="C7110" s="9">
        <v>45809</v>
      </c>
      <c r="D7110">
        <v>7</v>
      </c>
      <c r="E7110" s="16" t="s">
        <v>93</v>
      </c>
      <c r="F7110" s="16" t="s">
        <v>94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65</v>
      </c>
      <c r="C7111" s="9">
        <v>45839</v>
      </c>
      <c r="D7111">
        <v>7</v>
      </c>
      <c r="E7111" s="16" t="s">
        <v>93</v>
      </c>
      <c r="F7111" s="16" t="s">
        <v>94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65</v>
      </c>
      <c r="C7112" s="9">
        <v>45870</v>
      </c>
      <c r="D7112">
        <v>7</v>
      </c>
      <c r="E7112" s="16" t="s">
        <v>93</v>
      </c>
      <c r="F7112" s="16" t="s">
        <v>94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65</v>
      </c>
      <c r="C7113" s="9">
        <v>45901</v>
      </c>
      <c r="D7113">
        <v>7</v>
      </c>
      <c r="E7113" s="16" t="s">
        <v>93</v>
      </c>
      <c r="F7113" s="16" t="s">
        <v>94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65</v>
      </c>
      <c r="C7114" s="9">
        <v>45931</v>
      </c>
      <c r="D7114">
        <v>7</v>
      </c>
      <c r="E7114" s="16" t="s">
        <v>93</v>
      </c>
      <c r="F7114" s="16" t="s">
        <v>94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65</v>
      </c>
      <c r="C7115" s="9">
        <v>45962</v>
      </c>
      <c r="D7115">
        <v>7</v>
      </c>
      <c r="E7115" s="16" t="s">
        <v>93</v>
      </c>
      <c r="F7115" s="16" t="s">
        <v>94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65</v>
      </c>
      <c r="C7116" s="9">
        <v>45992</v>
      </c>
      <c r="D7116">
        <v>7</v>
      </c>
      <c r="E7116" s="16" t="s">
        <v>93</v>
      </c>
      <c r="F7116" s="16" t="s">
        <v>94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65</v>
      </c>
      <c r="C7117" s="9">
        <v>46023</v>
      </c>
      <c r="D7117">
        <v>7</v>
      </c>
      <c r="E7117" s="16" t="s">
        <v>93</v>
      </c>
      <c r="F7117" s="16" t="s">
        <v>94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65</v>
      </c>
      <c r="C7118" s="9">
        <v>46054</v>
      </c>
      <c r="D7118">
        <v>7</v>
      </c>
      <c r="E7118" s="16" t="s">
        <v>93</v>
      </c>
      <c r="F7118" s="16" t="s">
        <v>94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65</v>
      </c>
      <c r="C7119" s="9">
        <v>46082</v>
      </c>
      <c r="D7119">
        <v>7</v>
      </c>
      <c r="E7119" s="16" t="s">
        <v>93</v>
      </c>
      <c r="F7119" s="16" t="s">
        <v>94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65</v>
      </c>
      <c r="C7120" s="9">
        <v>46113</v>
      </c>
      <c r="D7120">
        <v>7</v>
      </c>
      <c r="E7120" s="16" t="s">
        <v>93</v>
      </c>
      <c r="F7120" s="16" t="s">
        <v>94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65</v>
      </c>
      <c r="C7121" s="9">
        <v>46143</v>
      </c>
      <c r="D7121">
        <v>7</v>
      </c>
      <c r="E7121" s="16" t="s">
        <v>93</v>
      </c>
      <c r="F7121" s="16" t="s">
        <v>94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65</v>
      </c>
      <c r="C7122" s="9">
        <v>46174</v>
      </c>
      <c r="D7122">
        <v>7</v>
      </c>
      <c r="E7122" s="16" t="s">
        <v>93</v>
      </c>
      <c r="F7122" s="16" t="s">
        <v>94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65</v>
      </c>
      <c r="C7123" s="9">
        <v>46204</v>
      </c>
      <c r="D7123">
        <v>7</v>
      </c>
      <c r="E7123" s="16" t="s">
        <v>93</v>
      </c>
      <c r="F7123" s="16" t="s">
        <v>94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65</v>
      </c>
      <c r="C7124" s="9">
        <v>46235</v>
      </c>
      <c r="D7124">
        <v>7</v>
      </c>
      <c r="E7124" s="16" t="s">
        <v>93</v>
      </c>
      <c r="F7124" s="16" t="s">
        <v>94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65</v>
      </c>
      <c r="C7125" s="9">
        <v>46266</v>
      </c>
      <c r="D7125">
        <v>7</v>
      </c>
      <c r="E7125" s="16" t="s">
        <v>93</v>
      </c>
      <c r="F7125" s="16" t="s">
        <v>94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65</v>
      </c>
      <c r="C7126" s="9">
        <v>45689</v>
      </c>
      <c r="D7126">
        <v>8</v>
      </c>
      <c r="E7126" s="16" t="s">
        <v>95</v>
      </c>
      <c r="F7126" s="16" t="s">
        <v>85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65</v>
      </c>
      <c r="C7127" s="9">
        <v>45717</v>
      </c>
      <c r="D7127">
        <v>8</v>
      </c>
      <c r="E7127" s="16" t="s">
        <v>95</v>
      </c>
      <c r="F7127" s="16" t="s">
        <v>85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65</v>
      </c>
      <c r="C7128" s="9">
        <v>45748</v>
      </c>
      <c r="D7128">
        <v>8</v>
      </c>
      <c r="E7128" s="16" t="s">
        <v>95</v>
      </c>
      <c r="F7128" s="16" t="s">
        <v>85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65</v>
      </c>
      <c r="C7129" s="9">
        <v>45778</v>
      </c>
      <c r="D7129">
        <v>8</v>
      </c>
      <c r="E7129" s="16" t="s">
        <v>95</v>
      </c>
      <c r="F7129" s="16" t="s">
        <v>85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65</v>
      </c>
      <c r="C7130" s="9">
        <v>45809</v>
      </c>
      <c r="D7130">
        <v>8</v>
      </c>
      <c r="E7130" s="16" t="s">
        <v>95</v>
      </c>
      <c r="F7130" s="16" t="s">
        <v>85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65</v>
      </c>
      <c r="C7131" s="9">
        <v>45839</v>
      </c>
      <c r="D7131">
        <v>8</v>
      </c>
      <c r="E7131" s="16" t="s">
        <v>95</v>
      </c>
      <c r="F7131" s="16" t="s">
        <v>85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65</v>
      </c>
      <c r="C7132" s="9">
        <v>45870</v>
      </c>
      <c r="D7132">
        <v>8</v>
      </c>
      <c r="E7132" s="16" t="s">
        <v>95</v>
      </c>
      <c r="F7132" s="16" t="s">
        <v>85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65</v>
      </c>
      <c r="C7133" s="9">
        <v>45901</v>
      </c>
      <c r="D7133">
        <v>8</v>
      </c>
      <c r="E7133" s="16" t="s">
        <v>95</v>
      </c>
      <c r="F7133" s="16" t="s">
        <v>85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65</v>
      </c>
      <c r="C7134" s="9">
        <v>45931</v>
      </c>
      <c r="D7134">
        <v>8</v>
      </c>
      <c r="E7134" s="16" t="s">
        <v>95</v>
      </c>
      <c r="F7134" s="16" t="s">
        <v>85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65</v>
      </c>
      <c r="C7135" s="9">
        <v>45962</v>
      </c>
      <c r="D7135">
        <v>8</v>
      </c>
      <c r="E7135" s="16" t="s">
        <v>95</v>
      </c>
      <c r="F7135" s="16" t="s">
        <v>85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65</v>
      </c>
      <c r="C7136" s="9">
        <v>45992</v>
      </c>
      <c r="D7136">
        <v>8</v>
      </c>
      <c r="E7136" s="16" t="s">
        <v>95</v>
      </c>
      <c r="F7136" s="16" t="s">
        <v>85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65</v>
      </c>
      <c r="C7137" s="9">
        <v>46023</v>
      </c>
      <c r="D7137">
        <v>8</v>
      </c>
      <c r="E7137" s="16" t="s">
        <v>95</v>
      </c>
      <c r="F7137" s="16" t="s">
        <v>85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65</v>
      </c>
      <c r="C7138" s="9">
        <v>46054</v>
      </c>
      <c r="D7138">
        <v>8</v>
      </c>
      <c r="E7138" s="16" t="s">
        <v>95</v>
      </c>
      <c r="F7138" s="16" t="s">
        <v>85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65</v>
      </c>
      <c r="C7139" s="9">
        <v>46082</v>
      </c>
      <c r="D7139">
        <v>8</v>
      </c>
      <c r="E7139" s="16" t="s">
        <v>95</v>
      </c>
      <c r="F7139" s="16" t="s">
        <v>85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65</v>
      </c>
      <c r="C7140" s="9">
        <v>46113</v>
      </c>
      <c r="D7140">
        <v>8</v>
      </c>
      <c r="E7140" s="16" t="s">
        <v>95</v>
      </c>
      <c r="F7140" s="16" t="s">
        <v>85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65</v>
      </c>
      <c r="C7141" s="9">
        <v>46143</v>
      </c>
      <c r="D7141">
        <v>8</v>
      </c>
      <c r="E7141" s="16" t="s">
        <v>95</v>
      </c>
      <c r="F7141" s="16" t="s">
        <v>85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65</v>
      </c>
      <c r="C7142" s="9">
        <v>46174</v>
      </c>
      <c r="D7142">
        <v>8</v>
      </c>
      <c r="E7142" s="16" t="s">
        <v>95</v>
      </c>
      <c r="F7142" s="16" t="s">
        <v>85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65</v>
      </c>
      <c r="C7143" s="9">
        <v>46204</v>
      </c>
      <c r="D7143">
        <v>8</v>
      </c>
      <c r="E7143" s="16" t="s">
        <v>95</v>
      </c>
      <c r="F7143" s="16" t="s">
        <v>85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65</v>
      </c>
      <c r="C7144" s="9">
        <v>46235</v>
      </c>
      <c r="D7144">
        <v>8</v>
      </c>
      <c r="E7144" s="16" t="s">
        <v>95</v>
      </c>
      <c r="F7144" s="16" t="s">
        <v>85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65</v>
      </c>
      <c r="C7145" s="9">
        <v>46266</v>
      </c>
      <c r="D7145">
        <v>8</v>
      </c>
      <c r="E7145" s="16" t="s">
        <v>95</v>
      </c>
      <c r="F7145" s="16" t="s">
        <v>85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65</v>
      </c>
      <c r="C7146" s="9">
        <v>45689</v>
      </c>
      <c r="D7146">
        <v>9</v>
      </c>
      <c r="E7146" s="16" t="s">
        <v>96</v>
      </c>
      <c r="F7146" s="16" t="s">
        <v>87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65</v>
      </c>
      <c r="C7147" s="9">
        <v>45717</v>
      </c>
      <c r="D7147">
        <v>9</v>
      </c>
      <c r="E7147" s="16" t="s">
        <v>96</v>
      </c>
      <c r="F7147" s="16" t="s">
        <v>87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65</v>
      </c>
      <c r="C7148" s="9">
        <v>45748</v>
      </c>
      <c r="D7148">
        <v>9</v>
      </c>
      <c r="E7148" s="16" t="s">
        <v>96</v>
      </c>
      <c r="F7148" s="16" t="s">
        <v>87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65</v>
      </c>
      <c r="C7149" s="9">
        <v>45778</v>
      </c>
      <c r="D7149">
        <v>9</v>
      </c>
      <c r="E7149" s="16" t="s">
        <v>96</v>
      </c>
      <c r="F7149" s="16" t="s">
        <v>87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65</v>
      </c>
      <c r="C7150" s="9">
        <v>45809</v>
      </c>
      <c r="D7150">
        <v>9</v>
      </c>
      <c r="E7150" s="16" t="s">
        <v>96</v>
      </c>
      <c r="F7150" s="16" t="s">
        <v>87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65</v>
      </c>
      <c r="C7151" s="9">
        <v>45839</v>
      </c>
      <c r="D7151">
        <v>9</v>
      </c>
      <c r="E7151" s="16" t="s">
        <v>96</v>
      </c>
      <c r="F7151" s="16" t="s">
        <v>87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65</v>
      </c>
      <c r="C7152" s="9">
        <v>45870</v>
      </c>
      <c r="D7152">
        <v>9</v>
      </c>
      <c r="E7152" s="16" t="s">
        <v>96</v>
      </c>
      <c r="F7152" s="16" t="s">
        <v>87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65</v>
      </c>
      <c r="C7153" s="9">
        <v>45901</v>
      </c>
      <c r="D7153">
        <v>9</v>
      </c>
      <c r="E7153" s="16" t="s">
        <v>96</v>
      </c>
      <c r="F7153" s="16" t="s">
        <v>87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65</v>
      </c>
      <c r="C7154" s="9">
        <v>45931</v>
      </c>
      <c r="D7154">
        <v>9</v>
      </c>
      <c r="E7154" s="16" t="s">
        <v>96</v>
      </c>
      <c r="F7154" s="16" t="s">
        <v>87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65</v>
      </c>
      <c r="C7155" s="9">
        <v>45962</v>
      </c>
      <c r="D7155">
        <v>9</v>
      </c>
      <c r="E7155" s="16" t="s">
        <v>96</v>
      </c>
      <c r="F7155" s="16" t="s">
        <v>87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65</v>
      </c>
      <c r="C7156" s="9">
        <v>45992</v>
      </c>
      <c r="D7156">
        <v>9</v>
      </c>
      <c r="E7156" s="16" t="s">
        <v>96</v>
      </c>
      <c r="F7156" s="16" t="s">
        <v>87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65</v>
      </c>
      <c r="C7157" s="9">
        <v>46023</v>
      </c>
      <c r="D7157">
        <v>9</v>
      </c>
      <c r="E7157" s="16" t="s">
        <v>96</v>
      </c>
      <c r="F7157" s="16" t="s">
        <v>87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65</v>
      </c>
      <c r="C7158" s="9">
        <v>46054</v>
      </c>
      <c r="D7158">
        <v>9</v>
      </c>
      <c r="E7158" s="16" t="s">
        <v>96</v>
      </c>
      <c r="F7158" s="16" t="s">
        <v>87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65</v>
      </c>
      <c r="C7159" s="9">
        <v>46082</v>
      </c>
      <c r="D7159">
        <v>9</v>
      </c>
      <c r="E7159" s="16" t="s">
        <v>96</v>
      </c>
      <c r="F7159" s="16" t="s">
        <v>87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65</v>
      </c>
      <c r="C7160" s="9">
        <v>46113</v>
      </c>
      <c r="D7160">
        <v>9</v>
      </c>
      <c r="E7160" s="16" t="s">
        <v>96</v>
      </c>
      <c r="F7160" s="16" t="s">
        <v>87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65</v>
      </c>
      <c r="C7161" s="9">
        <v>46143</v>
      </c>
      <c r="D7161">
        <v>9</v>
      </c>
      <c r="E7161" s="16" t="s">
        <v>96</v>
      </c>
      <c r="F7161" s="16" t="s">
        <v>87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65</v>
      </c>
      <c r="C7162" s="9">
        <v>46174</v>
      </c>
      <c r="D7162">
        <v>9</v>
      </c>
      <c r="E7162" s="16" t="s">
        <v>96</v>
      </c>
      <c r="F7162" s="16" t="s">
        <v>87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65</v>
      </c>
      <c r="C7163" s="9">
        <v>46204</v>
      </c>
      <c r="D7163">
        <v>9</v>
      </c>
      <c r="E7163" s="16" t="s">
        <v>96</v>
      </c>
      <c r="F7163" s="16" t="s">
        <v>87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65</v>
      </c>
      <c r="C7164" s="9">
        <v>46235</v>
      </c>
      <c r="D7164">
        <v>9</v>
      </c>
      <c r="E7164" s="16" t="s">
        <v>96</v>
      </c>
      <c r="F7164" s="16" t="s">
        <v>87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65</v>
      </c>
      <c r="C7165" s="9">
        <v>46266</v>
      </c>
      <c r="D7165">
        <v>9</v>
      </c>
      <c r="E7165" s="16" t="s">
        <v>96</v>
      </c>
      <c r="F7165" s="16" t="s">
        <v>87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65</v>
      </c>
      <c r="C7166" s="9">
        <v>45689</v>
      </c>
      <c r="D7166">
        <v>10</v>
      </c>
      <c r="E7166" s="16" t="s">
        <v>97</v>
      </c>
      <c r="F7166" s="16" t="s">
        <v>85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65</v>
      </c>
      <c r="C7167" s="9">
        <v>45717</v>
      </c>
      <c r="D7167">
        <v>10</v>
      </c>
      <c r="E7167" s="16" t="s">
        <v>97</v>
      </c>
      <c r="F7167" s="16" t="s">
        <v>85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65</v>
      </c>
      <c r="C7168" s="9">
        <v>45748</v>
      </c>
      <c r="D7168">
        <v>10</v>
      </c>
      <c r="E7168" s="16" t="s">
        <v>97</v>
      </c>
      <c r="F7168" s="16" t="s">
        <v>85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65</v>
      </c>
      <c r="C7169" s="9">
        <v>45778</v>
      </c>
      <c r="D7169">
        <v>10</v>
      </c>
      <c r="E7169" s="16" t="s">
        <v>97</v>
      </c>
      <c r="F7169" s="16" t="s">
        <v>85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65</v>
      </c>
      <c r="C7170" s="9">
        <v>45809</v>
      </c>
      <c r="D7170">
        <v>10</v>
      </c>
      <c r="E7170" s="16" t="s">
        <v>97</v>
      </c>
      <c r="F7170" s="16" t="s">
        <v>85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65</v>
      </c>
      <c r="C7171" s="9">
        <v>45839</v>
      </c>
      <c r="D7171">
        <v>10</v>
      </c>
      <c r="E7171" s="16" t="s">
        <v>97</v>
      </c>
      <c r="F7171" s="16" t="s">
        <v>85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65</v>
      </c>
      <c r="C7172" s="9">
        <v>45870</v>
      </c>
      <c r="D7172">
        <v>10</v>
      </c>
      <c r="E7172" s="16" t="s">
        <v>97</v>
      </c>
      <c r="F7172" s="16" t="s">
        <v>85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65</v>
      </c>
      <c r="C7173" s="9">
        <v>45901</v>
      </c>
      <c r="D7173">
        <v>10</v>
      </c>
      <c r="E7173" s="16" t="s">
        <v>97</v>
      </c>
      <c r="F7173" s="16" t="s">
        <v>85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65</v>
      </c>
      <c r="C7174" s="9">
        <v>45931</v>
      </c>
      <c r="D7174">
        <v>10</v>
      </c>
      <c r="E7174" s="16" t="s">
        <v>97</v>
      </c>
      <c r="F7174" s="16" t="s">
        <v>85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65</v>
      </c>
      <c r="C7175" s="9">
        <v>45962</v>
      </c>
      <c r="D7175">
        <v>10</v>
      </c>
      <c r="E7175" s="16" t="s">
        <v>97</v>
      </c>
      <c r="F7175" s="16" t="s">
        <v>85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65</v>
      </c>
      <c r="C7176" s="9">
        <v>45992</v>
      </c>
      <c r="D7176">
        <v>10</v>
      </c>
      <c r="E7176" s="16" t="s">
        <v>97</v>
      </c>
      <c r="F7176" s="16" t="s">
        <v>85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65</v>
      </c>
      <c r="C7177" s="9">
        <v>46023</v>
      </c>
      <c r="D7177">
        <v>10</v>
      </c>
      <c r="E7177" s="16" t="s">
        <v>97</v>
      </c>
      <c r="F7177" s="16" t="s">
        <v>85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65</v>
      </c>
      <c r="C7178" s="9">
        <v>46054</v>
      </c>
      <c r="D7178">
        <v>10</v>
      </c>
      <c r="E7178" s="16" t="s">
        <v>97</v>
      </c>
      <c r="F7178" s="16" t="s">
        <v>85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65</v>
      </c>
      <c r="C7179" s="9">
        <v>46082</v>
      </c>
      <c r="D7179">
        <v>10</v>
      </c>
      <c r="E7179" s="16" t="s">
        <v>97</v>
      </c>
      <c r="F7179" s="16" t="s">
        <v>85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65</v>
      </c>
      <c r="C7180" s="9">
        <v>46113</v>
      </c>
      <c r="D7180">
        <v>10</v>
      </c>
      <c r="E7180" s="16" t="s">
        <v>97</v>
      </c>
      <c r="F7180" s="16" t="s">
        <v>85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65</v>
      </c>
      <c r="C7181" s="9">
        <v>46143</v>
      </c>
      <c r="D7181">
        <v>10</v>
      </c>
      <c r="E7181" s="16" t="s">
        <v>97</v>
      </c>
      <c r="F7181" s="16" t="s">
        <v>85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65</v>
      </c>
      <c r="C7182" s="9">
        <v>46174</v>
      </c>
      <c r="D7182">
        <v>10</v>
      </c>
      <c r="E7182" s="16" t="s">
        <v>97</v>
      </c>
      <c r="F7182" s="16" t="s">
        <v>85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65</v>
      </c>
      <c r="C7183" s="9">
        <v>46204</v>
      </c>
      <c r="D7183">
        <v>10</v>
      </c>
      <c r="E7183" s="16" t="s">
        <v>97</v>
      </c>
      <c r="F7183" s="16" t="s">
        <v>85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65</v>
      </c>
      <c r="C7184" s="9">
        <v>46235</v>
      </c>
      <c r="D7184">
        <v>10</v>
      </c>
      <c r="E7184" s="16" t="s">
        <v>97</v>
      </c>
      <c r="F7184" s="16" t="s">
        <v>85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65</v>
      </c>
      <c r="C7185" s="9">
        <v>46266</v>
      </c>
      <c r="D7185">
        <v>10</v>
      </c>
      <c r="E7185" s="16" t="s">
        <v>97</v>
      </c>
      <c r="F7185" s="16" t="s">
        <v>85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65</v>
      </c>
      <c r="C7186" s="9">
        <v>45689</v>
      </c>
      <c r="D7186">
        <v>11</v>
      </c>
      <c r="E7186" s="16" t="s">
        <v>98</v>
      </c>
      <c r="F7186" s="16" t="s">
        <v>89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65</v>
      </c>
      <c r="C7187" s="9">
        <v>45717</v>
      </c>
      <c r="D7187">
        <v>11</v>
      </c>
      <c r="E7187" s="16" t="s">
        <v>98</v>
      </c>
      <c r="F7187" s="16" t="s">
        <v>89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65</v>
      </c>
      <c r="C7188" s="9">
        <v>45748</v>
      </c>
      <c r="D7188">
        <v>11</v>
      </c>
      <c r="E7188" s="16" t="s">
        <v>98</v>
      </c>
      <c r="F7188" s="16" t="s">
        <v>89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65</v>
      </c>
      <c r="C7189" s="9">
        <v>45778</v>
      </c>
      <c r="D7189">
        <v>11</v>
      </c>
      <c r="E7189" s="16" t="s">
        <v>98</v>
      </c>
      <c r="F7189" s="16" t="s">
        <v>89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65</v>
      </c>
      <c r="C7190" s="9">
        <v>45809</v>
      </c>
      <c r="D7190">
        <v>11</v>
      </c>
      <c r="E7190" s="16" t="s">
        <v>98</v>
      </c>
      <c r="F7190" s="16" t="s">
        <v>89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65</v>
      </c>
      <c r="C7191" s="9">
        <v>45839</v>
      </c>
      <c r="D7191">
        <v>11</v>
      </c>
      <c r="E7191" s="16" t="s">
        <v>98</v>
      </c>
      <c r="F7191" s="16" t="s">
        <v>89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65</v>
      </c>
      <c r="C7192" s="9">
        <v>45870</v>
      </c>
      <c r="D7192">
        <v>11</v>
      </c>
      <c r="E7192" s="16" t="s">
        <v>98</v>
      </c>
      <c r="F7192" s="16" t="s">
        <v>89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65</v>
      </c>
      <c r="C7193" s="9">
        <v>45901</v>
      </c>
      <c r="D7193">
        <v>11</v>
      </c>
      <c r="E7193" s="16" t="s">
        <v>98</v>
      </c>
      <c r="F7193" s="16" t="s">
        <v>89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65</v>
      </c>
      <c r="C7194" s="9">
        <v>45931</v>
      </c>
      <c r="D7194">
        <v>11</v>
      </c>
      <c r="E7194" s="16" t="s">
        <v>98</v>
      </c>
      <c r="F7194" s="16" t="s">
        <v>89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65</v>
      </c>
      <c r="C7195" s="9">
        <v>45962</v>
      </c>
      <c r="D7195">
        <v>11</v>
      </c>
      <c r="E7195" s="16" t="s">
        <v>98</v>
      </c>
      <c r="F7195" s="16" t="s">
        <v>89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65</v>
      </c>
      <c r="C7196" s="9">
        <v>45992</v>
      </c>
      <c r="D7196">
        <v>11</v>
      </c>
      <c r="E7196" s="16" t="s">
        <v>98</v>
      </c>
      <c r="F7196" s="16" t="s">
        <v>89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65</v>
      </c>
      <c r="C7197" s="9">
        <v>46023</v>
      </c>
      <c r="D7197">
        <v>11</v>
      </c>
      <c r="E7197" s="16" t="s">
        <v>98</v>
      </c>
      <c r="F7197" s="16" t="s">
        <v>89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65</v>
      </c>
      <c r="C7198" s="9">
        <v>46054</v>
      </c>
      <c r="D7198">
        <v>11</v>
      </c>
      <c r="E7198" s="16" t="s">
        <v>98</v>
      </c>
      <c r="F7198" s="16" t="s">
        <v>89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65</v>
      </c>
      <c r="C7199" s="9">
        <v>46082</v>
      </c>
      <c r="D7199">
        <v>11</v>
      </c>
      <c r="E7199" s="16" t="s">
        <v>98</v>
      </c>
      <c r="F7199" s="16" t="s">
        <v>89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65</v>
      </c>
      <c r="C7200" s="9">
        <v>46113</v>
      </c>
      <c r="D7200">
        <v>11</v>
      </c>
      <c r="E7200" s="16" t="s">
        <v>98</v>
      </c>
      <c r="F7200" s="16" t="s">
        <v>89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65</v>
      </c>
      <c r="C7201" s="9">
        <v>46143</v>
      </c>
      <c r="D7201">
        <v>11</v>
      </c>
      <c r="E7201" s="16" t="s">
        <v>98</v>
      </c>
      <c r="F7201" s="16" t="s">
        <v>89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65</v>
      </c>
      <c r="C7202" s="9">
        <v>46174</v>
      </c>
      <c r="D7202">
        <v>11</v>
      </c>
      <c r="E7202" s="16" t="s">
        <v>98</v>
      </c>
      <c r="F7202" s="16" t="s">
        <v>89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65</v>
      </c>
      <c r="C7203" s="9">
        <v>46204</v>
      </c>
      <c r="D7203">
        <v>11</v>
      </c>
      <c r="E7203" s="16" t="s">
        <v>98</v>
      </c>
      <c r="F7203" s="16" t="s">
        <v>89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65</v>
      </c>
      <c r="C7204" s="9">
        <v>46235</v>
      </c>
      <c r="D7204">
        <v>11</v>
      </c>
      <c r="E7204" s="16" t="s">
        <v>98</v>
      </c>
      <c r="F7204" s="16" t="s">
        <v>89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65</v>
      </c>
      <c r="C7205" s="9">
        <v>46266</v>
      </c>
      <c r="D7205">
        <v>11</v>
      </c>
      <c r="E7205" s="16" t="s">
        <v>98</v>
      </c>
      <c r="F7205" s="16" t="s">
        <v>89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65</v>
      </c>
      <c r="C7206" s="9">
        <v>45689</v>
      </c>
      <c r="D7206">
        <v>13</v>
      </c>
      <c r="E7206" s="16" t="s">
        <v>99</v>
      </c>
      <c r="F7206" s="16" t="s">
        <v>100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65</v>
      </c>
      <c r="C7207" s="9">
        <v>45717</v>
      </c>
      <c r="D7207">
        <v>13</v>
      </c>
      <c r="E7207" s="16" t="s">
        <v>99</v>
      </c>
      <c r="F7207" s="16" t="s">
        <v>100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65</v>
      </c>
      <c r="C7208" s="9">
        <v>45748</v>
      </c>
      <c r="D7208">
        <v>13</v>
      </c>
      <c r="E7208" s="16" t="s">
        <v>99</v>
      </c>
      <c r="F7208" s="16" t="s">
        <v>100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65</v>
      </c>
      <c r="C7209" s="9">
        <v>45778</v>
      </c>
      <c r="D7209">
        <v>13</v>
      </c>
      <c r="E7209" s="16" t="s">
        <v>99</v>
      </c>
      <c r="F7209" s="16" t="s">
        <v>100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65</v>
      </c>
      <c r="C7210" s="9">
        <v>45809</v>
      </c>
      <c r="D7210">
        <v>13</v>
      </c>
      <c r="E7210" s="16" t="s">
        <v>99</v>
      </c>
      <c r="F7210" s="16" t="s">
        <v>100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65</v>
      </c>
      <c r="C7211" s="9">
        <v>45839</v>
      </c>
      <c r="D7211">
        <v>13</v>
      </c>
      <c r="E7211" s="16" t="s">
        <v>99</v>
      </c>
      <c r="F7211" s="16" t="s">
        <v>100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65</v>
      </c>
      <c r="C7212" s="9">
        <v>45870</v>
      </c>
      <c r="D7212">
        <v>13</v>
      </c>
      <c r="E7212" s="16" t="s">
        <v>99</v>
      </c>
      <c r="F7212" s="16" t="s">
        <v>100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65</v>
      </c>
      <c r="C7213" s="9">
        <v>45901</v>
      </c>
      <c r="D7213">
        <v>13</v>
      </c>
      <c r="E7213" s="16" t="s">
        <v>99</v>
      </c>
      <c r="F7213" s="16" t="s">
        <v>100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65</v>
      </c>
      <c r="C7214" s="9">
        <v>45931</v>
      </c>
      <c r="D7214">
        <v>13</v>
      </c>
      <c r="E7214" s="16" t="s">
        <v>99</v>
      </c>
      <c r="F7214" s="16" t="s">
        <v>100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65</v>
      </c>
      <c r="C7215" s="9">
        <v>45962</v>
      </c>
      <c r="D7215">
        <v>13</v>
      </c>
      <c r="E7215" s="16" t="s">
        <v>99</v>
      </c>
      <c r="F7215" s="16" t="s">
        <v>100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65</v>
      </c>
      <c r="C7216" s="9">
        <v>45992</v>
      </c>
      <c r="D7216">
        <v>13</v>
      </c>
      <c r="E7216" s="16" t="s">
        <v>99</v>
      </c>
      <c r="F7216" s="16" t="s">
        <v>100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65</v>
      </c>
      <c r="C7217" s="9">
        <v>46023</v>
      </c>
      <c r="D7217">
        <v>13</v>
      </c>
      <c r="E7217" s="16" t="s">
        <v>99</v>
      </c>
      <c r="F7217" s="16" t="s">
        <v>100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65</v>
      </c>
      <c r="C7218" s="9">
        <v>46054</v>
      </c>
      <c r="D7218">
        <v>13</v>
      </c>
      <c r="E7218" s="16" t="s">
        <v>99</v>
      </c>
      <c r="F7218" s="16" t="s">
        <v>100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65</v>
      </c>
      <c r="C7219" s="9">
        <v>46082</v>
      </c>
      <c r="D7219">
        <v>13</v>
      </c>
      <c r="E7219" s="16" t="s">
        <v>99</v>
      </c>
      <c r="F7219" s="16" t="s">
        <v>100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65</v>
      </c>
      <c r="C7220" s="9">
        <v>46113</v>
      </c>
      <c r="D7220">
        <v>13</v>
      </c>
      <c r="E7220" s="16" t="s">
        <v>99</v>
      </c>
      <c r="F7220" s="16" t="s">
        <v>100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65</v>
      </c>
      <c r="C7221" s="9">
        <v>46143</v>
      </c>
      <c r="D7221">
        <v>13</v>
      </c>
      <c r="E7221" s="16" t="s">
        <v>99</v>
      </c>
      <c r="F7221" s="16" t="s">
        <v>100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65</v>
      </c>
      <c r="C7222" s="9">
        <v>46174</v>
      </c>
      <c r="D7222">
        <v>13</v>
      </c>
      <c r="E7222" s="16" t="s">
        <v>99</v>
      </c>
      <c r="F7222" s="16" t="s">
        <v>100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65</v>
      </c>
      <c r="C7223" s="9">
        <v>46204</v>
      </c>
      <c r="D7223">
        <v>13</v>
      </c>
      <c r="E7223" s="16" t="s">
        <v>99</v>
      </c>
      <c r="F7223" s="16" t="s">
        <v>100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65</v>
      </c>
      <c r="C7224" s="9">
        <v>46235</v>
      </c>
      <c r="D7224">
        <v>13</v>
      </c>
      <c r="E7224" s="16" t="s">
        <v>99</v>
      </c>
      <c r="F7224" s="16" t="s">
        <v>100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65</v>
      </c>
      <c r="C7225" s="9">
        <v>46266</v>
      </c>
      <c r="D7225">
        <v>13</v>
      </c>
      <c r="E7225" s="16" t="s">
        <v>99</v>
      </c>
      <c r="F7225" s="16" t="s">
        <v>100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65</v>
      </c>
      <c r="C7226" s="9">
        <v>45689</v>
      </c>
      <c r="D7226">
        <v>14</v>
      </c>
      <c r="E7226" s="16" t="s">
        <v>101</v>
      </c>
      <c r="F7226" s="16" t="s">
        <v>92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65</v>
      </c>
      <c r="C7227" s="9">
        <v>45748</v>
      </c>
      <c r="D7227">
        <v>14</v>
      </c>
      <c r="E7227" s="16" t="s">
        <v>101</v>
      </c>
      <c r="F7227" s="16" t="s">
        <v>92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65</v>
      </c>
      <c r="C7228" s="9">
        <v>45778</v>
      </c>
      <c r="D7228">
        <v>14</v>
      </c>
      <c r="E7228" s="16" t="s">
        <v>101</v>
      </c>
      <c r="F7228" s="16" t="s">
        <v>92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65</v>
      </c>
      <c r="C7229" s="9">
        <v>45809</v>
      </c>
      <c r="D7229">
        <v>14</v>
      </c>
      <c r="E7229" s="16" t="s">
        <v>101</v>
      </c>
      <c r="F7229" s="16" t="s">
        <v>92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65</v>
      </c>
      <c r="C7230" s="9">
        <v>45839</v>
      </c>
      <c r="D7230">
        <v>14</v>
      </c>
      <c r="E7230" s="16" t="s">
        <v>101</v>
      </c>
      <c r="F7230" s="16" t="s">
        <v>92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65</v>
      </c>
      <c r="C7231" s="9">
        <v>45870</v>
      </c>
      <c r="D7231">
        <v>14</v>
      </c>
      <c r="E7231" s="16" t="s">
        <v>101</v>
      </c>
      <c r="F7231" s="16" t="s">
        <v>92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65</v>
      </c>
      <c r="C7232" s="9">
        <v>45931</v>
      </c>
      <c r="D7232">
        <v>14</v>
      </c>
      <c r="E7232" s="16" t="s">
        <v>101</v>
      </c>
      <c r="F7232" s="16" t="s">
        <v>92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65</v>
      </c>
      <c r="C7233" s="9">
        <v>45962</v>
      </c>
      <c r="D7233">
        <v>14</v>
      </c>
      <c r="E7233" s="16" t="s">
        <v>101</v>
      </c>
      <c r="F7233" s="16" t="s">
        <v>92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65</v>
      </c>
      <c r="C7234" s="9">
        <v>46023</v>
      </c>
      <c r="D7234">
        <v>14</v>
      </c>
      <c r="E7234" s="16" t="s">
        <v>101</v>
      </c>
      <c r="F7234" s="16" t="s">
        <v>92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65</v>
      </c>
      <c r="C7235" s="9">
        <v>46054</v>
      </c>
      <c r="D7235">
        <v>14</v>
      </c>
      <c r="E7235" s="16" t="s">
        <v>101</v>
      </c>
      <c r="F7235" s="16" t="s">
        <v>92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65</v>
      </c>
      <c r="C7236" s="9">
        <v>46082</v>
      </c>
      <c r="D7236">
        <v>14</v>
      </c>
      <c r="E7236" s="16" t="s">
        <v>101</v>
      </c>
      <c r="F7236" s="16" t="s">
        <v>92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65</v>
      </c>
      <c r="C7237" s="9">
        <v>46143</v>
      </c>
      <c r="D7237">
        <v>14</v>
      </c>
      <c r="E7237" s="16" t="s">
        <v>101</v>
      </c>
      <c r="F7237" s="16" t="s">
        <v>92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65</v>
      </c>
      <c r="C7238" s="9">
        <v>46204</v>
      </c>
      <c r="D7238">
        <v>14</v>
      </c>
      <c r="E7238" s="16" t="s">
        <v>101</v>
      </c>
      <c r="F7238" s="16" t="s">
        <v>92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65</v>
      </c>
      <c r="C7239" s="9">
        <v>46235</v>
      </c>
      <c r="D7239">
        <v>14</v>
      </c>
      <c r="E7239" s="16" t="s">
        <v>101</v>
      </c>
      <c r="F7239" s="16" t="s">
        <v>92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65</v>
      </c>
      <c r="C7240" s="9">
        <v>45689</v>
      </c>
      <c r="D7240">
        <v>15</v>
      </c>
      <c r="E7240" s="16" t="s">
        <v>102</v>
      </c>
      <c r="F7240" s="16" t="s">
        <v>94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65</v>
      </c>
      <c r="C7241" s="9">
        <v>45717</v>
      </c>
      <c r="D7241">
        <v>15</v>
      </c>
      <c r="E7241" s="16" t="s">
        <v>102</v>
      </c>
      <c r="F7241" s="16" t="s">
        <v>94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65</v>
      </c>
      <c r="C7242" s="9">
        <v>45748</v>
      </c>
      <c r="D7242">
        <v>15</v>
      </c>
      <c r="E7242" s="16" t="s">
        <v>102</v>
      </c>
      <c r="F7242" s="16" t="s">
        <v>94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65</v>
      </c>
      <c r="C7243" s="9">
        <v>45778</v>
      </c>
      <c r="D7243">
        <v>15</v>
      </c>
      <c r="E7243" s="16" t="s">
        <v>102</v>
      </c>
      <c r="F7243" s="16" t="s">
        <v>94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65</v>
      </c>
      <c r="C7244" s="9">
        <v>45809</v>
      </c>
      <c r="D7244">
        <v>15</v>
      </c>
      <c r="E7244" s="16" t="s">
        <v>102</v>
      </c>
      <c r="F7244" s="16" t="s">
        <v>94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65</v>
      </c>
      <c r="C7245" s="9">
        <v>45839</v>
      </c>
      <c r="D7245">
        <v>15</v>
      </c>
      <c r="E7245" s="16" t="s">
        <v>102</v>
      </c>
      <c r="F7245" s="16" t="s">
        <v>94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65</v>
      </c>
      <c r="C7246" s="9">
        <v>45870</v>
      </c>
      <c r="D7246">
        <v>15</v>
      </c>
      <c r="E7246" s="16" t="s">
        <v>102</v>
      </c>
      <c r="F7246" s="16" t="s">
        <v>94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65</v>
      </c>
      <c r="C7247" s="9">
        <v>45901</v>
      </c>
      <c r="D7247">
        <v>15</v>
      </c>
      <c r="E7247" s="16" t="s">
        <v>102</v>
      </c>
      <c r="F7247" s="16" t="s">
        <v>94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65</v>
      </c>
      <c r="C7248" s="9">
        <v>45931</v>
      </c>
      <c r="D7248">
        <v>15</v>
      </c>
      <c r="E7248" s="16" t="s">
        <v>102</v>
      </c>
      <c r="F7248" s="16" t="s">
        <v>94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65</v>
      </c>
      <c r="C7249" s="9">
        <v>45962</v>
      </c>
      <c r="D7249">
        <v>15</v>
      </c>
      <c r="E7249" s="16" t="s">
        <v>102</v>
      </c>
      <c r="F7249" s="16" t="s">
        <v>94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65</v>
      </c>
      <c r="C7250" s="9">
        <v>45992</v>
      </c>
      <c r="D7250">
        <v>15</v>
      </c>
      <c r="E7250" s="16" t="s">
        <v>102</v>
      </c>
      <c r="F7250" s="16" t="s">
        <v>94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65</v>
      </c>
      <c r="C7251" s="9">
        <v>46023</v>
      </c>
      <c r="D7251">
        <v>15</v>
      </c>
      <c r="E7251" s="16" t="s">
        <v>102</v>
      </c>
      <c r="F7251" s="16" t="s">
        <v>94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65</v>
      </c>
      <c r="C7252" s="9">
        <v>46054</v>
      </c>
      <c r="D7252">
        <v>15</v>
      </c>
      <c r="E7252" s="16" t="s">
        <v>102</v>
      </c>
      <c r="F7252" s="16" t="s">
        <v>94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65</v>
      </c>
      <c r="C7253" s="9">
        <v>46082</v>
      </c>
      <c r="D7253">
        <v>15</v>
      </c>
      <c r="E7253" s="16" t="s">
        <v>102</v>
      </c>
      <c r="F7253" s="16" t="s">
        <v>94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65</v>
      </c>
      <c r="C7254" s="9">
        <v>46113</v>
      </c>
      <c r="D7254">
        <v>15</v>
      </c>
      <c r="E7254" s="16" t="s">
        <v>102</v>
      </c>
      <c r="F7254" s="16" t="s">
        <v>94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65</v>
      </c>
      <c r="C7255" s="9">
        <v>46143</v>
      </c>
      <c r="D7255">
        <v>15</v>
      </c>
      <c r="E7255" s="16" t="s">
        <v>102</v>
      </c>
      <c r="F7255" s="16" t="s">
        <v>94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65</v>
      </c>
      <c r="C7256" s="9">
        <v>46174</v>
      </c>
      <c r="D7256">
        <v>15</v>
      </c>
      <c r="E7256" s="16" t="s">
        <v>102</v>
      </c>
      <c r="F7256" s="16" t="s">
        <v>94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65</v>
      </c>
      <c r="C7257" s="9">
        <v>46204</v>
      </c>
      <c r="D7257">
        <v>15</v>
      </c>
      <c r="E7257" s="16" t="s">
        <v>102</v>
      </c>
      <c r="F7257" s="16" t="s">
        <v>94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65</v>
      </c>
      <c r="C7258" s="9">
        <v>46235</v>
      </c>
      <c r="D7258">
        <v>15</v>
      </c>
      <c r="E7258" s="16" t="s">
        <v>102</v>
      </c>
      <c r="F7258" s="16" t="s">
        <v>94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65</v>
      </c>
      <c r="C7259" s="9">
        <v>46266</v>
      </c>
      <c r="D7259">
        <v>15</v>
      </c>
      <c r="E7259" s="16" t="s">
        <v>102</v>
      </c>
      <c r="F7259" s="16" t="s">
        <v>94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65</v>
      </c>
      <c r="C7260" s="9">
        <v>45689</v>
      </c>
      <c r="D7260">
        <v>16</v>
      </c>
      <c r="E7260" s="16" t="s">
        <v>103</v>
      </c>
      <c r="F7260" s="16" t="s">
        <v>94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65</v>
      </c>
      <c r="C7261" s="9">
        <v>45717</v>
      </c>
      <c r="D7261">
        <v>16</v>
      </c>
      <c r="E7261" s="16" t="s">
        <v>103</v>
      </c>
      <c r="F7261" s="16" t="s">
        <v>94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65</v>
      </c>
      <c r="C7262" s="9">
        <v>45748</v>
      </c>
      <c r="D7262">
        <v>16</v>
      </c>
      <c r="E7262" s="16" t="s">
        <v>103</v>
      </c>
      <c r="F7262" s="16" t="s">
        <v>94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65</v>
      </c>
      <c r="C7263" s="9">
        <v>45778</v>
      </c>
      <c r="D7263">
        <v>16</v>
      </c>
      <c r="E7263" s="16" t="s">
        <v>103</v>
      </c>
      <c r="F7263" s="16" t="s">
        <v>94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65</v>
      </c>
      <c r="C7264" s="9">
        <v>45809</v>
      </c>
      <c r="D7264">
        <v>16</v>
      </c>
      <c r="E7264" s="16" t="s">
        <v>103</v>
      </c>
      <c r="F7264" s="16" t="s">
        <v>94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65</v>
      </c>
      <c r="C7265" s="9">
        <v>45839</v>
      </c>
      <c r="D7265">
        <v>16</v>
      </c>
      <c r="E7265" s="16" t="s">
        <v>103</v>
      </c>
      <c r="F7265" s="16" t="s">
        <v>94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65</v>
      </c>
      <c r="C7266" s="9">
        <v>45870</v>
      </c>
      <c r="D7266">
        <v>16</v>
      </c>
      <c r="E7266" s="16" t="s">
        <v>103</v>
      </c>
      <c r="F7266" s="16" t="s">
        <v>94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65</v>
      </c>
      <c r="C7267" s="9">
        <v>45901</v>
      </c>
      <c r="D7267">
        <v>16</v>
      </c>
      <c r="E7267" s="16" t="s">
        <v>103</v>
      </c>
      <c r="F7267" s="16" t="s">
        <v>94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65</v>
      </c>
      <c r="C7268" s="9">
        <v>45931</v>
      </c>
      <c r="D7268">
        <v>16</v>
      </c>
      <c r="E7268" s="16" t="s">
        <v>103</v>
      </c>
      <c r="F7268" s="16" t="s">
        <v>94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65</v>
      </c>
      <c r="C7269" s="9">
        <v>45962</v>
      </c>
      <c r="D7269">
        <v>16</v>
      </c>
      <c r="E7269" s="16" t="s">
        <v>103</v>
      </c>
      <c r="F7269" s="16" t="s">
        <v>94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65</v>
      </c>
      <c r="C7270" s="9">
        <v>45992</v>
      </c>
      <c r="D7270">
        <v>16</v>
      </c>
      <c r="E7270" s="16" t="s">
        <v>103</v>
      </c>
      <c r="F7270" s="16" t="s">
        <v>94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65</v>
      </c>
      <c r="C7271" s="9">
        <v>46023</v>
      </c>
      <c r="D7271">
        <v>16</v>
      </c>
      <c r="E7271" s="16" t="s">
        <v>103</v>
      </c>
      <c r="F7271" s="16" t="s">
        <v>94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65</v>
      </c>
      <c r="C7272" s="9">
        <v>46054</v>
      </c>
      <c r="D7272">
        <v>16</v>
      </c>
      <c r="E7272" s="16" t="s">
        <v>103</v>
      </c>
      <c r="F7272" s="16" t="s">
        <v>94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65</v>
      </c>
      <c r="C7273" s="9">
        <v>46082</v>
      </c>
      <c r="D7273">
        <v>16</v>
      </c>
      <c r="E7273" s="16" t="s">
        <v>103</v>
      </c>
      <c r="F7273" s="16" t="s">
        <v>94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65</v>
      </c>
      <c r="C7274" s="9">
        <v>46113</v>
      </c>
      <c r="D7274">
        <v>16</v>
      </c>
      <c r="E7274" s="16" t="s">
        <v>103</v>
      </c>
      <c r="F7274" s="16" t="s">
        <v>94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65</v>
      </c>
      <c r="C7275" s="9">
        <v>46143</v>
      </c>
      <c r="D7275">
        <v>16</v>
      </c>
      <c r="E7275" s="16" t="s">
        <v>103</v>
      </c>
      <c r="F7275" s="16" t="s">
        <v>94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65</v>
      </c>
      <c r="C7276" s="9">
        <v>46174</v>
      </c>
      <c r="D7276">
        <v>16</v>
      </c>
      <c r="E7276" s="16" t="s">
        <v>103</v>
      </c>
      <c r="F7276" s="16" t="s">
        <v>94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65</v>
      </c>
      <c r="C7277" s="9">
        <v>46204</v>
      </c>
      <c r="D7277">
        <v>16</v>
      </c>
      <c r="E7277" s="16" t="s">
        <v>103</v>
      </c>
      <c r="F7277" s="16" t="s">
        <v>94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65</v>
      </c>
      <c r="C7278" s="9">
        <v>46235</v>
      </c>
      <c r="D7278">
        <v>16</v>
      </c>
      <c r="E7278" s="16" t="s">
        <v>103</v>
      </c>
      <c r="F7278" s="16" t="s">
        <v>94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65</v>
      </c>
      <c r="C7279" s="9">
        <v>46266</v>
      </c>
      <c r="D7279">
        <v>16</v>
      </c>
      <c r="E7279" s="16" t="s">
        <v>103</v>
      </c>
      <c r="F7279" s="16" t="s">
        <v>94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65</v>
      </c>
      <c r="C7280" s="9">
        <v>45689</v>
      </c>
      <c r="D7280">
        <v>17</v>
      </c>
      <c r="E7280" s="16" t="s">
        <v>104</v>
      </c>
      <c r="F7280" s="16" t="s">
        <v>105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65</v>
      </c>
      <c r="C7281" s="9">
        <v>45717</v>
      </c>
      <c r="D7281">
        <v>17</v>
      </c>
      <c r="E7281" s="16" t="s">
        <v>104</v>
      </c>
      <c r="F7281" s="16" t="s">
        <v>105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65</v>
      </c>
      <c r="C7282" s="9">
        <v>45748</v>
      </c>
      <c r="D7282">
        <v>17</v>
      </c>
      <c r="E7282" s="16" t="s">
        <v>104</v>
      </c>
      <c r="F7282" s="16" t="s">
        <v>105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65</v>
      </c>
      <c r="C7283" s="9">
        <v>45778</v>
      </c>
      <c r="D7283">
        <v>17</v>
      </c>
      <c r="E7283" s="16" t="s">
        <v>104</v>
      </c>
      <c r="F7283" s="16" t="s">
        <v>105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65</v>
      </c>
      <c r="C7284" s="9">
        <v>45809</v>
      </c>
      <c r="D7284">
        <v>17</v>
      </c>
      <c r="E7284" s="16" t="s">
        <v>104</v>
      </c>
      <c r="F7284" s="16" t="s">
        <v>105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65</v>
      </c>
      <c r="C7285" s="9">
        <v>45870</v>
      </c>
      <c r="D7285">
        <v>17</v>
      </c>
      <c r="E7285" s="16" t="s">
        <v>104</v>
      </c>
      <c r="F7285" s="16" t="s">
        <v>105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65</v>
      </c>
      <c r="C7286" s="9">
        <v>45901</v>
      </c>
      <c r="D7286">
        <v>17</v>
      </c>
      <c r="E7286" s="16" t="s">
        <v>104</v>
      </c>
      <c r="F7286" s="16" t="s">
        <v>105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65</v>
      </c>
      <c r="C7287" s="9">
        <v>45931</v>
      </c>
      <c r="D7287">
        <v>17</v>
      </c>
      <c r="E7287" s="16" t="s">
        <v>104</v>
      </c>
      <c r="F7287" s="16" t="s">
        <v>105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65</v>
      </c>
      <c r="C7288" s="9">
        <v>45962</v>
      </c>
      <c r="D7288">
        <v>17</v>
      </c>
      <c r="E7288" s="16" t="s">
        <v>104</v>
      </c>
      <c r="F7288" s="16" t="s">
        <v>105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65</v>
      </c>
      <c r="C7289" s="9">
        <v>45992</v>
      </c>
      <c r="D7289">
        <v>17</v>
      </c>
      <c r="E7289" s="16" t="s">
        <v>104</v>
      </c>
      <c r="F7289" s="16" t="s">
        <v>105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65</v>
      </c>
      <c r="C7290" s="9">
        <v>46023</v>
      </c>
      <c r="D7290">
        <v>17</v>
      </c>
      <c r="E7290" s="16" t="s">
        <v>104</v>
      </c>
      <c r="F7290" s="16" t="s">
        <v>105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65</v>
      </c>
      <c r="C7291" s="9">
        <v>46054</v>
      </c>
      <c r="D7291">
        <v>17</v>
      </c>
      <c r="E7291" s="16" t="s">
        <v>104</v>
      </c>
      <c r="F7291" s="16" t="s">
        <v>105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65</v>
      </c>
      <c r="C7292" s="9">
        <v>46082</v>
      </c>
      <c r="D7292">
        <v>17</v>
      </c>
      <c r="E7292" s="16" t="s">
        <v>104</v>
      </c>
      <c r="F7292" s="16" t="s">
        <v>105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65</v>
      </c>
      <c r="C7293" s="9">
        <v>46113</v>
      </c>
      <c r="D7293">
        <v>17</v>
      </c>
      <c r="E7293" s="16" t="s">
        <v>104</v>
      </c>
      <c r="F7293" s="16" t="s">
        <v>105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65</v>
      </c>
      <c r="C7294" s="9">
        <v>46143</v>
      </c>
      <c r="D7294">
        <v>17</v>
      </c>
      <c r="E7294" s="16" t="s">
        <v>104</v>
      </c>
      <c r="F7294" s="16" t="s">
        <v>105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65</v>
      </c>
      <c r="C7295" s="9">
        <v>46174</v>
      </c>
      <c r="D7295">
        <v>17</v>
      </c>
      <c r="E7295" s="16" t="s">
        <v>104</v>
      </c>
      <c r="F7295" s="16" t="s">
        <v>105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65</v>
      </c>
      <c r="C7296" s="9">
        <v>46235</v>
      </c>
      <c r="D7296">
        <v>17</v>
      </c>
      <c r="E7296" s="16" t="s">
        <v>104</v>
      </c>
      <c r="F7296" s="16" t="s">
        <v>105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65</v>
      </c>
      <c r="C7297" s="9">
        <v>46266</v>
      </c>
      <c r="D7297">
        <v>17</v>
      </c>
      <c r="E7297" s="16" t="s">
        <v>104</v>
      </c>
      <c r="F7297" s="16" t="s">
        <v>105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65</v>
      </c>
      <c r="C7298" s="9">
        <v>45689</v>
      </c>
      <c r="D7298">
        <v>18</v>
      </c>
      <c r="E7298" s="16" t="s">
        <v>106</v>
      </c>
      <c r="F7298" s="16" t="s">
        <v>105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65</v>
      </c>
      <c r="C7299" s="9">
        <v>45717</v>
      </c>
      <c r="D7299">
        <v>18</v>
      </c>
      <c r="E7299" s="16" t="s">
        <v>106</v>
      </c>
      <c r="F7299" s="16" t="s">
        <v>105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65</v>
      </c>
      <c r="C7300" s="9">
        <v>45748</v>
      </c>
      <c r="D7300">
        <v>18</v>
      </c>
      <c r="E7300" s="16" t="s">
        <v>106</v>
      </c>
      <c r="F7300" s="16" t="s">
        <v>105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65</v>
      </c>
      <c r="C7301" s="9">
        <v>45778</v>
      </c>
      <c r="D7301">
        <v>18</v>
      </c>
      <c r="E7301" s="16" t="s">
        <v>106</v>
      </c>
      <c r="F7301" s="16" t="s">
        <v>105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65</v>
      </c>
      <c r="C7302" s="9">
        <v>45809</v>
      </c>
      <c r="D7302">
        <v>18</v>
      </c>
      <c r="E7302" s="16" t="s">
        <v>106</v>
      </c>
      <c r="F7302" s="16" t="s">
        <v>105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65</v>
      </c>
      <c r="C7303" s="9">
        <v>45839</v>
      </c>
      <c r="D7303">
        <v>18</v>
      </c>
      <c r="E7303" s="16" t="s">
        <v>106</v>
      </c>
      <c r="F7303" s="16" t="s">
        <v>105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65</v>
      </c>
      <c r="C7304" s="9">
        <v>45870</v>
      </c>
      <c r="D7304">
        <v>18</v>
      </c>
      <c r="E7304" s="16" t="s">
        <v>106</v>
      </c>
      <c r="F7304" s="16" t="s">
        <v>105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65</v>
      </c>
      <c r="C7305" s="9">
        <v>45901</v>
      </c>
      <c r="D7305">
        <v>18</v>
      </c>
      <c r="E7305" s="16" t="s">
        <v>106</v>
      </c>
      <c r="F7305" s="16" t="s">
        <v>105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65</v>
      </c>
      <c r="C7306" s="9">
        <v>45931</v>
      </c>
      <c r="D7306">
        <v>18</v>
      </c>
      <c r="E7306" s="16" t="s">
        <v>106</v>
      </c>
      <c r="F7306" s="16" t="s">
        <v>105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65</v>
      </c>
      <c r="C7307" s="9">
        <v>45962</v>
      </c>
      <c r="D7307">
        <v>18</v>
      </c>
      <c r="E7307" s="16" t="s">
        <v>106</v>
      </c>
      <c r="F7307" s="16" t="s">
        <v>105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65</v>
      </c>
      <c r="C7308" s="9">
        <v>45992</v>
      </c>
      <c r="D7308">
        <v>18</v>
      </c>
      <c r="E7308" s="16" t="s">
        <v>106</v>
      </c>
      <c r="F7308" s="16" t="s">
        <v>105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65</v>
      </c>
      <c r="C7309" s="9">
        <v>46023</v>
      </c>
      <c r="D7309">
        <v>18</v>
      </c>
      <c r="E7309" s="16" t="s">
        <v>106</v>
      </c>
      <c r="F7309" s="16" t="s">
        <v>105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65</v>
      </c>
      <c r="C7310" s="9">
        <v>46054</v>
      </c>
      <c r="D7310">
        <v>18</v>
      </c>
      <c r="E7310" s="16" t="s">
        <v>106</v>
      </c>
      <c r="F7310" s="16" t="s">
        <v>105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65</v>
      </c>
      <c r="C7311" s="9">
        <v>46082</v>
      </c>
      <c r="D7311">
        <v>18</v>
      </c>
      <c r="E7311" s="16" t="s">
        <v>106</v>
      </c>
      <c r="F7311" s="16" t="s">
        <v>105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65</v>
      </c>
      <c r="C7312" s="9">
        <v>46113</v>
      </c>
      <c r="D7312">
        <v>18</v>
      </c>
      <c r="E7312" s="16" t="s">
        <v>106</v>
      </c>
      <c r="F7312" s="16" t="s">
        <v>105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65</v>
      </c>
      <c r="C7313" s="9">
        <v>46174</v>
      </c>
      <c r="D7313">
        <v>18</v>
      </c>
      <c r="E7313" s="16" t="s">
        <v>106</v>
      </c>
      <c r="F7313" s="16" t="s">
        <v>105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65</v>
      </c>
      <c r="C7314" s="9">
        <v>46204</v>
      </c>
      <c r="D7314">
        <v>18</v>
      </c>
      <c r="E7314" s="16" t="s">
        <v>106</v>
      </c>
      <c r="F7314" s="16" t="s">
        <v>105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65</v>
      </c>
      <c r="C7315" s="9">
        <v>46266</v>
      </c>
      <c r="D7315">
        <v>18</v>
      </c>
      <c r="E7315" s="16" t="s">
        <v>106</v>
      </c>
      <c r="F7315" s="16" t="s">
        <v>105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65</v>
      </c>
      <c r="C7316" s="9">
        <v>45689</v>
      </c>
      <c r="D7316">
        <v>19</v>
      </c>
      <c r="E7316" s="16" t="s">
        <v>107</v>
      </c>
      <c r="F7316" s="16" t="s">
        <v>108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65</v>
      </c>
      <c r="C7317" s="9">
        <v>45717</v>
      </c>
      <c r="D7317">
        <v>19</v>
      </c>
      <c r="E7317" s="16" t="s">
        <v>107</v>
      </c>
      <c r="F7317" s="16" t="s">
        <v>108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65</v>
      </c>
      <c r="C7318" s="9">
        <v>45748</v>
      </c>
      <c r="D7318">
        <v>19</v>
      </c>
      <c r="E7318" s="16" t="s">
        <v>107</v>
      </c>
      <c r="F7318" s="16" t="s">
        <v>108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65</v>
      </c>
      <c r="C7319" s="9">
        <v>45778</v>
      </c>
      <c r="D7319">
        <v>19</v>
      </c>
      <c r="E7319" s="16" t="s">
        <v>107</v>
      </c>
      <c r="F7319" s="16" t="s">
        <v>108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65</v>
      </c>
      <c r="C7320" s="9">
        <v>45809</v>
      </c>
      <c r="D7320">
        <v>19</v>
      </c>
      <c r="E7320" s="16" t="s">
        <v>107</v>
      </c>
      <c r="F7320" s="16" t="s">
        <v>108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65</v>
      </c>
      <c r="C7321" s="9">
        <v>45839</v>
      </c>
      <c r="D7321">
        <v>19</v>
      </c>
      <c r="E7321" s="16" t="s">
        <v>107</v>
      </c>
      <c r="F7321" s="16" t="s">
        <v>108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65</v>
      </c>
      <c r="C7322" s="9">
        <v>45870</v>
      </c>
      <c r="D7322">
        <v>19</v>
      </c>
      <c r="E7322" s="16" t="s">
        <v>107</v>
      </c>
      <c r="F7322" s="16" t="s">
        <v>108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65</v>
      </c>
      <c r="C7323" s="9">
        <v>45901</v>
      </c>
      <c r="D7323">
        <v>19</v>
      </c>
      <c r="E7323" s="16" t="s">
        <v>107</v>
      </c>
      <c r="F7323" s="16" t="s">
        <v>108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65</v>
      </c>
      <c r="C7324" s="9">
        <v>45931</v>
      </c>
      <c r="D7324">
        <v>19</v>
      </c>
      <c r="E7324" s="16" t="s">
        <v>107</v>
      </c>
      <c r="F7324" s="16" t="s">
        <v>108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65</v>
      </c>
      <c r="C7325" s="9">
        <v>45962</v>
      </c>
      <c r="D7325">
        <v>19</v>
      </c>
      <c r="E7325" s="16" t="s">
        <v>107</v>
      </c>
      <c r="F7325" s="16" t="s">
        <v>108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65</v>
      </c>
      <c r="C7326" s="9">
        <v>45992</v>
      </c>
      <c r="D7326">
        <v>19</v>
      </c>
      <c r="E7326" s="16" t="s">
        <v>107</v>
      </c>
      <c r="F7326" s="16" t="s">
        <v>108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65</v>
      </c>
      <c r="C7327" s="9">
        <v>46023</v>
      </c>
      <c r="D7327">
        <v>19</v>
      </c>
      <c r="E7327" s="16" t="s">
        <v>107</v>
      </c>
      <c r="F7327" s="16" t="s">
        <v>108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65</v>
      </c>
      <c r="C7328" s="9">
        <v>46054</v>
      </c>
      <c r="D7328">
        <v>19</v>
      </c>
      <c r="E7328" s="16" t="s">
        <v>107</v>
      </c>
      <c r="F7328" s="16" t="s">
        <v>108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65</v>
      </c>
      <c r="C7329" s="9">
        <v>46082</v>
      </c>
      <c r="D7329">
        <v>19</v>
      </c>
      <c r="E7329" s="16" t="s">
        <v>107</v>
      </c>
      <c r="F7329" s="16" t="s">
        <v>108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65</v>
      </c>
      <c r="C7330" s="9">
        <v>46113</v>
      </c>
      <c r="D7330">
        <v>19</v>
      </c>
      <c r="E7330" s="16" t="s">
        <v>107</v>
      </c>
      <c r="F7330" s="16" t="s">
        <v>108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65</v>
      </c>
      <c r="C7331" s="9">
        <v>46143</v>
      </c>
      <c r="D7331">
        <v>19</v>
      </c>
      <c r="E7331" s="16" t="s">
        <v>107</v>
      </c>
      <c r="F7331" s="16" t="s">
        <v>108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65</v>
      </c>
      <c r="C7332" s="9">
        <v>46174</v>
      </c>
      <c r="D7332">
        <v>19</v>
      </c>
      <c r="E7332" s="16" t="s">
        <v>107</v>
      </c>
      <c r="F7332" s="16" t="s">
        <v>108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65</v>
      </c>
      <c r="C7333" s="9">
        <v>46204</v>
      </c>
      <c r="D7333">
        <v>19</v>
      </c>
      <c r="E7333" s="16" t="s">
        <v>107</v>
      </c>
      <c r="F7333" s="16" t="s">
        <v>108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65</v>
      </c>
      <c r="C7334" s="9">
        <v>46235</v>
      </c>
      <c r="D7334">
        <v>19</v>
      </c>
      <c r="E7334" s="16" t="s">
        <v>107</v>
      </c>
      <c r="F7334" s="16" t="s">
        <v>108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65</v>
      </c>
      <c r="C7335" s="9">
        <v>46266</v>
      </c>
      <c r="D7335">
        <v>19</v>
      </c>
      <c r="E7335" s="16" t="s">
        <v>107</v>
      </c>
      <c r="F7335" s="16" t="s">
        <v>108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65</v>
      </c>
      <c r="C7336" s="9">
        <v>45839</v>
      </c>
      <c r="D7336">
        <v>20</v>
      </c>
      <c r="E7336" s="16" t="s">
        <v>109</v>
      </c>
      <c r="F7336" s="16" t="s">
        <v>110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65</v>
      </c>
      <c r="C7337" s="9">
        <v>45992</v>
      </c>
      <c r="D7337">
        <v>20</v>
      </c>
      <c r="E7337" s="16" t="s">
        <v>109</v>
      </c>
      <c r="F7337" s="16" t="s">
        <v>110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65</v>
      </c>
      <c r="C7338" s="9">
        <v>46204</v>
      </c>
      <c r="D7338">
        <v>20</v>
      </c>
      <c r="E7338" s="16" t="s">
        <v>109</v>
      </c>
      <c r="F7338" s="16" t="s">
        <v>110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65</v>
      </c>
      <c r="C7339" s="9">
        <v>45689</v>
      </c>
      <c r="D7339">
        <v>21</v>
      </c>
      <c r="E7339" s="16" t="s">
        <v>111</v>
      </c>
      <c r="F7339" s="16" t="s">
        <v>85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65</v>
      </c>
      <c r="C7340" s="9">
        <v>45717</v>
      </c>
      <c r="D7340">
        <v>21</v>
      </c>
      <c r="E7340" s="16" t="s">
        <v>111</v>
      </c>
      <c r="F7340" s="16" t="s">
        <v>85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65</v>
      </c>
      <c r="C7341" s="9">
        <v>45778</v>
      </c>
      <c r="D7341">
        <v>21</v>
      </c>
      <c r="E7341" s="16" t="s">
        <v>111</v>
      </c>
      <c r="F7341" s="16" t="s">
        <v>85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65</v>
      </c>
      <c r="C7342" s="9">
        <v>45809</v>
      </c>
      <c r="D7342">
        <v>21</v>
      </c>
      <c r="E7342" s="16" t="s">
        <v>111</v>
      </c>
      <c r="F7342" s="16" t="s">
        <v>85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65</v>
      </c>
      <c r="C7343" s="9">
        <v>45839</v>
      </c>
      <c r="D7343">
        <v>21</v>
      </c>
      <c r="E7343" s="16" t="s">
        <v>111</v>
      </c>
      <c r="F7343" s="16" t="s">
        <v>85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65</v>
      </c>
      <c r="C7344" s="9">
        <v>45870</v>
      </c>
      <c r="D7344">
        <v>21</v>
      </c>
      <c r="E7344" s="16" t="s">
        <v>111</v>
      </c>
      <c r="F7344" s="16" t="s">
        <v>85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65</v>
      </c>
      <c r="C7345" s="9">
        <v>45901</v>
      </c>
      <c r="D7345">
        <v>21</v>
      </c>
      <c r="E7345" s="16" t="s">
        <v>111</v>
      </c>
      <c r="F7345" s="16" t="s">
        <v>85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65</v>
      </c>
      <c r="C7346" s="9">
        <v>45931</v>
      </c>
      <c r="D7346">
        <v>21</v>
      </c>
      <c r="E7346" s="16" t="s">
        <v>111</v>
      </c>
      <c r="F7346" s="16" t="s">
        <v>85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65</v>
      </c>
      <c r="C7347" s="9">
        <v>45962</v>
      </c>
      <c r="D7347">
        <v>21</v>
      </c>
      <c r="E7347" s="16" t="s">
        <v>111</v>
      </c>
      <c r="F7347" s="16" t="s">
        <v>85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65</v>
      </c>
      <c r="C7348" s="9">
        <v>45992</v>
      </c>
      <c r="D7348">
        <v>21</v>
      </c>
      <c r="E7348" s="16" t="s">
        <v>111</v>
      </c>
      <c r="F7348" s="16" t="s">
        <v>85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65</v>
      </c>
      <c r="C7349" s="9">
        <v>46023</v>
      </c>
      <c r="D7349">
        <v>21</v>
      </c>
      <c r="E7349" s="16" t="s">
        <v>111</v>
      </c>
      <c r="F7349" s="16" t="s">
        <v>85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65</v>
      </c>
      <c r="C7350" s="9">
        <v>46054</v>
      </c>
      <c r="D7350">
        <v>21</v>
      </c>
      <c r="E7350" s="16" t="s">
        <v>111</v>
      </c>
      <c r="F7350" s="16" t="s">
        <v>85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65</v>
      </c>
      <c r="C7351" s="9">
        <v>46082</v>
      </c>
      <c r="D7351">
        <v>21</v>
      </c>
      <c r="E7351" s="16" t="s">
        <v>111</v>
      </c>
      <c r="F7351" s="16" t="s">
        <v>85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65</v>
      </c>
      <c r="C7352" s="9">
        <v>46113</v>
      </c>
      <c r="D7352">
        <v>21</v>
      </c>
      <c r="E7352" s="16" t="s">
        <v>111</v>
      </c>
      <c r="F7352" s="16" t="s">
        <v>85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65</v>
      </c>
      <c r="C7353" s="9">
        <v>46143</v>
      </c>
      <c r="D7353">
        <v>21</v>
      </c>
      <c r="E7353" s="16" t="s">
        <v>111</v>
      </c>
      <c r="F7353" s="16" t="s">
        <v>85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65</v>
      </c>
      <c r="C7354" s="9">
        <v>46174</v>
      </c>
      <c r="D7354">
        <v>21</v>
      </c>
      <c r="E7354" s="16" t="s">
        <v>111</v>
      </c>
      <c r="F7354" s="16" t="s">
        <v>85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65</v>
      </c>
      <c r="C7355" s="9">
        <v>46204</v>
      </c>
      <c r="D7355">
        <v>21</v>
      </c>
      <c r="E7355" s="16" t="s">
        <v>111</v>
      </c>
      <c r="F7355" s="16" t="s">
        <v>85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65</v>
      </c>
      <c r="C7356" s="9">
        <v>46235</v>
      </c>
      <c r="D7356">
        <v>21</v>
      </c>
      <c r="E7356" s="16" t="s">
        <v>111</v>
      </c>
      <c r="F7356" s="16" t="s">
        <v>85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65</v>
      </c>
      <c r="C7357" s="9">
        <v>45689</v>
      </c>
      <c r="D7357">
        <v>22</v>
      </c>
      <c r="E7357" s="16" t="s">
        <v>112</v>
      </c>
      <c r="F7357" s="16" t="s">
        <v>92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65</v>
      </c>
      <c r="C7358" s="9">
        <v>45717</v>
      </c>
      <c r="D7358">
        <v>22</v>
      </c>
      <c r="E7358" s="16" t="s">
        <v>112</v>
      </c>
      <c r="F7358" s="16" t="s">
        <v>92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65</v>
      </c>
      <c r="C7359" s="9">
        <v>45748</v>
      </c>
      <c r="D7359">
        <v>22</v>
      </c>
      <c r="E7359" s="16" t="s">
        <v>112</v>
      </c>
      <c r="F7359" s="16" t="s">
        <v>92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65</v>
      </c>
      <c r="C7360" s="9">
        <v>45778</v>
      </c>
      <c r="D7360">
        <v>22</v>
      </c>
      <c r="E7360" s="16" t="s">
        <v>112</v>
      </c>
      <c r="F7360" s="16" t="s">
        <v>92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65</v>
      </c>
      <c r="C7361" s="9">
        <v>45809</v>
      </c>
      <c r="D7361">
        <v>22</v>
      </c>
      <c r="E7361" s="16" t="s">
        <v>112</v>
      </c>
      <c r="F7361" s="16" t="s">
        <v>92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65</v>
      </c>
      <c r="C7362" s="9">
        <v>45839</v>
      </c>
      <c r="D7362">
        <v>22</v>
      </c>
      <c r="E7362" s="16" t="s">
        <v>112</v>
      </c>
      <c r="F7362" s="16" t="s">
        <v>92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65</v>
      </c>
      <c r="C7363" s="9">
        <v>45870</v>
      </c>
      <c r="D7363">
        <v>22</v>
      </c>
      <c r="E7363" s="16" t="s">
        <v>112</v>
      </c>
      <c r="F7363" s="16" t="s">
        <v>92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65</v>
      </c>
      <c r="C7364" s="9">
        <v>45901</v>
      </c>
      <c r="D7364">
        <v>22</v>
      </c>
      <c r="E7364" s="16" t="s">
        <v>112</v>
      </c>
      <c r="F7364" s="16" t="s">
        <v>92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65</v>
      </c>
      <c r="C7365" s="9">
        <v>45931</v>
      </c>
      <c r="D7365">
        <v>22</v>
      </c>
      <c r="E7365" s="16" t="s">
        <v>112</v>
      </c>
      <c r="F7365" s="16" t="s">
        <v>92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65</v>
      </c>
      <c r="C7366" s="9">
        <v>45962</v>
      </c>
      <c r="D7366">
        <v>22</v>
      </c>
      <c r="E7366" s="16" t="s">
        <v>112</v>
      </c>
      <c r="F7366" s="16" t="s">
        <v>92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65</v>
      </c>
      <c r="C7367" s="9">
        <v>45992</v>
      </c>
      <c r="D7367">
        <v>22</v>
      </c>
      <c r="E7367" s="16" t="s">
        <v>112</v>
      </c>
      <c r="F7367" s="16" t="s">
        <v>92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65</v>
      </c>
      <c r="C7368" s="9">
        <v>46023</v>
      </c>
      <c r="D7368">
        <v>22</v>
      </c>
      <c r="E7368" s="16" t="s">
        <v>112</v>
      </c>
      <c r="F7368" s="16" t="s">
        <v>92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65</v>
      </c>
      <c r="C7369" s="9">
        <v>46054</v>
      </c>
      <c r="D7369">
        <v>22</v>
      </c>
      <c r="E7369" s="16" t="s">
        <v>112</v>
      </c>
      <c r="F7369" s="16" t="s">
        <v>92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65</v>
      </c>
      <c r="C7370" s="9">
        <v>46082</v>
      </c>
      <c r="D7370">
        <v>22</v>
      </c>
      <c r="E7370" s="16" t="s">
        <v>112</v>
      </c>
      <c r="F7370" s="16" t="s">
        <v>92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65</v>
      </c>
      <c r="C7371" s="9">
        <v>46113</v>
      </c>
      <c r="D7371">
        <v>22</v>
      </c>
      <c r="E7371" s="16" t="s">
        <v>112</v>
      </c>
      <c r="F7371" s="16" t="s">
        <v>92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65</v>
      </c>
      <c r="C7372" s="9">
        <v>46143</v>
      </c>
      <c r="D7372">
        <v>22</v>
      </c>
      <c r="E7372" s="16" t="s">
        <v>112</v>
      </c>
      <c r="F7372" s="16" t="s">
        <v>92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65</v>
      </c>
      <c r="C7373" s="9">
        <v>46174</v>
      </c>
      <c r="D7373">
        <v>22</v>
      </c>
      <c r="E7373" s="16" t="s">
        <v>112</v>
      </c>
      <c r="F7373" s="16" t="s">
        <v>92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65</v>
      </c>
      <c r="C7374" s="9">
        <v>46204</v>
      </c>
      <c r="D7374">
        <v>22</v>
      </c>
      <c r="E7374" s="16" t="s">
        <v>112</v>
      </c>
      <c r="F7374" s="16" t="s">
        <v>92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65</v>
      </c>
      <c r="C7375" s="9">
        <v>46235</v>
      </c>
      <c r="D7375">
        <v>22</v>
      </c>
      <c r="E7375" s="16" t="s">
        <v>112</v>
      </c>
      <c r="F7375" s="16" t="s">
        <v>92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65</v>
      </c>
      <c r="C7376" s="9">
        <v>46266</v>
      </c>
      <c r="D7376">
        <v>22</v>
      </c>
      <c r="E7376" s="16" t="s">
        <v>112</v>
      </c>
      <c r="F7376" s="16" t="s">
        <v>92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65</v>
      </c>
      <c r="C7377" s="9">
        <v>45689</v>
      </c>
      <c r="D7377">
        <v>23</v>
      </c>
      <c r="E7377" s="16" t="s">
        <v>113</v>
      </c>
      <c r="F7377" s="16" t="s">
        <v>94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65</v>
      </c>
      <c r="C7378" s="9">
        <v>45717</v>
      </c>
      <c r="D7378">
        <v>23</v>
      </c>
      <c r="E7378" s="16" t="s">
        <v>113</v>
      </c>
      <c r="F7378" s="16" t="s">
        <v>94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65</v>
      </c>
      <c r="C7379" s="9">
        <v>45748</v>
      </c>
      <c r="D7379">
        <v>23</v>
      </c>
      <c r="E7379" s="16" t="s">
        <v>113</v>
      </c>
      <c r="F7379" s="16" t="s">
        <v>94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65</v>
      </c>
      <c r="C7380" s="9">
        <v>45778</v>
      </c>
      <c r="D7380">
        <v>23</v>
      </c>
      <c r="E7380" s="16" t="s">
        <v>113</v>
      </c>
      <c r="F7380" s="16" t="s">
        <v>94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65</v>
      </c>
      <c r="C7381" s="9">
        <v>45809</v>
      </c>
      <c r="D7381">
        <v>23</v>
      </c>
      <c r="E7381" s="16" t="s">
        <v>113</v>
      </c>
      <c r="F7381" s="16" t="s">
        <v>94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65</v>
      </c>
      <c r="C7382" s="9">
        <v>45839</v>
      </c>
      <c r="D7382">
        <v>23</v>
      </c>
      <c r="E7382" s="16" t="s">
        <v>113</v>
      </c>
      <c r="F7382" s="16" t="s">
        <v>94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65</v>
      </c>
      <c r="C7383" s="9">
        <v>45870</v>
      </c>
      <c r="D7383">
        <v>23</v>
      </c>
      <c r="E7383" s="16" t="s">
        <v>113</v>
      </c>
      <c r="F7383" s="16" t="s">
        <v>94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65</v>
      </c>
      <c r="C7384" s="9">
        <v>45901</v>
      </c>
      <c r="D7384">
        <v>23</v>
      </c>
      <c r="E7384" s="16" t="s">
        <v>113</v>
      </c>
      <c r="F7384" s="16" t="s">
        <v>94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65</v>
      </c>
      <c r="C7385" s="9">
        <v>45931</v>
      </c>
      <c r="D7385">
        <v>23</v>
      </c>
      <c r="E7385" s="16" t="s">
        <v>113</v>
      </c>
      <c r="F7385" s="16" t="s">
        <v>94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65</v>
      </c>
      <c r="C7386" s="9">
        <v>45962</v>
      </c>
      <c r="D7386">
        <v>23</v>
      </c>
      <c r="E7386" s="16" t="s">
        <v>113</v>
      </c>
      <c r="F7386" s="16" t="s">
        <v>94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65</v>
      </c>
      <c r="C7387" s="9">
        <v>45992</v>
      </c>
      <c r="D7387">
        <v>23</v>
      </c>
      <c r="E7387" s="16" t="s">
        <v>113</v>
      </c>
      <c r="F7387" s="16" t="s">
        <v>94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65</v>
      </c>
      <c r="C7388" s="9">
        <v>46023</v>
      </c>
      <c r="D7388">
        <v>23</v>
      </c>
      <c r="E7388" s="16" t="s">
        <v>113</v>
      </c>
      <c r="F7388" s="16" t="s">
        <v>94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65</v>
      </c>
      <c r="C7389" s="9">
        <v>46054</v>
      </c>
      <c r="D7389">
        <v>23</v>
      </c>
      <c r="E7389" s="16" t="s">
        <v>113</v>
      </c>
      <c r="F7389" s="16" t="s">
        <v>94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65</v>
      </c>
      <c r="C7390" s="9">
        <v>46082</v>
      </c>
      <c r="D7390">
        <v>23</v>
      </c>
      <c r="E7390" s="16" t="s">
        <v>113</v>
      </c>
      <c r="F7390" s="16" t="s">
        <v>94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65</v>
      </c>
      <c r="C7391" s="9">
        <v>46113</v>
      </c>
      <c r="D7391">
        <v>23</v>
      </c>
      <c r="E7391" s="16" t="s">
        <v>113</v>
      </c>
      <c r="F7391" s="16" t="s">
        <v>94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65</v>
      </c>
      <c r="C7392" s="9">
        <v>46143</v>
      </c>
      <c r="D7392">
        <v>23</v>
      </c>
      <c r="E7392" s="16" t="s">
        <v>113</v>
      </c>
      <c r="F7392" s="16" t="s">
        <v>94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65</v>
      </c>
      <c r="C7393" s="9">
        <v>46174</v>
      </c>
      <c r="D7393">
        <v>23</v>
      </c>
      <c r="E7393" s="16" t="s">
        <v>113</v>
      </c>
      <c r="F7393" s="16" t="s">
        <v>94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65</v>
      </c>
      <c r="C7394" s="9">
        <v>46204</v>
      </c>
      <c r="D7394">
        <v>23</v>
      </c>
      <c r="E7394" s="16" t="s">
        <v>113</v>
      </c>
      <c r="F7394" s="16" t="s">
        <v>94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65</v>
      </c>
      <c r="C7395" s="9">
        <v>46235</v>
      </c>
      <c r="D7395">
        <v>23</v>
      </c>
      <c r="E7395" s="16" t="s">
        <v>113</v>
      </c>
      <c r="F7395" s="16" t="s">
        <v>94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65</v>
      </c>
      <c r="C7396" s="9">
        <v>46266</v>
      </c>
      <c r="D7396">
        <v>23</v>
      </c>
      <c r="E7396" s="16" t="s">
        <v>113</v>
      </c>
      <c r="F7396" s="16" t="s">
        <v>94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65</v>
      </c>
      <c r="C7397" s="9">
        <v>45689</v>
      </c>
      <c r="D7397">
        <v>24</v>
      </c>
      <c r="E7397" s="16" t="s">
        <v>114</v>
      </c>
      <c r="F7397" s="16" t="s">
        <v>85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65</v>
      </c>
      <c r="C7398" s="9">
        <v>45717</v>
      </c>
      <c r="D7398">
        <v>24</v>
      </c>
      <c r="E7398" s="16" t="s">
        <v>114</v>
      </c>
      <c r="F7398" s="16" t="s">
        <v>85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65</v>
      </c>
      <c r="C7399" s="9">
        <v>45748</v>
      </c>
      <c r="D7399">
        <v>24</v>
      </c>
      <c r="E7399" s="16" t="s">
        <v>114</v>
      </c>
      <c r="F7399" s="16" t="s">
        <v>85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65</v>
      </c>
      <c r="C7400" s="9">
        <v>45778</v>
      </c>
      <c r="D7400">
        <v>24</v>
      </c>
      <c r="E7400" s="16" t="s">
        <v>114</v>
      </c>
      <c r="F7400" s="16" t="s">
        <v>85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65</v>
      </c>
      <c r="C7401" s="9">
        <v>45809</v>
      </c>
      <c r="D7401">
        <v>24</v>
      </c>
      <c r="E7401" s="16" t="s">
        <v>114</v>
      </c>
      <c r="F7401" s="16" t="s">
        <v>85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65</v>
      </c>
      <c r="C7402" s="9">
        <v>45839</v>
      </c>
      <c r="D7402">
        <v>24</v>
      </c>
      <c r="E7402" s="16" t="s">
        <v>114</v>
      </c>
      <c r="F7402" s="16" t="s">
        <v>85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65</v>
      </c>
      <c r="C7403" s="9">
        <v>45870</v>
      </c>
      <c r="D7403">
        <v>24</v>
      </c>
      <c r="E7403" s="16" t="s">
        <v>114</v>
      </c>
      <c r="F7403" s="16" t="s">
        <v>85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65</v>
      </c>
      <c r="C7404" s="9">
        <v>45901</v>
      </c>
      <c r="D7404">
        <v>24</v>
      </c>
      <c r="E7404" s="16" t="s">
        <v>114</v>
      </c>
      <c r="F7404" s="16" t="s">
        <v>85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65</v>
      </c>
      <c r="C7405" s="9">
        <v>45931</v>
      </c>
      <c r="D7405">
        <v>24</v>
      </c>
      <c r="E7405" s="16" t="s">
        <v>114</v>
      </c>
      <c r="F7405" s="16" t="s">
        <v>85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65</v>
      </c>
      <c r="C7406" s="9">
        <v>45962</v>
      </c>
      <c r="D7406">
        <v>24</v>
      </c>
      <c r="E7406" s="16" t="s">
        <v>114</v>
      </c>
      <c r="F7406" s="16" t="s">
        <v>85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65</v>
      </c>
      <c r="C7407" s="9">
        <v>45992</v>
      </c>
      <c r="D7407">
        <v>24</v>
      </c>
      <c r="E7407" s="16" t="s">
        <v>114</v>
      </c>
      <c r="F7407" s="16" t="s">
        <v>85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65</v>
      </c>
      <c r="C7408" s="9">
        <v>46023</v>
      </c>
      <c r="D7408">
        <v>24</v>
      </c>
      <c r="E7408" s="16" t="s">
        <v>114</v>
      </c>
      <c r="F7408" s="16" t="s">
        <v>85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65</v>
      </c>
      <c r="C7409" s="9">
        <v>46054</v>
      </c>
      <c r="D7409">
        <v>24</v>
      </c>
      <c r="E7409" s="16" t="s">
        <v>114</v>
      </c>
      <c r="F7409" s="16" t="s">
        <v>85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65</v>
      </c>
      <c r="C7410" s="9">
        <v>46082</v>
      </c>
      <c r="D7410">
        <v>24</v>
      </c>
      <c r="E7410" s="16" t="s">
        <v>114</v>
      </c>
      <c r="F7410" s="16" t="s">
        <v>85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65</v>
      </c>
      <c r="C7411" s="9">
        <v>46113</v>
      </c>
      <c r="D7411">
        <v>24</v>
      </c>
      <c r="E7411" s="16" t="s">
        <v>114</v>
      </c>
      <c r="F7411" s="16" t="s">
        <v>85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65</v>
      </c>
      <c r="C7412" s="9">
        <v>46143</v>
      </c>
      <c r="D7412">
        <v>24</v>
      </c>
      <c r="E7412" s="16" t="s">
        <v>114</v>
      </c>
      <c r="F7412" s="16" t="s">
        <v>85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65</v>
      </c>
      <c r="C7413" s="9">
        <v>46174</v>
      </c>
      <c r="D7413">
        <v>24</v>
      </c>
      <c r="E7413" s="16" t="s">
        <v>114</v>
      </c>
      <c r="F7413" s="16" t="s">
        <v>85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65</v>
      </c>
      <c r="C7414" s="9">
        <v>46204</v>
      </c>
      <c r="D7414">
        <v>24</v>
      </c>
      <c r="E7414" s="16" t="s">
        <v>114</v>
      </c>
      <c r="F7414" s="16" t="s">
        <v>85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65</v>
      </c>
      <c r="C7415" s="9">
        <v>46235</v>
      </c>
      <c r="D7415">
        <v>24</v>
      </c>
      <c r="E7415" s="16" t="s">
        <v>114</v>
      </c>
      <c r="F7415" s="16" t="s">
        <v>85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65</v>
      </c>
      <c r="C7416" s="9">
        <v>46266</v>
      </c>
      <c r="D7416">
        <v>24</v>
      </c>
      <c r="E7416" s="16" t="s">
        <v>114</v>
      </c>
      <c r="F7416" s="16" t="s">
        <v>85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65</v>
      </c>
      <c r="C7417" s="9">
        <v>45689</v>
      </c>
      <c r="D7417">
        <v>25</v>
      </c>
      <c r="E7417" s="16" t="s">
        <v>115</v>
      </c>
      <c r="F7417" s="16" t="s">
        <v>116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65</v>
      </c>
      <c r="C7418" s="9">
        <v>45717</v>
      </c>
      <c r="D7418">
        <v>25</v>
      </c>
      <c r="E7418" s="16" t="s">
        <v>115</v>
      </c>
      <c r="F7418" s="16" t="s">
        <v>116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65</v>
      </c>
      <c r="C7419" s="9">
        <v>45748</v>
      </c>
      <c r="D7419">
        <v>25</v>
      </c>
      <c r="E7419" s="16" t="s">
        <v>115</v>
      </c>
      <c r="F7419" s="16" t="s">
        <v>116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65</v>
      </c>
      <c r="C7420" s="9">
        <v>45778</v>
      </c>
      <c r="D7420">
        <v>25</v>
      </c>
      <c r="E7420" s="16" t="s">
        <v>115</v>
      </c>
      <c r="F7420" s="16" t="s">
        <v>116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65</v>
      </c>
      <c r="C7421" s="9">
        <v>45809</v>
      </c>
      <c r="D7421">
        <v>25</v>
      </c>
      <c r="E7421" s="16" t="s">
        <v>115</v>
      </c>
      <c r="F7421" s="16" t="s">
        <v>116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65</v>
      </c>
      <c r="C7422" s="9">
        <v>45839</v>
      </c>
      <c r="D7422">
        <v>25</v>
      </c>
      <c r="E7422" s="16" t="s">
        <v>115</v>
      </c>
      <c r="F7422" s="16" t="s">
        <v>116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65</v>
      </c>
      <c r="C7423" s="9">
        <v>45870</v>
      </c>
      <c r="D7423">
        <v>25</v>
      </c>
      <c r="E7423" s="16" t="s">
        <v>115</v>
      </c>
      <c r="F7423" s="16" t="s">
        <v>116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65</v>
      </c>
      <c r="C7424" s="9">
        <v>45901</v>
      </c>
      <c r="D7424">
        <v>25</v>
      </c>
      <c r="E7424" s="16" t="s">
        <v>115</v>
      </c>
      <c r="F7424" s="16" t="s">
        <v>116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65</v>
      </c>
      <c r="C7425" s="9">
        <v>45931</v>
      </c>
      <c r="D7425">
        <v>25</v>
      </c>
      <c r="E7425" s="16" t="s">
        <v>115</v>
      </c>
      <c r="F7425" s="16" t="s">
        <v>116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65</v>
      </c>
      <c r="C7426" s="9">
        <v>45962</v>
      </c>
      <c r="D7426">
        <v>25</v>
      </c>
      <c r="E7426" s="16" t="s">
        <v>115</v>
      </c>
      <c r="F7426" s="16" t="s">
        <v>116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65</v>
      </c>
      <c r="C7427" s="9">
        <v>45992</v>
      </c>
      <c r="D7427">
        <v>25</v>
      </c>
      <c r="E7427" s="16" t="s">
        <v>115</v>
      </c>
      <c r="F7427" s="16" t="s">
        <v>116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65</v>
      </c>
      <c r="C7428" s="9">
        <v>46023</v>
      </c>
      <c r="D7428">
        <v>25</v>
      </c>
      <c r="E7428" s="16" t="s">
        <v>115</v>
      </c>
      <c r="F7428" s="16" t="s">
        <v>116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65</v>
      </c>
      <c r="C7429" s="9">
        <v>46054</v>
      </c>
      <c r="D7429">
        <v>25</v>
      </c>
      <c r="E7429" s="16" t="s">
        <v>115</v>
      </c>
      <c r="F7429" s="16" t="s">
        <v>116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65</v>
      </c>
      <c r="C7430" s="9">
        <v>46082</v>
      </c>
      <c r="D7430">
        <v>25</v>
      </c>
      <c r="E7430" s="16" t="s">
        <v>115</v>
      </c>
      <c r="F7430" s="16" t="s">
        <v>116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65</v>
      </c>
      <c r="C7431" s="9">
        <v>46113</v>
      </c>
      <c r="D7431">
        <v>25</v>
      </c>
      <c r="E7431" s="16" t="s">
        <v>115</v>
      </c>
      <c r="F7431" s="16" t="s">
        <v>116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65</v>
      </c>
      <c r="C7432" s="9">
        <v>46143</v>
      </c>
      <c r="D7432">
        <v>25</v>
      </c>
      <c r="E7432" s="16" t="s">
        <v>115</v>
      </c>
      <c r="F7432" s="16" t="s">
        <v>116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65</v>
      </c>
      <c r="C7433" s="9">
        <v>46174</v>
      </c>
      <c r="D7433">
        <v>25</v>
      </c>
      <c r="E7433" s="16" t="s">
        <v>115</v>
      </c>
      <c r="F7433" s="16" t="s">
        <v>116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65</v>
      </c>
      <c r="C7434" s="9">
        <v>46204</v>
      </c>
      <c r="D7434">
        <v>25</v>
      </c>
      <c r="E7434" s="16" t="s">
        <v>115</v>
      </c>
      <c r="F7434" s="16" t="s">
        <v>116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65</v>
      </c>
      <c r="C7435" s="9">
        <v>46235</v>
      </c>
      <c r="D7435">
        <v>25</v>
      </c>
      <c r="E7435" s="16" t="s">
        <v>115</v>
      </c>
      <c r="F7435" s="16" t="s">
        <v>116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65</v>
      </c>
      <c r="C7436" s="9">
        <v>46266</v>
      </c>
      <c r="D7436">
        <v>25</v>
      </c>
      <c r="E7436" s="16" t="s">
        <v>115</v>
      </c>
      <c r="F7436" s="16" t="s">
        <v>116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65</v>
      </c>
      <c r="C7437" s="9">
        <v>45689</v>
      </c>
      <c r="D7437">
        <v>26</v>
      </c>
      <c r="E7437" s="16" t="s">
        <v>117</v>
      </c>
      <c r="F7437" s="16" t="s">
        <v>92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65</v>
      </c>
      <c r="C7438" s="9">
        <v>45717</v>
      </c>
      <c r="D7438">
        <v>26</v>
      </c>
      <c r="E7438" s="16" t="s">
        <v>117</v>
      </c>
      <c r="F7438" s="16" t="s">
        <v>92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65</v>
      </c>
      <c r="C7439" s="9">
        <v>45748</v>
      </c>
      <c r="D7439">
        <v>26</v>
      </c>
      <c r="E7439" s="16" t="s">
        <v>117</v>
      </c>
      <c r="F7439" s="16" t="s">
        <v>92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65</v>
      </c>
      <c r="C7440" s="9">
        <v>45778</v>
      </c>
      <c r="D7440">
        <v>26</v>
      </c>
      <c r="E7440" s="16" t="s">
        <v>117</v>
      </c>
      <c r="F7440" s="16" t="s">
        <v>92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65</v>
      </c>
      <c r="C7441" s="9">
        <v>45809</v>
      </c>
      <c r="D7441">
        <v>26</v>
      </c>
      <c r="E7441" s="16" t="s">
        <v>117</v>
      </c>
      <c r="F7441" s="16" t="s">
        <v>92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65</v>
      </c>
      <c r="C7442" s="9">
        <v>45839</v>
      </c>
      <c r="D7442">
        <v>26</v>
      </c>
      <c r="E7442" s="16" t="s">
        <v>117</v>
      </c>
      <c r="F7442" s="16" t="s">
        <v>92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65</v>
      </c>
      <c r="C7443" s="9">
        <v>45870</v>
      </c>
      <c r="D7443">
        <v>26</v>
      </c>
      <c r="E7443" s="16" t="s">
        <v>117</v>
      </c>
      <c r="F7443" s="16" t="s">
        <v>92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65</v>
      </c>
      <c r="C7444" s="9">
        <v>45901</v>
      </c>
      <c r="D7444">
        <v>26</v>
      </c>
      <c r="E7444" s="16" t="s">
        <v>117</v>
      </c>
      <c r="F7444" s="16" t="s">
        <v>92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65</v>
      </c>
      <c r="C7445" s="9">
        <v>45931</v>
      </c>
      <c r="D7445">
        <v>26</v>
      </c>
      <c r="E7445" s="16" t="s">
        <v>117</v>
      </c>
      <c r="F7445" s="16" t="s">
        <v>92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65</v>
      </c>
      <c r="C7446" s="9">
        <v>45962</v>
      </c>
      <c r="D7446">
        <v>26</v>
      </c>
      <c r="E7446" s="16" t="s">
        <v>117</v>
      </c>
      <c r="F7446" s="16" t="s">
        <v>92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65</v>
      </c>
      <c r="C7447" s="9">
        <v>45992</v>
      </c>
      <c r="D7447">
        <v>26</v>
      </c>
      <c r="E7447" s="16" t="s">
        <v>117</v>
      </c>
      <c r="F7447" s="16" t="s">
        <v>92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65</v>
      </c>
      <c r="C7448" s="9">
        <v>46023</v>
      </c>
      <c r="D7448">
        <v>26</v>
      </c>
      <c r="E7448" s="16" t="s">
        <v>117</v>
      </c>
      <c r="F7448" s="16" t="s">
        <v>92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65</v>
      </c>
      <c r="C7449" s="9">
        <v>46054</v>
      </c>
      <c r="D7449">
        <v>26</v>
      </c>
      <c r="E7449" s="16" t="s">
        <v>117</v>
      </c>
      <c r="F7449" s="16" t="s">
        <v>92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65</v>
      </c>
      <c r="C7450" s="9">
        <v>46082</v>
      </c>
      <c r="D7450">
        <v>26</v>
      </c>
      <c r="E7450" s="16" t="s">
        <v>117</v>
      </c>
      <c r="F7450" s="16" t="s">
        <v>92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65</v>
      </c>
      <c r="C7451" s="9">
        <v>46113</v>
      </c>
      <c r="D7451">
        <v>26</v>
      </c>
      <c r="E7451" s="16" t="s">
        <v>117</v>
      </c>
      <c r="F7451" s="16" t="s">
        <v>92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65</v>
      </c>
      <c r="C7452" s="9">
        <v>46143</v>
      </c>
      <c r="D7452">
        <v>26</v>
      </c>
      <c r="E7452" s="16" t="s">
        <v>117</v>
      </c>
      <c r="F7452" s="16" t="s">
        <v>92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65</v>
      </c>
      <c r="C7453" s="9">
        <v>46204</v>
      </c>
      <c r="D7453">
        <v>26</v>
      </c>
      <c r="E7453" s="16" t="s">
        <v>117</v>
      </c>
      <c r="F7453" s="16" t="s">
        <v>92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65</v>
      </c>
      <c r="C7454" s="9">
        <v>46235</v>
      </c>
      <c r="D7454">
        <v>26</v>
      </c>
      <c r="E7454" s="16" t="s">
        <v>117</v>
      </c>
      <c r="F7454" s="16" t="s">
        <v>92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65</v>
      </c>
      <c r="C7455" s="9">
        <v>46266</v>
      </c>
      <c r="D7455">
        <v>26</v>
      </c>
      <c r="E7455" s="16" t="s">
        <v>117</v>
      </c>
      <c r="F7455" s="16" t="s">
        <v>92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65</v>
      </c>
      <c r="C7456" s="9">
        <v>45689</v>
      </c>
      <c r="D7456">
        <v>27</v>
      </c>
      <c r="E7456" s="16" t="s">
        <v>118</v>
      </c>
      <c r="F7456" s="16" t="s">
        <v>92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65</v>
      </c>
      <c r="C7457" s="9">
        <v>45717</v>
      </c>
      <c r="D7457">
        <v>27</v>
      </c>
      <c r="E7457" s="16" t="s">
        <v>118</v>
      </c>
      <c r="F7457" s="16" t="s">
        <v>92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65</v>
      </c>
      <c r="C7458" s="9">
        <v>45748</v>
      </c>
      <c r="D7458">
        <v>27</v>
      </c>
      <c r="E7458" s="16" t="s">
        <v>118</v>
      </c>
      <c r="F7458" s="16" t="s">
        <v>92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65</v>
      </c>
      <c r="C7459" s="9">
        <v>45778</v>
      </c>
      <c r="D7459">
        <v>27</v>
      </c>
      <c r="E7459" s="16" t="s">
        <v>118</v>
      </c>
      <c r="F7459" s="16" t="s">
        <v>92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65</v>
      </c>
      <c r="C7460" s="9">
        <v>45809</v>
      </c>
      <c r="D7460">
        <v>27</v>
      </c>
      <c r="E7460" s="16" t="s">
        <v>118</v>
      </c>
      <c r="F7460" s="16" t="s">
        <v>92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65</v>
      </c>
      <c r="C7461" s="9">
        <v>45839</v>
      </c>
      <c r="D7461">
        <v>27</v>
      </c>
      <c r="E7461" s="16" t="s">
        <v>118</v>
      </c>
      <c r="F7461" s="16" t="s">
        <v>92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65</v>
      </c>
      <c r="C7462" s="9">
        <v>45870</v>
      </c>
      <c r="D7462">
        <v>27</v>
      </c>
      <c r="E7462" s="16" t="s">
        <v>118</v>
      </c>
      <c r="F7462" s="16" t="s">
        <v>92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65</v>
      </c>
      <c r="C7463" s="9">
        <v>45901</v>
      </c>
      <c r="D7463">
        <v>27</v>
      </c>
      <c r="E7463" s="16" t="s">
        <v>118</v>
      </c>
      <c r="F7463" s="16" t="s">
        <v>92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65</v>
      </c>
      <c r="C7464" s="9">
        <v>45931</v>
      </c>
      <c r="D7464">
        <v>27</v>
      </c>
      <c r="E7464" s="16" t="s">
        <v>118</v>
      </c>
      <c r="F7464" s="16" t="s">
        <v>92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65</v>
      </c>
      <c r="C7465" s="9">
        <v>45962</v>
      </c>
      <c r="D7465">
        <v>27</v>
      </c>
      <c r="E7465" s="16" t="s">
        <v>118</v>
      </c>
      <c r="F7465" s="16" t="s">
        <v>92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65</v>
      </c>
      <c r="C7466" s="9">
        <v>45992</v>
      </c>
      <c r="D7466">
        <v>27</v>
      </c>
      <c r="E7466" s="16" t="s">
        <v>118</v>
      </c>
      <c r="F7466" s="16" t="s">
        <v>92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65</v>
      </c>
      <c r="C7467" s="9">
        <v>46023</v>
      </c>
      <c r="D7467">
        <v>27</v>
      </c>
      <c r="E7467" s="16" t="s">
        <v>118</v>
      </c>
      <c r="F7467" s="16" t="s">
        <v>92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65</v>
      </c>
      <c r="C7468" s="9">
        <v>46054</v>
      </c>
      <c r="D7468">
        <v>27</v>
      </c>
      <c r="E7468" s="16" t="s">
        <v>118</v>
      </c>
      <c r="F7468" s="16" t="s">
        <v>92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65</v>
      </c>
      <c r="C7469" s="9">
        <v>46082</v>
      </c>
      <c r="D7469">
        <v>27</v>
      </c>
      <c r="E7469" s="16" t="s">
        <v>118</v>
      </c>
      <c r="F7469" s="16" t="s">
        <v>92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65</v>
      </c>
      <c r="C7470" s="9">
        <v>46113</v>
      </c>
      <c r="D7470">
        <v>27</v>
      </c>
      <c r="E7470" s="16" t="s">
        <v>118</v>
      </c>
      <c r="F7470" s="16" t="s">
        <v>92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65</v>
      </c>
      <c r="C7471" s="9">
        <v>46143</v>
      </c>
      <c r="D7471">
        <v>27</v>
      </c>
      <c r="E7471" s="16" t="s">
        <v>118</v>
      </c>
      <c r="F7471" s="16" t="s">
        <v>92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65</v>
      </c>
      <c r="C7472" s="9">
        <v>46174</v>
      </c>
      <c r="D7472">
        <v>27</v>
      </c>
      <c r="E7472" s="16" t="s">
        <v>118</v>
      </c>
      <c r="F7472" s="16" t="s">
        <v>92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65</v>
      </c>
      <c r="C7473" s="9">
        <v>46204</v>
      </c>
      <c r="D7473">
        <v>27</v>
      </c>
      <c r="E7473" s="16" t="s">
        <v>118</v>
      </c>
      <c r="F7473" s="16" t="s">
        <v>92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65</v>
      </c>
      <c r="C7474" s="9">
        <v>46235</v>
      </c>
      <c r="D7474">
        <v>27</v>
      </c>
      <c r="E7474" s="16" t="s">
        <v>118</v>
      </c>
      <c r="F7474" s="16" t="s">
        <v>92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65</v>
      </c>
      <c r="C7475" s="9">
        <v>46266</v>
      </c>
      <c r="D7475">
        <v>27</v>
      </c>
      <c r="E7475" s="16" t="s">
        <v>118</v>
      </c>
      <c r="F7475" s="16" t="s">
        <v>92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65</v>
      </c>
      <c r="C7476" s="9">
        <v>45689</v>
      </c>
      <c r="D7476">
        <v>28</v>
      </c>
      <c r="E7476" s="16" t="s">
        <v>119</v>
      </c>
      <c r="F7476" s="16" t="s">
        <v>94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65</v>
      </c>
      <c r="C7477" s="9">
        <v>45717</v>
      </c>
      <c r="D7477">
        <v>28</v>
      </c>
      <c r="E7477" s="16" t="s">
        <v>119</v>
      </c>
      <c r="F7477" s="16" t="s">
        <v>94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65</v>
      </c>
      <c r="C7478" s="9">
        <v>45748</v>
      </c>
      <c r="D7478">
        <v>28</v>
      </c>
      <c r="E7478" s="16" t="s">
        <v>119</v>
      </c>
      <c r="F7478" s="16" t="s">
        <v>94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65</v>
      </c>
      <c r="C7479" s="9">
        <v>45778</v>
      </c>
      <c r="D7479">
        <v>28</v>
      </c>
      <c r="E7479" s="16" t="s">
        <v>119</v>
      </c>
      <c r="F7479" s="16" t="s">
        <v>94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65</v>
      </c>
      <c r="C7480" s="9">
        <v>45809</v>
      </c>
      <c r="D7480">
        <v>28</v>
      </c>
      <c r="E7480" s="16" t="s">
        <v>119</v>
      </c>
      <c r="F7480" s="16" t="s">
        <v>94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65</v>
      </c>
      <c r="C7481" s="9">
        <v>45839</v>
      </c>
      <c r="D7481">
        <v>28</v>
      </c>
      <c r="E7481" s="16" t="s">
        <v>119</v>
      </c>
      <c r="F7481" s="16" t="s">
        <v>94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65</v>
      </c>
      <c r="C7482" s="9">
        <v>45870</v>
      </c>
      <c r="D7482">
        <v>28</v>
      </c>
      <c r="E7482" s="16" t="s">
        <v>119</v>
      </c>
      <c r="F7482" s="16" t="s">
        <v>94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65</v>
      </c>
      <c r="C7483" s="9">
        <v>45901</v>
      </c>
      <c r="D7483">
        <v>28</v>
      </c>
      <c r="E7483" s="16" t="s">
        <v>119</v>
      </c>
      <c r="F7483" s="16" t="s">
        <v>94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65</v>
      </c>
      <c r="C7484" s="9">
        <v>45931</v>
      </c>
      <c r="D7484">
        <v>28</v>
      </c>
      <c r="E7484" s="16" t="s">
        <v>119</v>
      </c>
      <c r="F7484" s="16" t="s">
        <v>94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65</v>
      </c>
      <c r="C7485" s="9">
        <v>45962</v>
      </c>
      <c r="D7485">
        <v>28</v>
      </c>
      <c r="E7485" s="16" t="s">
        <v>119</v>
      </c>
      <c r="F7485" s="16" t="s">
        <v>94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65</v>
      </c>
      <c r="C7486" s="9">
        <v>45992</v>
      </c>
      <c r="D7486">
        <v>28</v>
      </c>
      <c r="E7486" s="16" t="s">
        <v>119</v>
      </c>
      <c r="F7486" s="16" t="s">
        <v>94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65</v>
      </c>
      <c r="C7487" s="9">
        <v>46023</v>
      </c>
      <c r="D7487">
        <v>28</v>
      </c>
      <c r="E7487" s="16" t="s">
        <v>119</v>
      </c>
      <c r="F7487" s="16" t="s">
        <v>94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65</v>
      </c>
      <c r="C7488" s="9">
        <v>46054</v>
      </c>
      <c r="D7488">
        <v>28</v>
      </c>
      <c r="E7488" s="16" t="s">
        <v>119</v>
      </c>
      <c r="F7488" s="16" t="s">
        <v>94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65</v>
      </c>
      <c r="C7489" s="9">
        <v>46082</v>
      </c>
      <c r="D7489">
        <v>28</v>
      </c>
      <c r="E7489" s="16" t="s">
        <v>119</v>
      </c>
      <c r="F7489" s="16" t="s">
        <v>94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65</v>
      </c>
      <c r="C7490" s="9">
        <v>46113</v>
      </c>
      <c r="D7490">
        <v>28</v>
      </c>
      <c r="E7490" s="16" t="s">
        <v>119</v>
      </c>
      <c r="F7490" s="16" t="s">
        <v>94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65</v>
      </c>
      <c r="C7491" s="9">
        <v>46143</v>
      </c>
      <c r="D7491">
        <v>28</v>
      </c>
      <c r="E7491" s="16" t="s">
        <v>119</v>
      </c>
      <c r="F7491" s="16" t="s">
        <v>94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65</v>
      </c>
      <c r="C7492" s="9">
        <v>46174</v>
      </c>
      <c r="D7492">
        <v>28</v>
      </c>
      <c r="E7492" s="16" t="s">
        <v>119</v>
      </c>
      <c r="F7492" s="16" t="s">
        <v>94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65</v>
      </c>
      <c r="C7493" s="9">
        <v>46204</v>
      </c>
      <c r="D7493">
        <v>28</v>
      </c>
      <c r="E7493" s="16" t="s">
        <v>119</v>
      </c>
      <c r="F7493" s="16" t="s">
        <v>94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65</v>
      </c>
      <c r="C7494" s="9">
        <v>46235</v>
      </c>
      <c r="D7494">
        <v>28</v>
      </c>
      <c r="E7494" s="16" t="s">
        <v>119</v>
      </c>
      <c r="F7494" s="16" t="s">
        <v>94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65</v>
      </c>
      <c r="C7495" s="9">
        <v>46266</v>
      </c>
      <c r="D7495">
        <v>28</v>
      </c>
      <c r="E7495" s="16" t="s">
        <v>119</v>
      </c>
      <c r="F7495" s="16" t="s">
        <v>94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65</v>
      </c>
      <c r="C7496" s="9">
        <v>45689</v>
      </c>
      <c r="D7496">
        <v>29</v>
      </c>
      <c r="E7496" s="16" t="s">
        <v>120</v>
      </c>
      <c r="F7496" s="16" t="s">
        <v>89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65</v>
      </c>
      <c r="C7497" s="9">
        <v>45717</v>
      </c>
      <c r="D7497">
        <v>29</v>
      </c>
      <c r="E7497" s="16" t="s">
        <v>120</v>
      </c>
      <c r="F7497" s="16" t="s">
        <v>89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65</v>
      </c>
      <c r="C7498" s="9">
        <v>45748</v>
      </c>
      <c r="D7498">
        <v>29</v>
      </c>
      <c r="E7498" s="16" t="s">
        <v>120</v>
      </c>
      <c r="F7498" s="16" t="s">
        <v>89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65</v>
      </c>
      <c r="C7499" s="9">
        <v>45778</v>
      </c>
      <c r="D7499">
        <v>29</v>
      </c>
      <c r="E7499" s="16" t="s">
        <v>120</v>
      </c>
      <c r="F7499" s="16" t="s">
        <v>89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65</v>
      </c>
      <c r="C7500" s="9">
        <v>45809</v>
      </c>
      <c r="D7500">
        <v>29</v>
      </c>
      <c r="E7500" s="16" t="s">
        <v>120</v>
      </c>
      <c r="F7500" s="16" t="s">
        <v>89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65</v>
      </c>
      <c r="C7501" s="9">
        <v>45839</v>
      </c>
      <c r="D7501">
        <v>29</v>
      </c>
      <c r="E7501" s="16" t="s">
        <v>120</v>
      </c>
      <c r="F7501" s="16" t="s">
        <v>89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65</v>
      </c>
      <c r="C7502" s="9">
        <v>45870</v>
      </c>
      <c r="D7502">
        <v>29</v>
      </c>
      <c r="E7502" s="16" t="s">
        <v>120</v>
      </c>
      <c r="F7502" s="16" t="s">
        <v>89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65</v>
      </c>
      <c r="C7503" s="9">
        <v>45901</v>
      </c>
      <c r="D7503">
        <v>29</v>
      </c>
      <c r="E7503" s="16" t="s">
        <v>120</v>
      </c>
      <c r="F7503" s="16" t="s">
        <v>89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65</v>
      </c>
      <c r="C7504" s="9">
        <v>45931</v>
      </c>
      <c r="D7504">
        <v>29</v>
      </c>
      <c r="E7504" s="16" t="s">
        <v>120</v>
      </c>
      <c r="F7504" s="16" t="s">
        <v>89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65</v>
      </c>
      <c r="C7505" s="9">
        <v>45962</v>
      </c>
      <c r="D7505">
        <v>29</v>
      </c>
      <c r="E7505" s="16" t="s">
        <v>120</v>
      </c>
      <c r="F7505" s="16" t="s">
        <v>89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65</v>
      </c>
      <c r="C7506" s="9">
        <v>45992</v>
      </c>
      <c r="D7506">
        <v>29</v>
      </c>
      <c r="E7506" s="16" t="s">
        <v>120</v>
      </c>
      <c r="F7506" s="16" t="s">
        <v>89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65</v>
      </c>
      <c r="C7507" s="9">
        <v>46023</v>
      </c>
      <c r="D7507">
        <v>29</v>
      </c>
      <c r="E7507" s="16" t="s">
        <v>120</v>
      </c>
      <c r="F7507" s="16" t="s">
        <v>89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65</v>
      </c>
      <c r="C7508" s="9">
        <v>46054</v>
      </c>
      <c r="D7508">
        <v>29</v>
      </c>
      <c r="E7508" s="16" t="s">
        <v>120</v>
      </c>
      <c r="F7508" s="16" t="s">
        <v>89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65</v>
      </c>
      <c r="C7509" s="9">
        <v>46082</v>
      </c>
      <c r="D7509">
        <v>29</v>
      </c>
      <c r="E7509" s="16" t="s">
        <v>120</v>
      </c>
      <c r="F7509" s="16" t="s">
        <v>89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65</v>
      </c>
      <c r="C7510" s="9">
        <v>46113</v>
      </c>
      <c r="D7510">
        <v>29</v>
      </c>
      <c r="E7510" s="16" t="s">
        <v>120</v>
      </c>
      <c r="F7510" s="16" t="s">
        <v>89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65</v>
      </c>
      <c r="C7511" s="9">
        <v>46143</v>
      </c>
      <c r="D7511">
        <v>29</v>
      </c>
      <c r="E7511" s="16" t="s">
        <v>120</v>
      </c>
      <c r="F7511" s="16" t="s">
        <v>89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65</v>
      </c>
      <c r="C7512" s="9">
        <v>46174</v>
      </c>
      <c r="D7512">
        <v>29</v>
      </c>
      <c r="E7512" s="16" t="s">
        <v>120</v>
      </c>
      <c r="F7512" s="16" t="s">
        <v>89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65</v>
      </c>
      <c r="C7513" s="9">
        <v>46204</v>
      </c>
      <c r="D7513">
        <v>29</v>
      </c>
      <c r="E7513" s="16" t="s">
        <v>120</v>
      </c>
      <c r="F7513" s="16" t="s">
        <v>89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65</v>
      </c>
      <c r="C7514" s="9">
        <v>46235</v>
      </c>
      <c r="D7514">
        <v>29</v>
      </c>
      <c r="E7514" s="16" t="s">
        <v>120</v>
      </c>
      <c r="F7514" s="16" t="s">
        <v>89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65</v>
      </c>
      <c r="C7515" s="9">
        <v>46266</v>
      </c>
      <c r="D7515">
        <v>29</v>
      </c>
      <c r="E7515" s="16" t="s">
        <v>120</v>
      </c>
      <c r="F7515" s="16" t="s">
        <v>89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65</v>
      </c>
      <c r="C7516" s="9">
        <v>45689</v>
      </c>
      <c r="D7516">
        <v>30</v>
      </c>
      <c r="E7516" s="16" t="s">
        <v>121</v>
      </c>
      <c r="F7516" s="16" t="s">
        <v>94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65</v>
      </c>
      <c r="C7517" s="9">
        <v>45717</v>
      </c>
      <c r="D7517">
        <v>30</v>
      </c>
      <c r="E7517" s="16" t="s">
        <v>121</v>
      </c>
      <c r="F7517" s="16" t="s">
        <v>94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65</v>
      </c>
      <c r="C7518" s="9">
        <v>45748</v>
      </c>
      <c r="D7518">
        <v>30</v>
      </c>
      <c r="E7518" s="16" t="s">
        <v>121</v>
      </c>
      <c r="F7518" s="16" t="s">
        <v>94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65</v>
      </c>
      <c r="C7519" s="9">
        <v>45778</v>
      </c>
      <c r="D7519">
        <v>30</v>
      </c>
      <c r="E7519" s="16" t="s">
        <v>121</v>
      </c>
      <c r="F7519" s="16" t="s">
        <v>94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65</v>
      </c>
      <c r="C7520" s="9">
        <v>45809</v>
      </c>
      <c r="D7520">
        <v>30</v>
      </c>
      <c r="E7520" s="16" t="s">
        <v>121</v>
      </c>
      <c r="F7520" s="16" t="s">
        <v>94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65</v>
      </c>
      <c r="C7521" s="9">
        <v>45839</v>
      </c>
      <c r="D7521">
        <v>30</v>
      </c>
      <c r="E7521" s="16" t="s">
        <v>121</v>
      </c>
      <c r="F7521" s="16" t="s">
        <v>94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65</v>
      </c>
      <c r="C7522" s="9">
        <v>45870</v>
      </c>
      <c r="D7522">
        <v>30</v>
      </c>
      <c r="E7522" s="16" t="s">
        <v>121</v>
      </c>
      <c r="F7522" s="16" t="s">
        <v>94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65</v>
      </c>
      <c r="C7523" s="9">
        <v>45901</v>
      </c>
      <c r="D7523">
        <v>30</v>
      </c>
      <c r="E7523" s="16" t="s">
        <v>121</v>
      </c>
      <c r="F7523" s="16" t="s">
        <v>94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65</v>
      </c>
      <c r="C7524" s="9">
        <v>45931</v>
      </c>
      <c r="D7524">
        <v>30</v>
      </c>
      <c r="E7524" s="16" t="s">
        <v>121</v>
      </c>
      <c r="F7524" s="16" t="s">
        <v>94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65</v>
      </c>
      <c r="C7525" s="9">
        <v>45962</v>
      </c>
      <c r="D7525">
        <v>30</v>
      </c>
      <c r="E7525" s="16" t="s">
        <v>121</v>
      </c>
      <c r="F7525" s="16" t="s">
        <v>94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65</v>
      </c>
      <c r="C7526" s="9">
        <v>45992</v>
      </c>
      <c r="D7526">
        <v>30</v>
      </c>
      <c r="E7526" s="16" t="s">
        <v>121</v>
      </c>
      <c r="F7526" s="16" t="s">
        <v>94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65</v>
      </c>
      <c r="C7527" s="9">
        <v>46023</v>
      </c>
      <c r="D7527">
        <v>30</v>
      </c>
      <c r="E7527" s="16" t="s">
        <v>121</v>
      </c>
      <c r="F7527" s="16" t="s">
        <v>94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65</v>
      </c>
      <c r="C7528" s="9">
        <v>46054</v>
      </c>
      <c r="D7528">
        <v>30</v>
      </c>
      <c r="E7528" s="16" t="s">
        <v>121</v>
      </c>
      <c r="F7528" s="16" t="s">
        <v>94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65</v>
      </c>
      <c r="C7529" s="9">
        <v>46082</v>
      </c>
      <c r="D7529">
        <v>30</v>
      </c>
      <c r="E7529" s="16" t="s">
        <v>121</v>
      </c>
      <c r="F7529" s="16" t="s">
        <v>94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65</v>
      </c>
      <c r="C7530" s="9">
        <v>46113</v>
      </c>
      <c r="D7530">
        <v>30</v>
      </c>
      <c r="E7530" s="16" t="s">
        <v>121</v>
      </c>
      <c r="F7530" s="16" t="s">
        <v>94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65</v>
      </c>
      <c r="C7531" s="9">
        <v>46143</v>
      </c>
      <c r="D7531">
        <v>30</v>
      </c>
      <c r="E7531" s="16" t="s">
        <v>121</v>
      </c>
      <c r="F7531" s="16" t="s">
        <v>94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65</v>
      </c>
      <c r="C7532" s="9">
        <v>46174</v>
      </c>
      <c r="D7532">
        <v>30</v>
      </c>
      <c r="E7532" s="16" t="s">
        <v>121</v>
      </c>
      <c r="F7532" s="16" t="s">
        <v>94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65</v>
      </c>
      <c r="C7533" s="9">
        <v>46204</v>
      </c>
      <c r="D7533">
        <v>30</v>
      </c>
      <c r="E7533" s="16" t="s">
        <v>121</v>
      </c>
      <c r="F7533" s="16" t="s">
        <v>94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65</v>
      </c>
      <c r="C7534" s="9">
        <v>46235</v>
      </c>
      <c r="D7534">
        <v>30</v>
      </c>
      <c r="E7534" s="16" t="s">
        <v>121</v>
      </c>
      <c r="F7534" s="16" t="s">
        <v>94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65</v>
      </c>
      <c r="C7535" s="9">
        <v>46266</v>
      </c>
      <c r="D7535">
        <v>30</v>
      </c>
      <c r="E7535" s="16" t="s">
        <v>121</v>
      </c>
      <c r="F7535" s="16" t="s">
        <v>94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65</v>
      </c>
      <c r="C7536" s="9">
        <v>45689</v>
      </c>
      <c r="D7536">
        <v>31</v>
      </c>
      <c r="E7536" s="16" t="s">
        <v>122</v>
      </c>
      <c r="F7536" s="16" t="s">
        <v>94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65</v>
      </c>
      <c r="C7537" s="9">
        <v>45717</v>
      </c>
      <c r="D7537">
        <v>31</v>
      </c>
      <c r="E7537" s="16" t="s">
        <v>122</v>
      </c>
      <c r="F7537" s="16" t="s">
        <v>94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65</v>
      </c>
      <c r="C7538" s="9">
        <v>45748</v>
      </c>
      <c r="D7538">
        <v>31</v>
      </c>
      <c r="E7538" s="16" t="s">
        <v>122</v>
      </c>
      <c r="F7538" s="16" t="s">
        <v>94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65</v>
      </c>
      <c r="C7539" s="9">
        <v>45778</v>
      </c>
      <c r="D7539">
        <v>31</v>
      </c>
      <c r="E7539" s="16" t="s">
        <v>122</v>
      </c>
      <c r="F7539" s="16" t="s">
        <v>94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65</v>
      </c>
      <c r="C7540" s="9">
        <v>45809</v>
      </c>
      <c r="D7540">
        <v>31</v>
      </c>
      <c r="E7540" s="16" t="s">
        <v>122</v>
      </c>
      <c r="F7540" s="16" t="s">
        <v>94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65</v>
      </c>
      <c r="C7541" s="9">
        <v>45839</v>
      </c>
      <c r="D7541">
        <v>31</v>
      </c>
      <c r="E7541" s="16" t="s">
        <v>122</v>
      </c>
      <c r="F7541" s="16" t="s">
        <v>94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65</v>
      </c>
      <c r="C7542" s="9">
        <v>45870</v>
      </c>
      <c r="D7542">
        <v>31</v>
      </c>
      <c r="E7542" s="16" t="s">
        <v>122</v>
      </c>
      <c r="F7542" s="16" t="s">
        <v>94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65</v>
      </c>
      <c r="C7543" s="9">
        <v>45901</v>
      </c>
      <c r="D7543">
        <v>31</v>
      </c>
      <c r="E7543" s="16" t="s">
        <v>122</v>
      </c>
      <c r="F7543" s="16" t="s">
        <v>94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65</v>
      </c>
      <c r="C7544" s="9">
        <v>45931</v>
      </c>
      <c r="D7544">
        <v>31</v>
      </c>
      <c r="E7544" s="16" t="s">
        <v>122</v>
      </c>
      <c r="F7544" s="16" t="s">
        <v>94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65</v>
      </c>
      <c r="C7545" s="9">
        <v>45962</v>
      </c>
      <c r="D7545">
        <v>31</v>
      </c>
      <c r="E7545" s="16" t="s">
        <v>122</v>
      </c>
      <c r="F7545" s="16" t="s">
        <v>94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65</v>
      </c>
      <c r="C7546" s="9">
        <v>45992</v>
      </c>
      <c r="D7546">
        <v>31</v>
      </c>
      <c r="E7546" s="16" t="s">
        <v>122</v>
      </c>
      <c r="F7546" s="16" t="s">
        <v>94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65</v>
      </c>
      <c r="C7547" s="9">
        <v>46023</v>
      </c>
      <c r="D7547">
        <v>31</v>
      </c>
      <c r="E7547" s="16" t="s">
        <v>122</v>
      </c>
      <c r="F7547" s="16" t="s">
        <v>94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65</v>
      </c>
      <c r="C7548" s="9">
        <v>46054</v>
      </c>
      <c r="D7548">
        <v>31</v>
      </c>
      <c r="E7548" s="16" t="s">
        <v>122</v>
      </c>
      <c r="F7548" s="16" t="s">
        <v>94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65</v>
      </c>
      <c r="C7549" s="9">
        <v>46082</v>
      </c>
      <c r="D7549">
        <v>31</v>
      </c>
      <c r="E7549" s="16" t="s">
        <v>122</v>
      </c>
      <c r="F7549" s="16" t="s">
        <v>94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65</v>
      </c>
      <c r="C7550" s="9">
        <v>46113</v>
      </c>
      <c r="D7550">
        <v>31</v>
      </c>
      <c r="E7550" s="16" t="s">
        <v>122</v>
      </c>
      <c r="F7550" s="16" t="s">
        <v>94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65</v>
      </c>
      <c r="C7551" s="9">
        <v>46143</v>
      </c>
      <c r="D7551">
        <v>31</v>
      </c>
      <c r="E7551" s="16" t="s">
        <v>122</v>
      </c>
      <c r="F7551" s="16" t="s">
        <v>94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65</v>
      </c>
      <c r="C7552" s="9">
        <v>46174</v>
      </c>
      <c r="D7552">
        <v>31</v>
      </c>
      <c r="E7552" s="16" t="s">
        <v>122</v>
      </c>
      <c r="F7552" s="16" t="s">
        <v>94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65</v>
      </c>
      <c r="C7553" s="9">
        <v>46204</v>
      </c>
      <c r="D7553">
        <v>31</v>
      </c>
      <c r="E7553" s="16" t="s">
        <v>122</v>
      </c>
      <c r="F7553" s="16" t="s">
        <v>94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65</v>
      </c>
      <c r="C7554" s="9">
        <v>46235</v>
      </c>
      <c r="D7554">
        <v>31</v>
      </c>
      <c r="E7554" s="16" t="s">
        <v>122</v>
      </c>
      <c r="F7554" s="16" t="s">
        <v>94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65</v>
      </c>
      <c r="C7555" s="9">
        <v>46266</v>
      </c>
      <c r="D7555">
        <v>31</v>
      </c>
      <c r="E7555" s="16" t="s">
        <v>122</v>
      </c>
      <c r="F7555" s="16" t="s">
        <v>94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65</v>
      </c>
      <c r="C7556" s="9">
        <v>45689</v>
      </c>
      <c r="D7556">
        <v>32</v>
      </c>
      <c r="E7556" s="16" t="s">
        <v>123</v>
      </c>
      <c r="F7556" s="16" t="s">
        <v>94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65</v>
      </c>
      <c r="C7557" s="9">
        <v>45717</v>
      </c>
      <c r="D7557">
        <v>32</v>
      </c>
      <c r="E7557" s="16" t="s">
        <v>123</v>
      </c>
      <c r="F7557" s="16" t="s">
        <v>94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65</v>
      </c>
      <c r="C7558" s="9">
        <v>45748</v>
      </c>
      <c r="D7558">
        <v>32</v>
      </c>
      <c r="E7558" s="16" t="s">
        <v>123</v>
      </c>
      <c r="F7558" s="16" t="s">
        <v>94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65</v>
      </c>
      <c r="C7559" s="9">
        <v>45778</v>
      </c>
      <c r="D7559">
        <v>32</v>
      </c>
      <c r="E7559" s="16" t="s">
        <v>123</v>
      </c>
      <c r="F7559" s="16" t="s">
        <v>94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65</v>
      </c>
      <c r="C7560" s="9">
        <v>45809</v>
      </c>
      <c r="D7560">
        <v>32</v>
      </c>
      <c r="E7560" s="16" t="s">
        <v>123</v>
      </c>
      <c r="F7560" s="16" t="s">
        <v>94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65</v>
      </c>
      <c r="C7561" s="9">
        <v>45839</v>
      </c>
      <c r="D7561">
        <v>32</v>
      </c>
      <c r="E7561" s="16" t="s">
        <v>123</v>
      </c>
      <c r="F7561" s="16" t="s">
        <v>94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65</v>
      </c>
      <c r="C7562" s="9">
        <v>45870</v>
      </c>
      <c r="D7562">
        <v>32</v>
      </c>
      <c r="E7562" s="16" t="s">
        <v>123</v>
      </c>
      <c r="F7562" s="16" t="s">
        <v>94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65</v>
      </c>
      <c r="C7563" s="9">
        <v>45901</v>
      </c>
      <c r="D7563">
        <v>32</v>
      </c>
      <c r="E7563" s="16" t="s">
        <v>123</v>
      </c>
      <c r="F7563" s="16" t="s">
        <v>94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65</v>
      </c>
      <c r="C7564" s="9">
        <v>45931</v>
      </c>
      <c r="D7564">
        <v>32</v>
      </c>
      <c r="E7564" s="16" t="s">
        <v>123</v>
      </c>
      <c r="F7564" s="16" t="s">
        <v>94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65</v>
      </c>
      <c r="C7565" s="9">
        <v>45962</v>
      </c>
      <c r="D7565">
        <v>32</v>
      </c>
      <c r="E7565" s="16" t="s">
        <v>123</v>
      </c>
      <c r="F7565" s="16" t="s">
        <v>94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65</v>
      </c>
      <c r="C7566" s="9">
        <v>45992</v>
      </c>
      <c r="D7566">
        <v>32</v>
      </c>
      <c r="E7566" s="16" t="s">
        <v>123</v>
      </c>
      <c r="F7566" s="16" t="s">
        <v>94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65</v>
      </c>
      <c r="C7567" s="9">
        <v>46023</v>
      </c>
      <c r="D7567">
        <v>32</v>
      </c>
      <c r="E7567" s="16" t="s">
        <v>123</v>
      </c>
      <c r="F7567" s="16" t="s">
        <v>94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65</v>
      </c>
      <c r="C7568" s="9">
        <v>46054</v>
      </c>
      <c r="D7568">
        <v>32</v>
      </c>
      <c r="E7568" s="16" t="s">
        <v>123</v>
      </c>
      <c r="F7568" s="16" t="s">
        <v>94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65</v>
      </c>
      <c r="C7569" s="9">
        <v>46082</v>
      </c>
      <c r="D7569">
        <v>32</v>
      </c>
      <c r="E7569" s="16" t="s">
        <v>123</v>
      </c>
      <c r="F7569" s="16" t="s">
        <v>94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65</v>
      </c>
      <c r="C7570" s="9">
        <v>46113</v>
      </c>
      <c r="D7570">
        <v>32</v>
      </c>
      <c r="E7570" s="16" t="s">
        <v>123</v>
      </c>
      <c r="F7570" s="16" t="s">
        <v>94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65</v>
      </c>
      <c r="C7571" s="9">
        <v>46143</v>
      </c>
      <c r="D7571">
        <v>32</v>
      </c>
      <c r="E7571" s="16" t="s">
        <v>123</v>
      </c>
      <c r="F7571" s="16" t="s">
        <v>94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65</v>
      </c>
      <c r="C7572" s="9">
        <v>46174</v>
      </c>
      <c r="D7572">
        <v>32</v>
      </c>
      <c r="E7572" s="16" t="s">
        <v>123</v>
      </c>
      <c r="F7572" s="16" t="s">
        <v>94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65</v>
      </c>
      <c r="C7573" s="9">
        <v>46204</v>
      </c>
      <c r="D7573">
        <v>32</v>
      </c>
      <c r="E7573" s="16" t="s">
        <v>123</v>
      </c>
      <c r="F7573" s="16" t="s">
        <v>94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65</v>
      </c>
      <c r="C7574" s="9">
        <v>46235</v>
      </c>
      <c r="D7574">
        <v>32</v>
      </c>
      <c r="E7574" s="16" t="s">
        <v>123</v>
      </c>
      <c r="F7574" s="16" t="s">
        <v>94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65</v>
      </c>
      <c r="C7575" s="9">
        <v>46266</v>
      </c>
      <c r="D7575">
        <v>32</v>
      </c>
      <c r="E7575" s="16" t="s">
        <v>123</v>
      </c>
      <c r="F7575" s="16" t="s">
        <v>94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65</v>
      </c>
      <c r="C7576" s="9">
        <v>45689</v>
      </c>
      <c r="D7576">
        <v>33</v>
      </c>
      <c r="E7576" s="16" t="s">
        <v>124</v>
      </c>
      <c r="F7576" s="16" t="s">
        <v>94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65</v>
      </c>
      <c r="C7577" s="9">
        <v>45717</v>
      </c>
      <c r="D7577">
        <v>33</v>
      </c>
      <c r="E7577" s="16" t="s">
        <v>124</v>
      </c>
      <c r="F7577" s="16" t="s">
        <v>94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65</v>
      </c>
      <c r="C7578" s="9">
        <v>45748</v>
      </c>
      <c r="D7578">
        <v>33</v>
      </c>
      <c r="E7578" s="16" t="s">
        <v>124</v>
      </c>
      <c r="F7578" s="16" t="s">
        <v>94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65</v>
      </c>
      <c r="C7579" s="9">
        <v>45778</v>
      </c>
      <c r="D7579">
        <v>33</v>
      </c>
      <c r="E7579" s="16" t="s">
        <v>124</v>
      </c>
      <c r="F7579" s="16" t="s">
        <v>94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65</v>
      </c>
      <c r="C7580" s="9">
        <v>45809</v>
      </c>
      <c r="D7580">
        <v>33</v>
      </c>
      <c r="E7580" s="16" t="s">
        <v>124</v>
      </c>
      <c r="F7580" s="16" t="s">
        <v>94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65</v>
      </c>
      <c r="C7581" s="9">
        <v>45839</v>
      </c>
      <c r="D7581">
        <v>33</v>
      </c>
      <c r="E7581" s="16" t="s">
        <v>124</v>
      </c>
      <c r="F7581" s="16" t="s">
        <v>94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65</v>
      </c>
      <c r="C7582" s="9">
        <v>45870</v>
      </c>
      <c r="D7582">
        <v>33</v>
      </c>
      <c r="E7582" s="16" t="s">
        <v>124</v>
      </c>
      <c r="F7582" s="16" t="s">
        <v>94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65</v>
      </c>
      <c r="C7583" s="9">
        <v>45901</v>
      </c>
      <c r="D7583">
        <v>33</v>
      </c>
      <c r="E7583" s="16" t="s">
        <v>124</v>
      </c>
      <c r="F7583" s="16" t="s">
        <v>94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65</v>
      </c>
      <c r="C7584" s="9">
        <v>45931</v>
      </c>
      <c r="D7584">
        <v>33</v>
      </c>
      <c r="E7584" s="16" t="s">
        <v>124</v>
      </c>
      <c r="F7584" s="16" t="s">
        <v>94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65</v>
      </c>
      <c r="C7585" s="9">
        <v>45962</v>
      </c>
      <c r="D7585">
        <v>33</v>
      </c>
      <c r="E7585" s="16" t="s">
        <v>124</v>
      </c>
      <c r="F7585" s="16" t="s">
        <v>94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65</v>
      </c>
      <c r="C7586" s="9">
        <v>45992</v>
      </c>
      <c r="D7586">
        <v>33</v>
      </c>
      <c r="E7586" s="16" t="s">
        <v>124</v>
      </c>
      <c r="F7586" s="16" t="s">
        <v>94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65</v>
      </c>
      <c r="C7587" s="9">
        <v>46023</v>
      </c>
      <c r="D7587">
        <v>33</v>
      </c>
      <c r="E7587" s="16" t="s">
        <v>124</v>
      </c>
      <c r="F7587" s="16" t="s">
        <v>94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65</v>
      </c>
      <c r="C7588" s="9">
        <v>46054</v>
      </c>
      <c r="D7588">
        <v>33</v>
      </c>
      <c r="E7588" s="16" t="s">
        <v>124</v>
      </c>
      <c r="F7588" s="16" t="s">
        <v>94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65</v>
      </c>
      <c r="C7589" s="9">
        <v>46082</v>
      </c>
      <c r="D7589">
        <v>33</v>
      </c>
      <c r="E7589" s="16" t="s">
        <v>124</v>
      </c>
      <c r="F7589" s="16" t="s">
        <v>94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65</v>
      </c>
      <c r="C7590" s="9">
        <v>46113</v>
      </c>
      <c r="D7590">
        <v>33</v>
      </c>
      <c r="E7590" s="16" t="s">
        <v>124</v>
      </c>
      <c r="F7590" s="16" t="s">
        <v>94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65</v>
      </c>
      <c r="C7591" s="9">
        <v>46143</v>
      </c>
      <c r="D7591">
        <v>33</v>
      </c>
      <c r="E7591" s="16" t="s">
        <v>124</v>
      </c>
      <c r="F7591" s="16" t="s">
        <v>94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65</v>
      </c>
      <c r="C7592" s="9">
        <v>46174</v>
      </c>
      <c r="D7592">
        <v>33</v>
      </c>
      <c r="E7592" s="16" t="s">
        <v>124</v>
      </c>
      <c r="F7592" s="16" t="s">
        <v>94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65</v>
      </c>
      <c r="C7593" s="9">
        <v>46204</v>
      </c>
      <c r="D7593">
        <v>33</v>
      </c>
      <c r="E7593" s="16" t="s">
        <v>124</v>
      </c>
      <c r="F7593" s="16" t="s">
        <v>94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65</v>
      </c>
      <c r="C7594" s="9">
        <v>46235</v>
      </c>
      <c r="D7594">
        <v>33</v>
      </c>
      <c r="E7594" s="16" t="s">
        <v>124</v>
      </c>
      <c r="F7594" s="16" t="s">
        <v>94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65</v>
      </c>
      <c r="C7595" s="9">
        <v>46266</v>
      </c>
      <c r="D7595">
        <v>33</v>
      </c>
      <c r="E7595" s="16" t="s">
        <v>124</v>
      </c>
      <c r="F7595" s="16" t="s">
        <v>94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65</v>
      </c>
      <c r="C7596" s="9">
        <v>45689</v>
      </c>
      <c r="D7596">
        <v>34</v>
      </c>
      <c r="E7596" s="16" t="s">
        <v>125</v>
      </c>
      <c r="F7596" s="16" t="s">
        <v>116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65</v>
      </c>
      <c r="C7597" s="9">
        <v>45717</v>
      </c>
      <c r="D7597">
        <v>34</v>
      </c>
      <c r="E7597" s="16" t="s">
        <v>125</v>
      </c>
      <c r="F7597" s="16" t="s">
        <v>116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65</v>
      </c>
      <c r="C7598" s="9">
        <v>45748</v>
      </c>
      <c r="D7598">
        <v>34</v>
      </c>
      <c r="E7598" s="16" t="s">
        <v>125</v>
      </c>
      <c r="F7598" s="16" t="s">
        <v>116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65</v>
      </c>
      <c r="C7599" s="9">
        <v>45778</v>
      </c>
      <c r="D7599">
        <v>34</v>
      </c>
      <c r="E7599" s="16" t="s">
        <v>125</v>
      </c>
      <c r="F7599" s="16" t="s">
        <v>116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65</v>
      </c>
      <c r="C7600" s="9">
        <v>45809</v>
      </c>
      <c r="D7600">
        <v>34</v>
      </c>
      <c r="E7600" s="16" t="s">
        <v>125</v>
      </c>
      <c r="F7600" s="16" t="s">
        <v>116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65</v>
      </c>
      <c r="C7601" s="9">
        <v>45839</v>
      </c>
      <c r="D7601">
        <v>34</v>
      </c>
      <c r="E7601" s="16" t="s">
        <v>125</v>
      </c>
      <c r="F7601" s="16" t="s">
        <v>116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65</v>
      </c>
      <c r="C7602" s="9">
        <v>45870</v>
      </c>
      <c r="D7602">
        <v>34</v>
      </c>
      <c r="E7602" s="16" t="s">
        <v>125</v>
      </c>
      <c r="F7602" s="16" t="s">
        <v>116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65</v>
      </c>
      <c r="C7603" s="9">
        <v>45901</v>
      </c>
      <c r="D7603">
        <v>34</v>
      </c>
      <c r="E7603" s="16" t="s">
        <v>125</v>
      </c>
      <c r="F7603" s="16" t="s">
        <v>116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65</v>
      </c>
      <c r="C7604" s="9">
        <v>45931</v>
      </c>
      <c r="D7604">
        <v>34</v>
      </c>
      <c r="E7604" s="16" t="s">
        <v>125</v>
      </c>
      <c r="F7604" s="16" t="s">
        <v>116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65</v>
      </c>
      <c r="C7605" s="9">
        <v>45962</v>
      </c>
      <c r="D7605">
        <v>34</v>
      </c>
      <c r="E7605" s="16" t="s">
        <v>125</v>
      </c>
      <c r="F7605" s="16" t="s">
        <v>116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65</v>
      </c>
      <c r="C7606" s="9">
        <v>45992</v>
      </c>
      <c r="D7606">
        <v>34</v>
      </c>
      <c r="E7606" s="16" t="s">
        <v>125</v>
      </c>
      <c r="F7606" s="16" t="s">
        <v>116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65</v>
      </c>
      <c r="C7607" s="9">
        <v>46023</v>
      </c>
      <c r="D7607">
        <v>34</v>
      </c>
      <c r="E7607" s="16" t="s">
        <v>125</v>
      </c>
      <c r="F7607" s="16" t="s">
        <v>116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65</v>
      </c>
      <c r="C7608" s="9">
        <v>46054</v>
      </c>
      <c r="D7608">
        <v>34</v>
      </c>
      <c r="E7608" s="16" t="s">
        <v>125</v>
      </c>
      <c r="F7608" s="16" t="s">
        <v>116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65</v>
      </c>
      <c r="C7609" s="9">
        <v>46082</v>
      </c>
      <c r="D7609">
        <v>34</v>
      </c>
      <c r="E7609" s="16" t="s">
        <v>125</v>
      </c>
      <c r="F7609" s="16" t="s">
        <v>116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65</v>
      </c>
      <c r="C7610" s="9">
        <v>46113</v>
      </c>
      <c r="D7610">
        <v>34</v>
      </c>
      <c r="E7610" s="16" t="s">
        <v>125</v>
      </c>
      <c r="F7610" s="16" t="s">
        <v>116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65</v>
      </c>
      <c r="C7611" s="9">
        <v>46143</v>
      </c>
      <c r="D7611">
        <v>34</v>
      </c>
      <c r="E7611" s="16" t="s">
        <v>125</v>
      </c>
      <c r="F7611" s="16" t="s">
        <v>116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65</v>
      </c>
      <c r="C7612" s="9">
        <v>46174</v>
      </c>
      <c r="D7612">
        <v>34</v>
      </c>
      <c r="E7612" s="16" t="s">
        <v>125</v>
      </c>
      <c r="F7612" s="16" t="s">
        <v>116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65</v>
      </c>
      <c r="C7613" s="9">
        <v>46204</v>
      </c>
      <c r="D7613">
        <v>34</v>
      </c>
      <c r="E7613" s="16" t="s">
        <v>125</v>
      </c>
      <c r="F7613" s="16" t="s">
        <v>116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65</v>
      </c>
      <c r="C7614" s="9">
        <v>46235</v>
      </c>
      <c r="D7614">
        <v>34</v>
      </c>
      <c r="E7614" s="16" t="s">
        <v>125</v>
      </c>
      <c r="F7614" s="16" t="s">
        <v>116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65</v>
      </c>
      <c r="C7615" s="9">
        <v>46266</v>
      </c>
      <c r="D7615">
        <v>34</v>
      </c>
      <c r="E7615" s="16" t="s">
        <v>125</v>
      </c>
      <c r="F7615" s="16" t="s">
        <v>116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65</v>
      </c>
      <c r="C7616" s="9">
        <v>45689</v>
      </c>
      <c r="D7616">
        <v>35</v>
      </c>
      <c r="E7616" s="16" t="s">
        <v>126</v>
      </c>
      <c r="F7616" s="16" t="s">
        <v>92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65</v>
      </c>
      <c r="C7617" s="9">
        <v>45778</v>
      </c>
      <c r="D7617">
        <v>35</v>
      </c>
      <c r="E7617" s="16" t="s">
        <v>126</v>
      </c>
      <c r="F7617" s="16" t="s">
        <v>92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65</v>
      </c>
      <c r="C7618" s="9">
        <v>45839</v>
      </c>
      <c r="D7618">
        <v>35</v>
      </c>
      <c r="E7618" s="16" t="s">
        <v>126</v>
      </c>
      <c r="F7618" s="16" t="s">
        <v>92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65</v>
      </c>
      <c r="C7619" s="9">
        <v>45901</v>
      </c>
      <c r="D7619">
        <v>35</v>
      </c>
      <c r="E7619" s="16" t="s">
        <v>126</v>
      </c>
      <c r="F7619" s="16" t="s">
        <v>92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65</v>
      </c>
      <c r="C7620" s="9">
        <v>45962</v>
      </c>
      <c r="D7620">
        <v>35</v>
      </c>
      <c r="E7620" s="16" t="s">
        <v>126</v>
      </c>
      <c r="F7620" s="16" t="s">
        <v>92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65</v>
      </c>
      <c r="C7621" s="9">
        <v>46054</v>
      </c>
      <c r="D7621">
        <v>35</v>
      </c>
      <c r="E7621" s="16" t="s">
        <v>126</v>
      </c>
      <c r="F7621" s="16" t="s">
        <v>92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65</v>
      </c>
      <c r="C7622" s="9">
        <v>46113</v>
      </c>
      <c r="D7622">
        <v>35</v>
      </c>
      <c r="E7622" s="16" t="s">
        <v>126</v>
      </c>
      <c r="F7622" s="16" t="s">
        <v>92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65</v>
      </c>
      <c r="C7623" s="9">
        <v>46174</v>
      </c>
      <c r="D7623">
        <v>35</v>
      </c>
      <c r="E7623" s="16" t="s">
        <v>126</v>
      </c>
      <c r="F7623" s="16" t="s">
        <v>92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65</v>
      </c>
      <c r="C7624" s="9">
        <v>46266</v>
      </c>
      <c r="D7624">
        <v>35</v>
      </c>
      <c r="E7624" s="16" t="s">
        <v>126</v>
      </c>
      <c r="F7624" s="16" t="s">
        <v>92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65</v>
      </c>
      <c r="C7625" s="9">
        <v>45689</v>
      </c>
      <c r="D7625">
        <v>36</v>
      </c>
      <c r="E7625" s="16" t="s">
        <v>127</v>
      </c>
      <c r="F7625" s="16" t="s">
        <v>100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65</v>
      </c>
      <c r="C7626" s="9">
        <v>45717</v>
      </c>
      <c r="D7626">
        <v>36</v>
      </c>
      <c r="E7626" s="16" t="s">
        <v>127</v>
      </c>
      <c r="F7626" s="16" t="s">
        <v>100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65</v>
      </c>
      <c r="C7627" s="9">
        <v>45748</v>
      </c>
      <c r="D7627">
        <v>36</v>
      </c>
      <c r="E7627" s="16" t="s">
        <v>127</v>
      </c>
      <c r="F7627" s="16" t="s">
        <v>100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65</v>
      </c>
      <c r="C7628" s="9">
        <v>45778</v>
      </c>
      <c r="D7628">
        <v>36</v>
      </c>
      <c r="E7628" s="16" t="s">
        <v>127</v>
      </c>
      <c r="F7628" s="16" t="s">
        <v>100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65</v>
      </c>
      <c r="C7629" s="9">
        <v>45809</v>
      </c>
      <c r="D7629">
        <v>36</v>
      </c>
      <c r="E7629" s="16" t="s">
        <v>127</v>
      </c>
      <c r="F7629" s="16" t="s">
        <v>100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65</v>
      </c>
      <c r="C7630" s="9">
        <v>45870</v>
      </c>
      <c r="D7630">
        <v>36</v>
      </c>
      <c r="E7630" s="16" t="s">
        <v>127</v>
      </c>
      <c r="F7630" s="16" t="s">
        <v>100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65</v>
      </c>
      <c r="C7631" s="9">
        <v>45901</v>
      </c>
      <c r="D7631">
        <v>36</v>
      </c>
      <c r="E7631" s="16" t="s">
        <v>127</v>
      </c>
      <c r="F7631" s="16" t="s">
        <v>100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65</v>
      </c>
      <c r="C7632" s="9">
        <v>45931</v>
      </c>
      <c r="D7632">
        <v>36</v>
      </c>
      <c r="E7632" s="16" t="s">
        <v>127</v>
      </c>
      <c r="F7632" s="16" t="s">
        <v>100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65</v>
      </c>
      <c r="C7633" s="9">
        <v>45962</v>
      </c>
      <c r="D7633">
        <v>36</v>
      </c>
      <c r="E7633" s="16" t="s">
        <v>127</v>
      </c>
      <c r="F7633" s="16" t="s">
        <v>100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65</v>
      </c>
      <c r="C7634" s="9">
        <v>45992</v>
      </c>
      <c r="D7634">
        <v>36</v>
      </c>
      <c r="E7634" s="16" t="s">
        <v>127</v>
      </c>
      <c r="F7634" s="16" t="s">
        <v>100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65</v>
      </c>
      <c r="C7635" s="9">
        <v>46023</v>
      </c>
      <c r="D7635">
        <v>36</v>
      </c>
      <c r="E7635" s="16" t="s">
        <v>127</v>
      </c>
      <c r="F7635" s="16" t="s">
        <v>100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65</v>
      </c>
      <c r="C7636" s="9">
        <v>46054</v>
      </c>
      <c r="D7636">
        <v>36</v>
      </c>
      <c r="E7636" s="16" t="s">
        <v>127</v>
      </c>
      <c r="F7636" s="16" t="s">
        <v>100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65</v>
      </c>
      <c r="C7637" s="9">
        <v>46082</v>
      </c>
      <c r="D7637">
        <v>36</v>
      </c>
      <c r="E7637" s="16" t="s">
        <v>127</v>
      </c>
      <c r="F7637" s="16" t="s">
        <v>100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65</v>
      </c>
      <c r="C7638" s="9">
        <v>46113</v>
      </c>
      <c r="D7638">
        <v>36</v>
      </c>
      <c r="E7638" s="16" t="s">
        <v>127</v>
      </c>
      <c r="F7638" s="16" t="s">
        <v>100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65</v>
      </c>
      <c r="C7639" s="9">
        <v>46143</v>
      </c>
      <c r="D7639">
        <v>36</v>
      </c>
      <c r="E7639" s="16" t="s">
        <v>127</v>
      </c>
      <c r="F7639" s="16" t="s">
        <v>100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65</v>
      </c>
      <c r="C7640" s="9">
        <v>46174</v>
      </c>
      <c r="D7640">
        <v>36</v>
      </c>
      <c r="E7640" s="16" t="s">
        <v>127</v>
      </c>
      <c r="F7640" s="16" t="s">
        <v>100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65</v>
      </c>
      <c r="C7641" s="9">
        <v>46204</v>
      </c>
      <c r="D7641">
        <v>36</v>
      </c>
      <c r="E7641" s="16" t="s">
        <v>127</v>
      </c>
      <c r="F7641" s="16" t="s">
        <v>100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65</v>
      </c>
      <c r="C7642" s="9">
        <v>46235</v>
      </c>
      <c r="D7642">
        <v>36</v>
      </c>
      <c r="E7642" s="16" t="s">
        <v>127</v>
      </c>
      <c r="F7642" s="16" t="s">
        <v>100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65</v>
      </c>
      <c r="C7643" s="9">
        <v>46266</v>
      </c>
      <c r="D7643">
        <v>36</v>
      </c>
      <c r="E7643" s="16" t="s">
        <v>127</v>
      </c>
      <c r="F7643" s="16" t="s">
        <v>100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65</v>
      </c>
      <c r="C7644" s="9">
        <v>45689</v>
      </c>
      <c r="D7644">
        <v>37</v>
      </c>
      <c r="E7644" s="16" t="s">
        <v>128</v>
      </c>
      <c r="F7644" s="16" t="s">
        <v>92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65</v>
      </c>
      <c r="C7645" s="9">
        <v>45717</v>
      </c>
      <c r="D7645">
        <v>37</v>
      </c>
      <c r="E7645" s="16" t="s">
        <v>128</v>
      </c>
      <c r="F7645" s="16" t="s">
        <v>92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65</v>
      </c>
      <c r="C7646" s="9">
        <v>45748</v>
      </c>
      <c r="D7646">
        <v>37</v>
      </c>
      <c r="E7646" s="16" t="s">
        <v>128</v>
      </c>
      <c r="F7646" s="16" t="s">
        <v>92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65</v>
      </c>
      <c r="C7647" s="9">
        <v>45778</v>
      </c>
      <c r="D7647">
        <v>37</v>
      </c>
      <c r="E7647" s="16" t="s">
        <v>128</v>
      </c>
      <c r="F7647" s="16" t="s">
        <v>92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65</v>
      </c>
      <c r="C7648" s="9">
        <v>45809</v>
      </c>
      <c r="D7648">
        <v>37</v>
      </c>
      <c r="E7648" s="16" t="s">
        <v>128</v>
      </c>
      <c r="F7648" s="16" t="s">
        <v>92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65</v>
      </c>
      <c r="C7649" s="9">
        <v>45839</v>
      </c>
      <c r="D7649">
        <v>37</v>
      </c>
      <c r="E7649" s="16" t="s">
        <v>128</v>
      </c>
      <c r="F7649" s="16" t="s">
        <v>92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65</v>
      </c>
      <c r="C7650" s="9">
        <v>45870</v>
      </c>
      <c r="D7650">
        <v>37</v>
      </c>
      <c r="E7650" s="16" t="s">
        <v>128</v>
      </c>
      <c r="F7650" s="16" t="s">
        <v>92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65</v>
      </c>
      <c r="C7651" s="9">
        <v>45901</v>
      </c>
      <c r="D7651">
        <v>37</v>
      </c>
      <c r="E7651" s="16" t="s">
        <v>128</v>
      </c>
      <c r="F7651" s="16" t="s">
        <v>92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65</v>
      </c>
      <c r="C7652" s="9">
        <v>45931</v>
      </c>
      <c r="D7652">
        <v>37</v>
      </c>
      <c r="E7652" s="16" t="s">
        <v>128</v>
      </c>
      <c r="F7652" s="16" t="s">
        <v>92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65</v>
      </c>
      <c r="C7653" s="9">
        <v>45962</v>
      </c>
      <c r="D7653">
        <v>37</v>
      </c>
      <c r="E7653" s="16" t="s">
        <v>128</v>
      </c>
      <c r="F7653" s="16" t="s">
        <v>92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65</v>
      </c>
      <c r="C7654" s="9">
        <v>45992</v>
      </c>
      <c r="D7654">
        <v>37</v>
      </c>
      <c r="E7654" s="16" t="s">
        <v>128</v>
      </c>
      <c r="F7654" s="16" t="s">
        <v>92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65</v>
      </c>
      <c r="C7655" s="9">
        <v>46023</v>
      </c>
      <c r="D7655">
        <v>37</v>
      </c>
      <c r="E7655" s="16" t="s">
        <v>128</v>
      </c>
      <c r="F7655" s="16" t="s">
        <v>92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65</v>
      </c>
      <c r="C7656" s="9">
        <v>46054</v>
      </c>
      <c r="D7656">
        <v>37</v>
      </c>
      <c r="E7656" s="16" t="s">
        <v>128</v>
      </c>
      <c r="F7656" s="16" t="s">
        <v>92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65</v>
      </c>
      <c r="C7657" s="9">
        <v>46082</v>
      </c>
      <c r="D7657">
        <v>37</v>
      </c>
      <c r="E7657" s="16" t="s">
        <v>128</v>
      </c>
      <c r="F7657" s="16" t="s">
        <v>92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65</v>
      </c>
      <c r="C7658" s="9">
        <v>46113</v>
      </c>
      <c r="D7658">
        <v>37</v>
      </c>
      <c r="E7658" s="16" t="s">
        <v>128</v>
      </c>
      <c r="F7658" s="16" t="s">
        <v>92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65</v>
      </c>
      <c r="C7659" s="9">
        <v>46143</v>
      </c>
      <c r="D7659">
        <v>37</v>
      </c>
      <c r="E7659" s="16" t="s">
        <v>128</v>
      </c>
      <c r="F7659" s="16" t="s">
        <v>92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65</v>
      </c>
      <c r="C7660" s="9">
        <v>46174</v>
      </c>
      <c r="D7660">
        <v>37</v>
      </c>
      <c r="E7660" s="16" t="s">
        <v>128</v>
      </c>
      <c r="F7660" s="16" t="s">
        <v>92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65</v>
      </c>
      <c r="C7661" s="9">
        <v>46204</v>
      </c>
      <c r="D7661">
        <v>37</v>
      </c>
      <c r="E7661" s="16" t="s">
        <v>128</v>
      </c>
      <c r="F7661" s="16" t="s">
        <v>92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65</v>
      </c>
      <c r="C7662" s="9">
        <v>46235</v>
      </c>
      <c r="D7662">
        <v>37</v>
      </c>
      <c r="E7662" s="16" t="s">
        <v>128</v>
      </c>
      <c r="F7662" s="16" t="s">
        <v>92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65</v>
      </c>
      <c r="C7663" s="9">
        <v>46266</v>
      </c>
      <c r="D7663">
        <v>37</v>
      </c>
      <c r="E7663" s="16" t="s">
        <v>128</v>
      </c>
      <c r="F7663" s="16" t="s">
        <v>92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65</v>
      </c>
      <c r="C7664" s="9">
        <v>45689</v>
      </c>
      <c r="D7664">
        <v>38</v>
      </c>
      <c r="E7664" s="16" t="s">
        <v>129</v>
      </c>
      <c r="F7664" s="16" t="s">
        <v>85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65</v>
      </c>
      <c r="C7665" s="9">
        <v>45717</v>
      </c>
      <c r="D7665">
        <v>38</v>
      </c>
      <c r="E7665" s="16" t="s">
        <v>129</v>
      </c>
      <c r="F7665" s="16" t="s">
        <v>85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65</v>
      </c>
      <c r="C7666" s="9">
        <v>45748</v>
      </c>
      <c r="D7666">
        <v>38</v>
      </c>
      <c r="E7666" s="16" t="s">
        <v>129</v>
      </c>
      <c r="F7666" s="16" t="s">
        <v>85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65</v>
      </c>
      <c r="C7667" s="9">
        <v>45778</v>
      </c>
      <c r="D7667">
        <v>38</v>
      </c>
      <c r="E7667" s="16" t="s">
        <v>129</v>
      </c>
      <c r="F7667" s="16" t="s">
        <v>85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65</v>
      </c>
      <c r="C7668" s="9">
        <v>45809</v>
      </c>
      <c r="D7668">
        <v>38</v>
      </c>
      <c r="E7668" s="16" t="s">
        <v>129</v>
      </c>
      <c r="F7668" s="16" t="s">
        <v>85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65</v>
      </c>
      <c r="C7669" s="9">
        <v>45839</v>
      </c>
      <c r="D7669">
        <v>38</v>
      </c>
      <c r="E7669" s="16" t="s">
        <v>129</v>
      </c>
      <c r="F7669" s="16" t="s">
        <v>85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65</v>
      </c>
      <c r="C7670" s="9">
        <v>45870</v>
      </c>
      <c r="D7670">
        <v>38</v>
      </c>
      <c r="E7670" s="16" t="s">
        <v>129</v>
      </c>
      <c r="F7670" s="16" t="s">
        <v>85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65</v>
      </c>
      <c r="C7671" s="9">
        <v>45901</v>
      </c>
      <c r="D7671">
        <v>38</v>
      </c>
      <c r="E7671" s="16" t="s">
        <v>129</v>
      </c>
      <c r="F7671" s="16" t="s">
        <v>85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65</v>
      </c>
      <c r="C7672" s="9">
        <v>45931</v>
      </c>
      <c r="D7672">
        <v>38</v>
      </c>
      <c r="E7672" s="16" t="s">
        <v>129</v>
      </c>
      <c r="F7672" s="16" t="s">
        <v>85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65</v>
      </c>
      <c r="C7673" s="9">
        <v>45962</v>
      </c>
      <c r="D7673">
        <v>38</v>
      </c>
      <c r="E7673" s="16" t="s">
        <v>129</v>
      </c>
      <c r="F7673" s="16" t="s">
        <v>85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65</v>
      </c>
      <c r="C7674" s="9">
        <v>45992</v>
      </c>
      <c r="D7674">
        <v>38</v>
      </c>
      <c r="E7674" s="16" t="s">
        <v>129</v>
      </c>
      <c r="F7674" s="16" t="s">
        <v>85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65</v>
      </c>
      <c r="C7675" s="9">
        <v>46023</v>
      </c>
      <c r="D7675">
        <v>38</v>
      </c>
      <c r="E7675" s="16" t="s">
        <v>129</v>
      </c>
      <c r="F7675" s="16" t="s">
        <v>85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65</v>
      </c>
      <c r="C7676" s="9">
        <v>46054</v>
      </c>
      <c r="D7676">
        <v>38</v>
      </c>
      <c r="E7676" s="16" t="s">
        <v>129</v>
      </c>
      <c r="F7676" s="16" t="s">
        <v>85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65</v>
      </c>
      <c r="C7677" s="9">
        <v>46082</v>
      </c>
      <c r="D7677">
        <v>38</v>
      </c>
      <c r="E7677" s="16" t="s">
        <v>129</v>
      </c>
      <c r="F7677" s="16" t="s">
        <v>85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65</v>
      </c>
      <c r="C7678" s="9">
        <v>46113</v>
      </c>
      <c r="D7678">
        <v>38</v>
      </c>
      <c r="E7678" s="16" t="s">
        <v>129</v>
      </c>
      <c r="F7678" s="16" t="s">
        <v>85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65</v>
      </c>
      <c r="C7679" s="9">
        <v>46143</v>
      </c>
      <c r="D7679">
        <v>38</v>
      </c>
      <c r="E7679" s="16" t="s">
        <v>129</v>
      </c>
      <c r="F7679" s="16" t="s">
        <v>85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65</v>
      </c>
      <c r="C7680" s="9">
        <v>46174</v>
      </c>
      <c r="D7680">
        <v>38</v>
      </c>
      <c r="E7680" s="16" t="s">
        <v>129</v>
      </c>
      <c r="F7680" s="16" t="s">
        <v>85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65</v>
      </c>
      <c r="C7681" s="9">
        <v>46204</v>
      </c>
      <c r="D7681">
        <v>38</v>
      </c>
      <c r="E7681" s="16" t="s">
        <v>129</v>
      </c>
      <c r="F7681" s="16" t="s">
        <v>85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65</v>
      </c>
      <c r="C7682" s="9">
        <v>46235</v>
      </c>
      <c r="D7682">
        <v>38</v>
      </c>
      <c r="E7682" s="16" t="s">
        <v>129</v>
      </c>
      <c r="F7682" s="16" t="s">
        <v>85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65</v>
      </c>
      <c r="C7683" s="9">
        <v>46266</v>
      </c>
      <c r="D7683">
        <v>38</v>
      </c>
      <c r="E7683" s="16" t="s">
        <v>129</v>
      </c>
      <c r="F7683" s="16" t="s">
        <v>85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65</v>
      </c>
      <c r="C7684" s="9">
        <v>45689</v>
      </c>
      <c r="D7684">
        <v>39</v>
      </c>
      <c r="E7684" s="16" t="s">
        <v>130</v>
      </c>
      <c r="F7684" s="16" t="s">
        <v>89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65</v>
      </c>
      <c r="C7685" s="9">
        <v>45717</v>
      </c>
      <c r="D7685">
        <v>39</v>
      </c>
      <c r="E7685" s="16" t="s">
        <v>130</v>
      </c>
      <c r="F7685" s="16" t="s">
        <v>89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65</v>
      </c>
      <c r="C7686" s="9">
        <v>45748</v>
      </c>
      <c r="D7686">
        <v>39</v>
      </c>
      <c r="E7686" s="16" t="s">
        <v>130</v>
      </c>
      <c r="F7686" s="16" t="s">
        <v>89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65</v>
      </c>
      <c r="C7687" s="9">
        <v>45778</v>
      </c>
      <c r="D7687">
        <v>39</v>
      </c>
      <c r="E7687" s="16" t="s">
        <v>130</v>
      </c>
      <c r="F7687" s="16" t="s">
        <v>89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65</v>
      </c>
      <c r="C7688" s="9">
        <v>45809</v>
      </c>
      <c r="D7688">
        <v>39</v>
      </c>
      <c r="E7688" s="16" t="s">
        <v>130</v>
      </c>
      <c r="F7688" s="16" t="s">
        <v>89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65</v>
      </c>
      <c r="C7689" s="9">
        <v>45839</v>
      </c>
      <c r="D7689">
        <v>39</v>
      </c>
      <c r="E7689" s="16" t="s">
        <v>130</v>
      </c>
      <c r="F7689" s="16" t="s">
        <v>89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65</v>
      </c>
      <c r="C7690" s="9">
        <v>45870</v>
      </c>
      <c r="D7690">
        <v>39</v>
      </c>
      <c r="E7690" s="16" t="s">
        <v>130</v>
      </c>
      <c r="F7690" s="16" t="s">
        <v>89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65</v>
      </c>
      <c r="C7691" s="9">
        <v>45901</v>
      </c>
      <c r="D7691">
        <v>39</v>
      </c>
      <c r="E7691" s="16" t="s">
        <v>130</v>
      </c>
      <c r="F7691" s="16" t="s">
        <v>89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65</v>
      </c>
      <c r="C7692" s="9">
        <v>45931</v>
      </c>
      <c r="D7692">
        <v>39</v>
      </c>
      <c r="E7692" s="16" t="s">
        <v>130</v>
      </c>
      <c r="F7692" s="16" t="s">
        <v>89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65</v>
      </c>
      <c r="C7693" s="9">
        <v>45962</v>
      </c>
      <c r="D7693">
        <v>39</v>
      </c>
      <c r="E7693" s="16" t="s">
        <v>130</v>
      </c>
      <c r="F7693" s="16" t="s">
        <v>89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65</v>
      </c>
      <c r="C7694" s="9">
        <v>45992</v>
      </c>
      <c r="D7694">
        <v>39</v>
      </c>
      <c r="E7694" s="16" t="s">
        <v>130</v>
      </c>
      <c r="F7694" s="16" t="s">
        <v>89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65</v>
      </c>
      <c r="C7695" s="9">
        <v>46023</v>
      </c>
      <c r="D7695">
        <v>39</v>
      </c>
      <c r="E7695" s="16" t="s">
        <v>130</v>
      </c>
      <c r="F7695" s="16" t="s">
        <v>89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65</v>
      </c>
      <c r="C7696" s="9">
        <v>46054</v>
      </c>
      <c r="D7696">
        <v>39</v>
      </c>
      <c r="E7696" s="16" t="s">
        <v>130</v>
      </c>
      <c r="F7696" s="16" t="s">
        <v>89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65</v>
      </c>
      <c r="C7697" s="9">
        <v>46082</v>
      </c>
      <c r="D7697">
        <v>39</v>
      </c>
      <c r="E7697" s="16" t="s">
        <v>130</v>
      </c>
      <c r="F7697" s="16" t="s">
        <v>89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65</v>
      </c>
      <c r="C7698" s="9">
        <v>46113</v>
      </c>
      <c r="D7698">
        <v>39</v>
      </c>
      <c r="E7698" s="16" t="s">
        <v>130</v>
      </c>
      <c r="F7698" s="16" t="s">
        <v>89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65</v>
      </c>
      <c r="C7699" s="9">
        <v>46143</v>
      </c>
      <c r="D7699">
        <v>39</v>
      </c>
      <c r="E7699" s="16" t="s">
        <v>130</v>
      </c>
      <c r="F7699" s="16" t="s">
        <v>89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65</v>
      </c>
      <c r="C7700" s="9">
        <v>46174</v>
      </c>
      <c r="D7700">
        <v>39</v>
      </c>
      <c r="E7700" s="16" t="s">
        <v>130</v>
      </c>
      <c r="F7700" s="16" t="s">
        <v>89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65</v>
      </c>
      <c r="C7701" s="9">
        <v>46204</v>
      </c>
      <c r="D7701">
        <v>39</v>
      </c>
      <c r="E7701" s="16" t="s">
        <v>130</v>
      </c>
      <c r="F7701" s="16" t="s">
        <v>89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65</v>
      </c>
      <c r="C7702" s="9">
        <v>46235</v>
      </c>
      <c r="D7702">
        <v>39</v>
      </c>
      <c r="E7702" s="16" t="s">
        <v>130</v>
      </c>
      <c r="F7702" s="16" t="s">
        <v>89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65</v>
      </c>
      <c r="C7703" s="9">
        <v>46266</v>
      </c>
      <c r="D7703">
        <v>39</v>
      </c>
      <c r="E7703" s="16" t="s">
        <v>130</v>
      </c>
      <c r="F7703" s="16" t="s">
        <v>89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65</v>
      </c>
      <c r="C7704" s="9">
        <v>45717</v>
      </c>
      <c r="D7704">
        <v>40</v>
      </c>
      <c r="E7704" s="16" t="s">
        <v>131</v>
      </c>
      <c r="F7704" s="16" t="s">
        <v>110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65</v>
      </c>
      <c r="C7705" s="9">
        <v>45748</v>
      </c>
      <c r="D7705">
        <v>40</v>
      </c>
      <c r="E7705" s="16" t="s">
        <v>131</v>
      </c>
      <c r="F7705" s="16" t="s">
        <v>110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65</v>
      </c>
      <c r="C7706" s="9">
        <v>45778</v>
      </c>
      <c r="D7706">
        <v>40</v>
      </c>
      <c r="E7706" s="16" t="s">
        <v>131</v>
      </c>
      <c r="F7706" s="16" t="s">
        <v>110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65</v>
      </c>
      <c r="C7707" s="9">
        <v>45839</v>
      </c>
      <c r="D7707">
        <v>40</v>
      </c>
      <c r="E7707" s="16" t="s">
        <v>131</v>
      </c>
      <c r="F7707" s="16" t="s">
        <v>110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65</v>
      </c>
      <c r="C7708" s="9">
        <v>45901</v>
      </c>
      <c r="D7708">
        <v>40</v>
      </c>
      <c r="E7708" s="16" t="s">
        <v>131</v>
      </c>
      <c r="F7708" s="16" t="s">
        <v>110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65</v>
      </c>
      <c r="C7709" s="9">
        <v>45931</v>
      </c>
      <c r="D7709">
        <v>40</v>
      </c>
      <c r="E7709" s="16" t="s">
        <v>131</v>
      </c>
      <c r="F7709" s="16" t="s">
        <v>110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65</v>
      </c>
      <c r="C7710" s="9">
        <v>45992</v>
      </c>
      <c r="D7710">
        <v>40</v>
      </c>
      <c r="E7710" s="16" t="s">
        <v>131</v>
      </c>
      <c r="F7710" s="16" t="s">
        <v>110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65</v>
      </c>
      <c r="C7711" s="9">
        <v>46023</v>
      </c>
      <c r="D7711">
        <v>40</v>
      </c>
      <c r="E7711" s="16" t="s">
        <v>131</v>
      </c>
      <c r="F7711" s="16" t="s">
        <v>110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65</v>
      </c>
      <c r="C7712" s="9">
        <v>46054</v>
      </c>
      <c r="D7712">
        <v>40</v>
      </c>
      <c r="E7712" s="16" t="s">
        <v>131</v>
      </c>
      <c r="F7712" s="16" t="s">
        <v>110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65</v>
      </c>
      <c r="C7713" s="9">
        <v>46113</v>
      </c>
      <c r="D7713">
        <v>40</v>
      </c>
      <c r="E7713" s="16" t="s">
        <v>131</v>
      </c>
      <c r="F7713" s="16" t="s">
        <v>110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65</v>
      </c>
      <c r="C7714" s="9">
        <v>46143</v>
      </c>
      <c r="D7714">
        <v>40</v>
      </c>
      <c r="E7714" s="16" t="s">
        <v>131</v>
      </c>
      <c r="F7714" s="16" t="s">
        <v>110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65</v>
      </c>
      <c r="C7715" s="9">
        <v>46204</v>
      </c>
      <c r="D7715">
        <v>40</v>
      </c>
      <c r="E7715" s="16" t="s">
        <v>131</v>
      </c>
      <c r="F7715" s="16" t="s">
        <v>110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65</v>
      </c>
      <c r="C7716" s="9">
        <v>46266</v>
      </c>
      <c r="D7716">
        <v>40</v>
      </c>
      <c r="E7716" s="16" t="s">
        <v>131</v>
      </c>
      <c r="F7716" s="16" t="s">
        <v>110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65</v>
      </c>
      <c r="C7717" s="9">
        <v>45689</v>
      </c>
      <c r="D7717">
        <v>41</v>
      </c>
      <c r="E7717" s="16" t="s">
        <v>132</v>
      </c>
      <c r="F7717" s="16" t="s">
        <v>89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65</v>
      </c>
      <c r="C7718" s="9">
        <v>45717</v>
      </c>
      <c r="D7718">
        <v>41</v>
      </c>
      <c r="E7718" s="16" t="s">
        <v>132</v>
      </c>
      <c r="F7718" s="16" t="s">
        <v>89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65</v>
      </c>
      <c r="C7719" s="9">
        <v>45748</v>
      </c>
      <c r="D7719">
        <v>41</v>
      </c>
      <c r="E7719" s="16" t="s">
        <v>132</v>
      </c>
      <c r="F7719" s="16" t="s">
        <v>89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65</v>
      </c>
      <c r="C7720" s="9">
        <v>45778</v>
      </c>
      <c r="D7720">
        <v>41</v>
      </c>
      <c r="E7720" s="16" t="s">
        <v>132</v>
      </c>
      <c r="F7720" s="16" t="s">
        <v>89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65</v>
      </c>
      <c r="C7721" s="9">
        <v>45809</v>
      </c>
      <c r="D7721">
        <v>41</v>
      </c>
      <c r="E7721" s="16" t="s">
        <v>132</v>
      </c>
      <c r="F7721" s="16" t="s">
        <v>89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65</v>
      </c>
      <c r="C7722" s="9">
        <v>45839</v>
      </c>
      <c r="D7722">
        <v>41</v>
      </c>
      <c r="E7722" s="16" t="s">
        <v>132</v>
      </c>
      <c r="F7722" s="16" t="s">
        <v>89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65</v>
      </c>
      <c r="C7723" s="9">
        <v>45870</v>
      </c>
      <c r="D7723">
        <v>41</v>
      </c>
      <c r="E7723" s="16" t="s">
        <v>132</v>
      </c>
      <c r="F7723" s="16" t="s">
        <v>89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65</v>
      </c>
      <c r="C7724" s="9">
        <v>45901</v>
      </c>
      <c r="D7724">
        <v>41</v>
      </c>
      <c r="E7724" s="16" t="s">
        <v>132</v>
      </c>
      <c r="F7724" s="16" t="s">
        <v>89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65</v>
      </c>
      <c r="C7725" s="9">
        <v>45931</v>
      </c>
      <c r="D7725">
        <v>41</v>
      </c>
      <c r="E7725" s="16" t="s">
        <v>132</v>
      </c>
      <c r="F7725" s="16" t="s">
        <v>89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65</v>
      </c>
      <c r="C7726" s="9">
        <v>45962</v>
      </c>
      <c r="D7726">
        <v>41</v>
      </c>
      <c r="E7726" s="16" t="s">
        <v>132</v>
      </c>
      <c r="F7726" s="16" t="s">
        <v>89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65</v>
      </c>
      <c r="C7727" s="9">
        <v>45992</v>
      </c>
      <c r="D7727">
        <v>41</v>
      </c>
      <c r="E7727" s="16" t="s">
        <v>132</v>
      </c>
      <c r="F7727" s="16" t="s">
        <v>89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65</v>
      </c>
      <c r="C7728" s="9">
        <v>46023</v>
      </c>
      <c r="D7728">
        <v>41</v>
      </c>
      <c r="E7728" s="16" t="s">
        <v>132</v>
      </c>
      <c r="F7728" s="16" t="s">
        <v>89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65</v>
      </c>
      <c r="C7729" s="9">
        <v>46054</v>
      </c>
      <c r="D7729">
        <v>41</v>
      </c>
      <c r="E7729" s="16" t="s">
        <v>132</v>
      </c>
      <c r="F7729" s="16" t="s">
        <v>89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65</v>
      </c>
      <c r="C7730" s="9">
        <v>46082</v>
      </c>
      <c r="D7730">
        <v>41</v>
      </c>
      <c r="E7730" s="16" t="s">
        <v>132</v>
      </c>
      <c r="F7730" s="16" t="s">
        <v>89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65</v>
      </c>
      <c r="C7731" s="9">
        <v>46113</v>
      </c>
      <c r="D7731">
        <v>41</v>
      </c>
      <c r="E7731" s="16" t="s">
        <v>132</v>
      </c>
      <c r="F7731" s="16" t="s">
        <v>89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65</v>
      </c>
      <c r="C7732" s="9">
        <v>46143</v>
      </c>
      <c r="D7732">
        <v>41</v>
      </c>
      <c r="E7732" s="16" t="s">
        <v>132</v>
      </c>
      <c r="F7732" s="16" t="s">
        <v>89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65</v>
      </c>
      <c r="C7733" s="9">
        <v>46174</v>
      </c>
      <c r="D7733">
        <v>41</v>
      </c>
      <c r="E7733" s="16" t="s">
        <v>132</v>
      </c>
      <c r="F7733" s="16" t="s">
        <v>89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65</v>
      </c>
      <c r="C7734" s="9">
        <v>46204</v>
      </c>
      <c r="D7734">
        <v>41</v>
      </c>
      <c r="E7734" s="16" t="s">
        <v>132</v>
      </c>
      <c r="F7734" s="16" t="s">
        <v>89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65</v>
      </c>
      <c r="C7735" s="9">
        <v>46235</v>
      </c>
      <c r="D7735">
        <v>41</v>
      </c>
      <c r="E7735" s="16" t="s">
        <v>132</v>
      </c>
      <c r="F7735" s="16" t="s">
        <v>89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65</v>
      </c>
      <c r="C7736" s="9">
        <v>46266</v>
      </c>
      <c r="D7736">
        <v>41</v>
      </c>
      <c r="E7736" s="16" t="s">
        <v>132</v>
      </c>
      <c r="F7736" s="16" t="s">
        <v>89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65</v>
      </c>
      <c r="C7737" s="9">
        <v>45689</v>
      </c>
      <c r="D7737">
        <v>42</v>
      </c>
      <c r="E7737" s="16" t="s">
        <v>133</v>
      </c>
      <c r="F7737" s="16" t="s">
        <v>85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65</v>
      </c>
      <c r="C7738" s="9">
        <v>45717</v>
      </c>
      <c r="D7738">
        <v>42</v>
      </c>
      <c r="E7738" s="16" t="s">
        <v>133</v>
      </c>
      <c r="F7738" s="16" t="s">
        <v>85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65</v>
      </c>
      <c r="C7739" s="9">
        <v>45748</v>
      </c>
      <c r="D7739">
        <v>42</v>
      </c>
      <c r="E7739" s="16" t="s">
        <v>133</v>
      </c>
      <c r="F7739" s="16" t="s">
        <v>85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65</v>
      </c>
      <c r="C7740" s="9">
        <v>45778</v>
      </c>
      <c r="D7740">
        <v>42</v>
      </c>
      <c r="E7740" s="16" t="s">
        <v>133</v>
      </c>
      <c r="F7740" s="16" t="s">
        <v>85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65</v>
      </c>
      <c r="C7741" s="9">
        <v>45809</v>
      </c>
      <c r="D7741">
        <v>42</v>
      </c>
      <c r="E7741" s="16" t="s">
        <v>133</v>
      </c>
      <c r="F7741" s="16" t="s">
        <v>85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65</v>
      </c>
      <c r="C7742" s="9">
        <v>45839</v>
      </c>
      <c r="D7742">
        <v>42</v>
      </c>
      <c r="E7742" s="16" t="s">
        <v>133</v>
      </c>
      <c r="F7742" s="16" t="s">
        <v>85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65</v>
      </c>
      <c r="C7743" s="9">
        <v>45870</v>
      </c>
      <c r="D7743">
        <v>42</v>
      </c>
      <c r="E7743" s="16" t="s">
        <v>133</v>
      </c>
      <c r="F7743" s="16" t="s">
        <v>85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65</v>
      </c>
      <c r="C7744" s="9">
        <v>45901</v>
      </c>
      <c r="D7744">
        <v>42</v>
      </c>
      <c r="E7744" s="16" t="s">
        <v>133</v>
      </c>
      <c r="F7744" s="16" t="s">
        <v>85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65</v>
      </c>
      <c r="C7745" s="9">
        <v>45931</v>
      </c>
      <c r="D7745">
        <v>42</v>
      </c>
      <c r="E7745" s="16" t="s">
        <v>133</v>
      </c>
      <c r="F7745" s="16" t="s">
        <v>85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65</v>
      </c>
      <c r="C7746" s="9">
        <v>45962</v>
      </c>
      <c r="D7746">
        <v>42</v>
      </c>
      <c r="E7746" s="16" t="s">
        <v>133</v>
      </c>
      <c r="F7746" s="16" t="s">
        <v>85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65</v>
      </c>
      <c r="C7747" s="9">
        <v>45992</v>
      </c>
      <c r="D7747">
        <v>42</v>
      </c>
      <c r="E7747" s="16" t="s">
        <v>133</v>
      </c>
      <c r="F7747" s="16" t="s">
        <v>85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65</v>
      </c>
      <c r="C7748" s="9">
        <v>46023</v>
      </c>
      <c r="D7748">
        <v>42</v>
      </c>
      <c r="E7748" s="16" t="s">
        <v>133</v>
      </c>
      <c r="F7748" s="16" t="s">
        <v>85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65</v>
      </c>
      <c r="C7749" s="9">
        <v>46054</v>
      </c>
      <c r="D7749">
        <v>42</v>
      </c>
      <c r="E7749" s="16" t="s">
        <v>133</v>
      </c>
      <c r="F7749" s="16" t="s">
        <v>85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65</v>
      </c>
      <c r="C7750" s="9">
        <v>46082</v>
      </c>
      <c r="D7750">
        <v>42</v>
      </c>
      <c r="E7750" s="16" t="s">
        <v>133</v>
      </c>
      <c r="F7750" s="16" t="s">
        <v>85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65</v>
      </c>
      <c r="C7751" s="9">
        <v>46113</v>
      </c>
      <c r="D7751">
        <v>42</v>
      </c>
      <c r="E7751" s="16" t="s">
        <v>133</v>
      </c>
      <c r="F7751" s="16" t="s">
        <v>85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65</v>
      </c>
      <c r="C7752" s="9">
        <v>46143</v>
      </c>
      <c r="D7752">
        <v>42</v>
      </c>
      <c r="E7752" s="16" t="s">
        <v>133</v>
      </c>
      <c r="F7752" s="16" t="s">
        <v>85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65</v>
      </c>
      <c r="C7753" s="9">
        <v>46174</v>
      </c>
      <c r="D7753">
        <v>42</v>
      </c>
      <c r="E7753" s="16" t="s">
        <v>133</v>
      </c>
      <c r="F7753" s="16" t="s">
        <v>85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65</v>
      </c>
      <c r="C7754" s="9">
        <v>46204</v>
      </c>
      <c r="D7754">
        <v>42</v>
      </c>
      <c r="E7754" s="16" t="s">
        <v>133</v>
      </c>
      <c r="F7754" s="16" t="s">
        <v>85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65</v>
      </c>
      <c r="C7755" s="9">
        <v>46235</v>
      </c>
      <c r="D7755">
        <v>42</v>
      </c>
      <c r="E7755" s="16" t="s">
        <v>133</v>
      </c>
      <c r="F7755" s="16" t="s">
        <v>85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65</v>
      </c>
      <c r="C7756" s="9">
        <v>46266</v>
      </c>
      <c r="D7756">
        <v>42</v>
      </c>
      <c r="E7756" s="16" t="s">
        <v>133</v>
      </c>
      <c r="F7756" s="16" t="s">
        <v>85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65</v>
      </c>
      <c r="C7757" s="9">
        <v>45689</v>
      </c>
      <c r="D7757">
        <v>43</v>
      </c>
      <c r="E7757" s="16" t="s">
        <v>134</v>
      </c>
      <c r="F7757" s="16" t="s">
        <v>92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65</v>
      </c>
      <c r="C7758" s="9">
        <v>45778</v>
      </c>
      <c r="D7758">
        <v>43</v>
      </c>
      <c r="E7758" s="16" t="s">
        <v>134</v>
      </c>
      <c r="F7758" s="16" t="s">
        <v>92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65</v>
      </c>
      <c r="C7759" s="9">
        <v>45839</v>
      </c>
      <c r="D7759">
        <v>43</v>
      </c>
      <c r="E7759" s="16" t="s">
        <v>134</v>
      </c>
      <c r="F7759" s="16" t="s">
        <v>92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65</v>
      </c>
      <c r="C7760" s="9">
        <v>45931</v>
      </c>
      <c r="D7760">
        <v>43</v>
      </c>
      <c r="E7760" s="16" t="s">
        <v>134</v>
      </c>
      <c r="F7760" s="16" t="s">
        <v>92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65</v>
      </c>
      <c r="C7761" s="9">
        <v>45992</v>
      </c>
      <c r="D7761">
        <v>43</v>
      </c>
      <c r="E7761" s="16" t="s">
        <v>134</v>
      </c>
      <c r="F7761" s="16" t="s">
        <v>92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65</v>
      </c>
      <c r="C7762" s="9">
        <v>46054</v>
      </c>
      <c r="D7762">
        <v>43</v>
      </c>
      <c r="E7762" s="16" t="s">
        <v>134</v>
      </c>
      <c r="F7762" s="16" t="s">
        <v>92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65</v>
      </c>
      <c r="C7763" s="9">
        <v>46143</v>
      </c>
      <c r="D7763">
        <v>43</v>
      </c>
      <c r="E7763" s="16" t="s">
        <v>134</v>
      </c>
      <c r="F7763" s="16" t="s">
        <v>92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65</v>
      </c>
      <c r="C7764" s="9">
        <v>46266</v>
      </c>
      <c r="D7764">
        <v>43</v>
      </c>
      <c r="E7764" s="16" t="s">
        <v>134</v>
      </c>
      <c r="F7764" s="16" t="s">
        <v>92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65</v>
      </c>
      <c r="C7765" s="9">
        <v>45689</v>
      </c>
      <c r="D7765">
        <v>44</v>
      </c>
      <c r="E7765" s="16" t="s">
        <v>135</v>
      </c>
      <c r="F7765" s="16" t="s">
        <v>92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65</v>
      </c>
      <c r="C7766" s="9">
        <v>45717</v>
      </c>
      <c r="D7766">
        <v>44</v>
      </c>
      <c r="E7766" s="16" t="s">
        <v>135</v>
      </c>
      <c r="F7766" s="16" t="s">
        <v>92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65</v>
      </c>
      <c r="C7767" s="9">
        <v>45748</v>
      </c>
      <c r="D7767">
        <v>44</v>
      </c>
      <c r="E7767" s="16" t="s">
        <v>135</v>
      </c>
      <c r="F7767" s="16" t="s">
        <v>92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65</v>
      </c>
      <c r="C7768" s="9">
        <v>45778</v>
      </c>
      <c r="D7768">
        <v>44</v>
      </c>
      <c r="E7768" s="16" t="s">
        <v>135</v>
      </c>
      <c r="F7768" s="16" t="s">
        <v>92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65</v>
      </c>
      <c r="C7769" s="9">
        <v>45809</v>
      </c>
      <c r="D7769">
        <v>44</v>
      </c>
      <c r="E7769" s="16" t="s">
        <v>135</v>
      </c>
      <c r="F7769" s="16" t="s">
        <v>92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65</v>
      </c>
      <c r="C7770" s="9">
        <v>45839</v>
      </c>
      <c r="D7770">
        <v>44</v>
      </c>
      <c r="E7770" s="16" t="s">
        <v>135</v>
      </c>
      <c r="F7770" s="16" t="s">
        <v>92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65</v>
      </c>
      <c r="C7771" s="9">
        <v>45870</v>
      </c>
      <c r="D7771">
        <v>44</v>
      </c>
      <c r="E7771" s="16" t="s">
        <v>135</v>
      </c>
      <c r="F7771" s="16" t="s">
        <v>92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65</v>
      </c>
      <c r="C7772" s="9">
        <v>45901</v>
      </c>
      <c r="D7772">
        <v>44</v>
      </c>
      <c r="E7772" s="16" t="s">
        <v>135</v>
      </c>
      <c r="F7772" s="16" t="s">
        <v>92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65</v>
      </c>
      <c r="C7773" s="9">
        <v>45931</v>
      </c>
      <c r="D7773">
        <v>44</v>
      </c>
      <c r="E7773" s="16" t="s">
        <v>135</v>
      </c>
      <c r="F7773" s="16" t="s">
        <v>92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65</v>
      </c>
      <c r="C7774" s="9">
        <v>45962</v>
      </c>
      <c r="D7774">
        <v>44</v>
      </c>
      <c r="E7774" s="16" t="s">
        <v>135</v>
      </c>
      <c r="F7774" s="16" t="s">
        <v>92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65</v>
      </c>
      <c r="C7775" s="9">
        <v>45992</v>
      </c>
      <c r="D7775">
        <v>44</v>
      </c>
      <c r="E7775" s="16" t="s">
        <v>135</v>
      </c>
      <c r="F7775" s="16" t="s">
        <v>92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65</v>
      </c>
      <c r="C7776" s="9">
        <v>46023</v>
      </c>
      <c r="D7776">
        <v>44</v>
      </c>
      <c r="E7776" s="16" t="s">
        <v>135</v>
      </c>
      <c r="F7776" s="16" t="s">
        <v>92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65</v>
      </c>
      <c r="C7777" s="9">
        <v>46054</v>
      </c>
      <c r="D7777">
        <v>44</v>
      </c>
      <c r="E7777" s="16" t="s">
        <v>135</v>
      </c>
      <c r="F7777" s="16" t="s">
        <v>92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65</v>
      </c>
      <c r="C7778" s="9">
        <v>46082</v>
      </c>
      <c r="D7778">
        <v>44</v>
      </c>
      <c r="E7778" s="16" t="s">
        <v>135</v>
      </c>
      <c r="F7778" s="16" t="s">
        <v>92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65</v>
      </c>
      <c r="C7779" s="9">
        <v>46113</v>
      </c>
      <c r="D7779">
        <v>44</v>
      </c>
      <c r="E7779" s="16" t="s">
        <v>135</v>
      </c>
      <c r="F7779" s="16" t="s">
        <v>92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65</v>
      </c>
      <c r="C7780" s="9">
        <v>46143</v>
      </c>
      <c r="D7780">
        <v>44</v>
      </c>
      <c r="E7780" s="16" t="s">
        <v>135</v>
      </c>
      <c r="F7780" s="16" t="s">
        <v>92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65</v>
      </c>
      <c r="C7781" s="9">
        <v>46174</v>
      </c>
      <c r="D7781">
        <v>44</v>
      </c>
      <c r="E7781" s="16" t="s">
        <v>135</v>
      </c>
      <c r="F7781" s="16" t="s">
        <v>92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65</v>
      </c>
      <c r="C7782" s="9">
        <v>46204</v>
      </c>
      <c r="D7782">
        <v>44</v>
      </c>
      <c r="E7782" s="16" t="s">
        <v>135</v>
      </c>
      <c r="F7782" s="16" t="s">
        <v>92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65</v>
      </c>
      <c r="C7783" s="9">
        <v>46235</v>
      </c>
      <c r="D7783">
        <v>44</v>
      </c>
      <c r="E7783" s="16" t="s">
        <v>135</v>
      </c>
      <c r="F7783" s="16" t="s">
        <v>92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65</v>
      </c>
      <c r="C7784" s="9">
        <v>46266</v>
      </c>
      <c r="D7784">
        <v>44</v>
      </c>
      <c r="E7784" s="16" t="s">
        <v>135</v>
      </c>
      <c r="F7784" s="16" t="s">
        <v>92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65</v>
      </c>
      <c r="C7785" s="9">
        <v>45689</v>
      </c>
      <c r="D7785">
        <v>45</v>
      </c>
      <c r="E7785" s="16" t="s">
        <v>136</v>
      </c>
      <c r="F7785" s="16" t="s">
        <v>85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65</v>
      </c>
      <c r="C7786" s="9">
        <v>45717</v>
      </c>
      <c r="D7786">
        <v>45</v>
      </c>
      <c r="E7786" s="16" t="s">
        <v>136</v>
      </c>
      <c r="F7786" s="16" t="s">
        <v>85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65</v>
      </c>
      <c r="C7787" s="9">
        <v>45748</v>
      </c>
      <c r="D7787">
        <v>45</v>
      </c>
      <c r="E7787" s="16" t="s">
        <v>136</v>
      </c>
      <c r="F7787" s="16" t="s">
        <v>85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65</v>
      </c>
      <c r="C7788" s="9">
        <v>45778</v>
      </c>
      <c r="D7788">
        <v>45</v>
      </c>
      <c r="E7788" s="16" t="s">
        <v>136</v>
      </c>
      <c r="F7788" s="16" t="s">
        <v>85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65</v>
      </c>
      <c r="C7789" s="9">
        <v>45809</v>
      </c>
      <c r="D7789">
        <v>45</v>
      </c>
      <c r="E7789" s="16" t="s">
        <v>136</v>
      </c>
      <c r="F7789" s="16" t="s">
        <v>85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65</v>
      </c>
      <c r="C7790" s="9">
        <v>45839</v>
      </c>
      <c r="D7790">
        <v>45</v>
      </c>
      <c r="E7790" s="16" t="s">
        <v>136</v>
      </c>
      <c r="F7790" s="16" t="s">
        <v>85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65</v>
      </c>
      <c r="C7791" s="9">
        <v>45870</v>
      </c>
      <c r="D7791">
        <v>45</v>
      </c>
      <c r="E7791" s="16" t="s">
        <v>136</v>
      </c>
      <c r="F7791" s="16" t="s">
        <v>85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65</v>
      </c>
      <c r="C7792" s="9">
        <v>45901</v>
      </c>
      <c r="D7792">
        <v>45</v>
      </c>
      <c r="E7792" s="16" t="s">
        <v>136</v>
      </c>
      <c r="F7792" s="16" t="s">
        <v>85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65</v>
      </c>
      <c r="C7793" s="9">
        <v>45931</v>
      </c>
      <c r="D7793">
        <v>45</v>
      </c>
      <c r="E7793" s="16" t="s">
        <v>136</v>
      </c>
      <c r="F7793" s="16" t="s">
        <v>85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65</v>
      </c>
      <c r="C7794" s="9">
        <v>45962</v>
      </c>
      <c r="D7794">
        <v>45</v>
      </c>
      <c r="E7794" s="16" t="s">
        <v>136</v>
      </c>
      <c r="F7794" s="16" t="s">
        <v>85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65</v>
      </c>
      <c r="C7795" s="9">
        <v>45992</v>
      </c>
      <c r="D7795">
        <v>45</v>
      </c>
      <c r="E7795" s="16" t="s">
        <v>136</v>
      </c>
      <c r="F7795" s="16" t="s">
        <v>85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65</v>
      </c>
      <c r="C7796" s="9">
        <v>46023</v>
      </c>
      <c r="D7796">
        <v>45</v>
      </c>
      <c r="E7796" s="16" t="s">
        <v>136</v>
      </c>
      <c r="F7796" s="16" t="s">
        <v>85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65</v>
      </c>
      <c r="C7797" s="9">
        <v>46054</v>
      </c>
      <c r="D7797">
        <v>45</v>
      </c>
      <c r="E7797" s="16" t="s">
        <v>136</v>
      </c>
      <c r="F7797" s="16" t="s">
        <v>85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65</v>
      </c>
      <c r="C7798" s="9">
        <v>46082</v>
      </c>
      <c r="D7798">
        <v>45</v>
      </c>
      <c r="E7798" s="16" t="s">
        <v>136</v>
      </c>
      <c r="F7798" s="16" t="s">
        <v>85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65</v>
      </c>
      <c r="C7799" s="9">
        <v>46113</v>
      </c>
      <c r="D7799">
        <v>45</v>
      </c>
      <c r="E7799" s="16" t="s">
        <v>136</v>
      </c>
      <c r="F7799" s="16" t="s">
        <v>85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65</v>
      </c>
      <c r="C7800" s="9">
        <v>46143</v>
      </c>
      <c r="D7800">
        <v>45</v>
      </c>
      <c r="E7800" s="16" t="s">
        <v>136</v>
      </c>
      <c r="F7800" s="16" t="s">
        <v>85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65</v>
      </c>
      <c r="C7801" s="9">
        <v>46174</v>
      </c>
      <c r="D7801">
        <v>45</v>
      </c>
      <c r="E7801" s="16" t="s">
        <v>136</v>
      </c>
      <c r="F7801" s="16" t="s">
        <v>85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65</v>
      </c>
      <c r="C7802" s="9">
        <v>46204</v>
      </c>
      <c r="D7802">
        <v>45</v>
      </c>
      <c r="E7802" s="16" t="s">
        <v>136</v>
      </c>
      <c r="F7802" s="16" t="s">
        <v>85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65</v>
      </c>
      <c r="C7803" s="9">
        <v>46235</v>
      </c>
      <c r="D7803">
        <v>45</v>
      </c>
      <c r="E7803" s="16" t="s">
        <v>136</v>
      </c>
      <c r="F7803" s="16" t="s">
        <v>85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65</v>
      </c>
      <c r="C7804" s="9">
        <v>46266</v>
      </c>
      <c r="D7804">
        <v>45</v>
      </c>
      <c r="E7804" s="16" t="s">
        <v>136</v>
      </c>
      <c r="F7804" s="16" t="s">
        <v>85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65</v>
      </c>
      <c r="C7805" s="9">
        <v>45689</v>
      </c>
      <c r="D7805">
        <v>46</v>
      </c>
      <c r="E7805" s="16" t="s">
        <v>137</v>
      </c>
      <c r="F7805" s="16" t="s">
        <v>110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65</v>
      </c>
      <c r="C7806" s="9">
        <v>45717</v>
      </c>
      <c r="D7806">
        <v>46</v>
      </c>
      <c r="E7806" s="16" t="s">
        <v>137</v>
      </c>
      <c r="F7806" s="16" t="s">
        <v>110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65</v>
      </c>
      <c r="C7807" s="9">
        <v>45748</v>
      </c>
      <c r="D7807">
        <v>46</v>
      </c>
      <c r="E7807" s="16" t="s">
        <v>137</v>
      </c>
      <c r="F7807" s="16" t="s">
        <v>110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65</v>
      </c>
      <c r="C7808" s="9">
        <v>45778</v>
      </c>
      <c r="D7808">
        <v>46</v>
      </c>
      <c r="E7808" s="16" t="s">
        <v>137</v>
      </c>
      <c r="F7808" s="16" t="s">
        <v>110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65</v>
      </c>
      <c r="C7809" s="9">
        <v>45809</v>
      </c>
      <c r="D7809">
        <v>46</v>
      </c>
      <c r="E7809" s="16" t="s">
        <v>137</v>
      </c>
      <c r="F7809" s="16" t="s">
        <v>110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65</v>
      </c>
      <c r="C7810" s="9">
        <v>45839</v>
      </c>
      <c r="D7810">
        <v>46</v>
      </c>
      <c r="E7810" s="16" t="s">
        <v>137</v>
      </c>
      <c r="F7810" s="16" t="s">
        <v>110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65</v>
      </c>
      <c r="C7811" s="9">
        <v>45870</v>
      </c>
      <c r="D7811">
        <v>46</v>
      </c>
      <c r="E7811" s="16" t="s">
        <v>137</v>
      </c>
      <c r="F7811" s="16" t="s">
        <v>110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65</v>
      </c>
      <c r="C7812" s="9">
        <v>45901</v>
      </c>
      <c r="D7812">
        <v>46</v>
      </c>
      <c r="E7812" s="16" t="s">
        <v>137</v>
      </c>
      <c r="F7812" s="16" t="s">
        <v>110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65</v>
      </c>
      <c r="C7813" s="9">
        <v>45931</v>
      </c>
      <c r="D7813">
        <v>46</v>
      </c>
      <c r="E7813" s="16" t="s">
        <v>137</v>
      </c>
      <c r="F7813" s="16" t="s">
        <v>110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65</v>
      </c>
      <c r="C7814" s="9">
        <v>45992</v>
      </c>
      <c r="D7814">
        <v>46</v>
      </c>
      <c r="E7814" s="16" t="s">
        <v>137</v>
      </c>
      <c r="F7814" s="16" t="s">
        <v>110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65</v>
      </c>
      <c r="C7815" s="9">
        <v>46023</v>
      </c>
      <c r="D7815">
        <v>46</v>
      </c>
      <c r="E7815" s="16" t="s">
        <v>137</v>
      </c>
      <c r="F7815" s="16" t="s">
        <v>110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65</v>
      </c>
      <c r="C7816" s="9">
        <v>46054</v>
      </c>
      <c r="D7816">
        <v>46</v>
      </c>
      <c r="E7816" s="16" t="s">
        <v>137</v>
      </c>
      <c r="F7816" s="16" t="s">
        <v>110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65</v>
      </c>
      <c r="C7817" s="9">
        <v>46113</v>
      </c>
      <c r="D7817">
        <v>46</v>
      </c>
      <c r="E7817" s="16" t="s">
        <v>137</v>
      </c>
      <c r="F7817" s="16" t="s">
        <v>110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65</v>
      </c>
      <c r="C7818" s="9">
        <v>46143</v>
      </c>
      <c r="D7818">
        <v>46</v>
      </c>
      <c r="E7818" s="16" t="s">
        <v>137</v>
      </c>
      <c r="F7818" s="16" t="s">
        <v>110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65</v>
      </c>
      <c r="C7819" s="9">
        <v>46174</v>
      </c>
      <c r="D7819">
        <v>46</v>
      </c>
      <c r="E7819" s="16" t="s">
        <v>137</v>
      </c>
      <c r="F7819" s="16" t="s">
        <v>110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65</v>
      </c>
      <c r="C7820" s="9">
        <v>46204</v>
      </c>
      <c r="D7820">
        <v>46</v>
      </c>
      <c r="E7820" s="16" t="s">
        <v>137</v>
      </c>
      <c r="F7820" s="16" t="s">
        <v>110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65</v>
      </c>
      <c r="C7821" s="9">
        <v>46266</v>
      </c>
      <c r="D7821">
        <v>46</v>
      </c>
      <c r="E7821" s="16" t="s">
        <v>137</v>
      </c>
      <c r="F7821" s="16" t="s">
        <v>110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65</v>
      </c>
      <c r="C7822" s="9">
        <v>45689</v>
      </c>
      <c r="D7822">
        <v>47</v>
      </c>
      <c r="E7822" s="16" t="s">
        <v>138</v>
      </c>
      <c r="F7822" s="16" t="s">
        <v>94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65</v>
      </c>
      <c r="C7823" s="9">
        <v>45717</v>
      </c>
      <c r="D7823">
        <v>47</v>
      </c>
      <c r="E7823" s="16" t="s">
        <v>138</v>
      </c>
      <c r="F7823" s="16" t="s">
        <v>94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65</v>
      </c>
      <c r="C7824" s="9">
        <v>45748</v>
      </c>
      <c r="D7824">
        <v>47</v>
      </c>
      <c r="E7824" s="16" t="s">
        <v>138</v>
      </c>
      <c r="F7824" s="16" t="s">
        <v>94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65</v>
      </c>
      <c r="C7825" s="9">
        <v>45778</v>
      </c>
      <c r="D7825">
        <v>47</v>
      </c>
      <c r="E7825" s="16" t="s">
        <v>138</v>
      </c>
      <c r="F7825" s="16" t="s">
        <v>94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65</v>
      </c>
      <c r="C7826" s="9">
        <v>45809</v>
      </c>
      <c r="D7826">
        <v>47</v>
      </c>
      <c r="E7826" s="16" t="s">
        <v>138</v>
      </c>
      <c r="F7826" s="16" t="s">
        <v>94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65</v>
      </c>
      <c r="C7827" s="9">
        <v>45839</v>
      </c>
      <c r="D7827">
        <v>47</v>
      </c>
      <c r="E7827" s="16" t="s">
        <v>138</v>
      </c>
      <c r="F7827" s="16" t="s">
        <v>94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65</v>
      </c>
      <c r="C7828" s="9">
        <v>45870</v>
      </c>
      <c r="D7828">
        <v>47</v>
      </c>
      <c r="E7828" s="16" t="s">
        <v>138</v>
      </c>
      <c r="F7828" s="16" t="s">
        <v>94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65</v>
      </c>
      <c r="C7829" s="9">
        <v>45901</v>
      </c>
      <c r="D7829">
        <v>47</v>
      </c>
      <c r="E7829" s="16" t="s">
        <v>138</v>
      </c>
      <c r="F7829" s="16" t="s">
        <v>94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65</v>
      </c>
      <c r="C7830" s="9">
        <v>45931</v>
      </c>
      <c r="D7830">
        <v>47</v>
      </c>
      <c r="E7830" s="16" t="s">
        <v>138</v>
      </c>
      <c r="F7830" s="16" t="s">
        <v>94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65</v>
      </c>
      <c r="C7831" s="9">
        <v>45962</v>
      </c>
      <c r="D7831">
        <v>47</v>
      </c>
      <c r="E7831" s="16" t="s">
        <v>138</v>
      </c>
      <c r="F7831" s="16" t="s">
        <v>94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65</v>
      </c>
      <c r="C7832" s="9">
        <v>45992</v>
      </c>
      <c r="D7832">
        <v>47</v>
      </c>
      <c r="E7832" s="16" t="s">
        <v>138</v>
      </c>
      <c r="F7832" s="16" t="s">
        <v>94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65</v>
      </c>
      <c r="C7833" s="9">
        <v>46023</v>
      </c>
      <c r="D7833">
        <v>47</v>
      </c>
      <c r="E7833" s="16" t="s">
        <v>138</v>
      </c>
      <c r="F7833" s="16" t="s">
        <v>94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65</v>
      </c>
      <c r="C7834" s="9">
        <v>46054</v>
      </c>
      <c r="D7834">
        <v>47</v>
      </c>
      <c r="E7834" s="16" t="s">
        <v>138</v>
      </c>
      <c r="F7834" s="16" t="s">
        <v>94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65</v>
      </c>
      <c r="C7835" s="9">
        <v>46082</v>
      </c>
      <c r="D7835">
        <v>47</v>
      </c>
      <c r="E7835" s="16" t="s">
        <v>138</v>
      </c>
      <c r="F7835" s="16" t="s">
        <v>94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65</v>
      </c>
      <c r="C7836" s="9">
        <v>46113</v>
      </c>
      <c r="D7836">
        <v>47</v>
      </c>
      <c r="E7836" s="16" t="s">
        <v>138</v>
      </c>
      <c r="F7836" s="16" t="s">
        <v>94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65</v>
      </c>
      <c r="C7837" s="9">
        <v>46143</v>
      </c>
      <c r="D7837">
        <v>47</v>
      </c>
      <c r="E7837" s="16" t="s">
        <v>138</v>
      </c>
      <c r="F7837" s="16" t="s">
        <v>94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65</v>
      </c>
      <c r="C7838" s="9">
        <v>46174</v>
      </c>
      <c r="D7838">
        <v>47</v>
      </c>
      <c r="E7838" s="16" t="s">
        <v>138</v>
      </c>
      <c r="F7838" s="16" t="s">
        <v>94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65</v>
      </c>
      <c r="C7839" s="9">
        <v>46204</v>
      </c>
      <c r="D7839">
        <v>47</v>
      </c>
      <c r="E7839" s="16" t="s">
        <v>138</v>
      </c>
      <c r="F7839" s="16" t="s">
        <v>94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65</v>
      </c>
      <c r="C7840" s="9">
        <v>46235</v>
      </c>
      <c r="D7840">
        <v>47</v>
      </c>
      <c r="E7840" s="16" t="s">
        <v>138</v>
      </c>
      <c r="F7840" s="16" t="s">
        <v>94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65</v>
      </c>
      <c r="C7841" s="9">
        <v>46266</v>
      </c>
      <c r="D7841">
        <v>47</v>
      </c>
      <c r="E7841" s="16" t="s">
        <v>138</v>
      </c>
      <c r="F7841" s="16" t="s">
        <v>94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65</v>
      </c>
      <c r="C7842" s="9">
        <v>45689</v>
      </c>
      <c r="D7842">
        <v>48</v>
      </c>
      <c r="E7842" s="16" t="s">
        <v>139</v>
      </c>
      <c r="F7842" s="16" t="s">
        <v>140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65</v>
      </c>
      <c r="C7843" s="9">
        <v>45717</v>
      </c>
      <c r="D7843">
        <v>48</v>
      </c>
      <c r="E7843" s="16" t="s">
        <v>139</v>
      </c>
      <c r="F7843" s="16" t="s">
        <v>140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65</v>
      </c>
      <c r="C7844" s="9">
        <v>45748</v>
      </c>
      <c r="D7844">
        <v>48</v>
      </c>
      <c r="E7844" s="16" t="s">
        <v>139</v>
      </c>
      <c r="F7844" s="16" t="s">
        <v>140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65</v>
      </c>
      <c r="C7845" s="9">
        <v>45778</v>
      </c>
      <c r="D7845">
        <v>48</v>
      </c>
      <c r="E7845" s="16" t="s">
        <v>139</v>
      </c>
      <c r="F7845" s="16" t="s">
        <v>140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65</v>
      </c>
      <c r="C7846" s="9">
        <v>45809</v>
      </c>
      <c r="D7846">
        <v>48</v>
      </c>
      <c r="E7846" s="16" t="s">
        <v>139</v>
      </c>
      <c r="F7846" s="16" t="s">
        <v>140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65</v>
      </c>
      <c r="C7847" s="9">
        <v>45839</v>
      </c>
      <c r="D7847">
        <v>48</v>
      </c>
      <c r="E7847" s="16" t="s">
        <v>139</v>
      </c>
      <c r="F7847" s="16" t="s">
        <v>140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65</v>
      </c>
      <c r="C7848" s="9">
        <v>45870</v>
      </c>
      <c r="D7848">
        <v>48</v>
      </c>
      <c r="E7848" s="16" t="s">
        <v>139</v>
      </c>
      <c r="F7848" s="16" t="s">
        <v>140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65</v>
      </c>
      <c r="C7849" s="9">
        <v>45901</v>
      </c>
      <c r="D7849">
        <v>48</v>
      </c>
      <c r="E7849" s="16" t="s">
        <v>139</v>
      </c>
      <c r="F7849" s="16" t="s">
        <v>140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65</v>
      </c>
      <c r="C7850" s="9">
        <v>45931</v>
      </c>
      <c r="D7850">
        <v>48</v>
      </c>
      <c r="E7850" s="16" t="s">
        <v>139</v>
      </c>
      <c r="F7850" s="16" t="s">
        <v>140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65</v>
      </c>
      <c r="C7851" s="9">
        <v>45962</v>
      </c>
      <c r="D7851">
        <v>48</v>
      </c>
      <c r="E7851" s="16" t="s">
        <v>139</v>
      </c>
      <c r="F7851" s="16" t="s">
        <v>140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65</v>
      </c>
      <c r="C7852" s="9">
        <v>45992</v>
      </c>
      <c r="D7852">
        <v>48</v>
      </c>
      <c r="E7852" s="16" t="s">
        <v>139</v>
      </c>
      <c r="F7852" s="16" t="s">
        <v>140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65</v>
      </c>
      <c r="C7853" s="9">
        <v>46023</v>
      </c>
      <c r="D7853">
        <v>48</v>
      </c>
      <c r="E7853" s="16" t="s">
        <v>139</v>
      </c>
      <c r="F7853" s="16" t="s">
        <v>140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65</v>
      </c>
      <c r="C7854" s="9">
        <v>46054</v>
      </c>
      <c r="D7854">
        <v>48</v>
      </c>
      <c r="E7854" s="16" t="s">
        <v>139</v>
      </c>
      <c r="F7854" s="16" t="s">
        <v>140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65</v>
      </c>
      <c r="C7855" s="9">
        <v>46082</v>
      </c>
      <c r="D7855">
        <v>48</v>
      </c>
      <c r="E7855" s="16" t="s">
        <v>139</v>
      </c>
      <c r="F7855" s="16" t="s">
        <v>140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65</v>
      </c>
      <c r="C7856" s="9">
        <v>46113</v>
      </c>
      <c r="D7856">
        <v>48</v>
      </c>
      <c r="E7856" s="16" t="s">
        <v>139</v>
      </c>
      <c r="F7856" s="16" t="s">
        <v>140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65</v>
      </c>
      <c r="C7857" s="9">
        <v>46143</v>
      </c>
      <c r="D7857">
        <v>48</v>
      </c>
      <c r="E7857" s="16" t="s">
        <v>139</v>
      </c>
      <c r="F7857" s="16" t="s">
        <v>140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65</v>
      </c>
      <c r="C7858" s="9">
        <v>46174</v>
      </c>
      <c r="D7858">
        <v>48</v>
      </c>
      <c r="E7858" s="16" t="s">
        <v>139</v>
      </c>
      <c r="F7858" s="16" t="s">
        <v>140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65</v>
      </c>
      <c r="C7859" s="9">
        <v>46204</v>
      </c>
      <c r="D7859">
        <v>48</v>
      </c>
      <c r="E7859" s="16" t="s">
        <v>139</v>
      </c>
      <c r="F7859" s="16" t="s">
        <v>140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65</v>
      </c>
      <c r="C7860" s="9">
        <v>46235</v>
      </c>
      <c r="D7860">
        <v>48</v>
      </c>
      <c r="E7860" s="16" t="s">
        <v>139</v>
      </c>
      <c r="F7860" s="16" t="s">
        <v>140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65</v>
      </c>
      <c r="C7861" s="9">
        <v>46266</v>
      </c>
      <c r="D7861">
        <v>48</v>
      </c>
      <c r="E7861" s="16" t="s">
        <v>139</v>
      </c>
      <c r="F7861" s="16" t="s">
        <v>140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65</v>
      </c>
      <c r="C7862" s="9">
        <v>45689</v>
      </c>
      <c r="D7862">
        <v>49</v>
      </c>
      <c r="E7862" s="16" t="s">
        <v>141</v>
      </c>
      <c r="F7862" s="16" t="s">
        <v>140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65</v>
      </c>
      <c r="C7863" s="9">
        <v>45717</v>
      </c>
      <c r="D7863">
        <v>49</v>
      </c>
      <c r="E7863" s="16" t="s">
        <v>141</v>
      </c>
      <c r="F7863" s="16" t="s">
        <v>140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65</v>
      </c>
      <c r="C7864" s="9">
        <v>45748</v>
      </c>
      <c r="D7864">
        <v>49</v>
      </c>
      <c r="E7864" s="16" t="s">
        <v>141</v>
      </c>
      <c r="F7864" s="16" t="s">
        <v>140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65</v>
      </c>
      <c r="C7865" s="9">
        <v>45778</v>
      </c>
      <c r="D7865">
        <v>49</v>
      </c>
      <c r="E7865" s="16" t="s">
        <v>141</v>
      </c>
      <c r="F7865" s="16" t="s">
        <v>140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65</v>
      </c>
      <c r="C7866" s="9">
        <v>45809</v>
      </c>
      <c r="D7866">
        <v>49</v>
      </c>
      <c r="E7866" s="16" t="s">
        <v>141</v>
      </c>
      <c r="F7866" s="16" t="s">
        <v>140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65</v>
      </c>
      <c r="C7867" s="9">
        <v>45839</v>
      </c>
      <c r="D7867">
        <v>49</v>
      </c>
      <c r="E7867" s="16" t="s">
        <v>141</v>
      </c>
      <c r="F7867" s="16" t="s">
        <v>140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65</v>
      </c>
      <c r="C7868" s="9">
        <v>45870</v>
      </c>
      <c r="D7868">
        <v>49</v>
      </c>
      <c r="E7868" s="16" t="s">
        <v>141</v>
      </c>
      <c r="F7868" s="16" t="s">
        <v>140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65</v>
      </c>
      <c r="C7869" s="9">
        <v>45901</v>
      </c>
      <c r="D7869">
        <v>49</v>
      </c>
      <c r="E7869" s="16" t="s">
        <v>141</v>
      </c>
      <c r="F7869" s="16" t="s">
        <v>140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65</v>
      </c>
      <c r="C7870" s="9">
        <v>45931</v>
      </c>
      <c r="D7870">
        <v>49</v>
      </c>
      <c r="E7870" s="16" t="s">
        <v>141</v>
      </c>
      <c r="F7870" s="16" t="s">
        <v>140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65</v>
      </c>
      <c r="C7871" s="9">
        <v>45962</v>
      </c>
      <c r="D7871">
        <v>49</v>
      </c>
      <c r="E7871" s="16" t="s">
        <v>141</v>
      </c>
      <c r="F7871" s="16" t="s">
        <v>140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65</v>
      </c>
      <c r="C7872" s="9">
        <v>45992</v>
      </c>
      <c r="D7872">
        <v>49</v>
      </c>
      <c r="E7872" s="16" t="s">
        <v>141</v>
      </c>
      <c r="F7872" s="16" t="s">
        <v>140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65</v>
      </c>
      <c r="C7873" s="9">
        <v>46023</v>
      </c>
      <c r="D7873">
        <v>49</v>
      </c>
      <c r="E7873" s="16" t="s">
        <v>141</v>
      </c>
      <c r="F7873" s="16" t="s">
        <v>140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65</v>
      </c>
      <c r="C7874" s="9">
        <v>46054</v>
      </c>
      <c r="D7874">
        <v>49</v>
      </c>
      <c r="E7874" s="16" t="s">
        <v>141</v>
      </c>
      <c r="F7874" s="16" t="s">
        <v>140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65</v>
      </c>
      <c r="C7875" s="9">
        <v>46082</v>
      </c>
      <c r="D7875">
        <v>49</v>
      </c>
      <c r="E7875" s="16" t="s">
        <v>141</v>
      </c>
      <c r="F7875" s="16" t="s">
        <v>140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65</v>
      </c>
      <c r="C7876" s="9">
        <v>46113</v>
      </c>
      <c r="D7876">
        <v>49</v>
      </c>
      <c r="E7876" s="16" t="s">
        <v>141</v>
      </c>
      <c r="F7876" s="16" t="s">
        <v>140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65</v>
      </c>
      <c r="C7877" s="9">
        <v>46143</v>
      </c>
      <c r="D7877">
        <v>49</v>
      </c>
      <c r="E7877" s="16" t="s">
        <v>141</v>
      </c>
      <c r="F7877" s="16" t="s">
        <v>140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65</v>
      </c>
      <c r="C7878" s="9">
        <v>46174</v>
      </c>
      <c r="D7878">
        <v>49</v>
      </c>
      <c r="E7878" s="16" t="s">
        <v>141</v>
      </c>
      <c r="F7878" s="16" t="s">
        <v>140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65</v>
      </c>
      <c r="C7879" s="9">
        <v>46204</v>
      </c>
      <c r="D7879">
        <v>49</v>
      </c>
      <c r="E7879" s="16" t="s">
        <v>141</v>
      </c>
      <c r="F7879" s="16" t="s">
        <v>140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65</v>
      </c>
      <c r="C7880" s="9">
        <v>46235</v>
      </c>
      <c r="D7880">
        <v>49</v>
      </c>
      <c r="E7880" s="16" t="s">
        <v>141</v>
      </c>
      <c r="F7880" s="16" t="s">
        <v>140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65</v>
      </c>
      <c r="C7881" s="9">
        <v>46266</v>
      </c>
      <c r="D7881">
        <v>49</v>
      </c>
      <c r="E7881" s="16" t="s">
        <v>141</v>
      </c>
      <c r="F7881" s="16" t="s">
        <v>140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65</v>
      </c>
      <c r="C7882" s="9">
        <v>45689</v>
      </c>
      <c r="D7882">
        <v>50</v>
      </c>
      <c r="E7882" s="16" t="s">
        <v>142</v>
      </c>
      <c r="F7882" s="16" t="s">
        <v>140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65</v>
      </c>
      <c r="C7883" s="9">
        <v>45717</v>
      </c>
      <c r="D7883">
        <v>50</v>
      </c>
      <c r="E7883" s="16" t="s">
        <v>142</v>
      </c>
      <c r="F7883" s="16" t="s">
        <v>140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65</v>
      </c>
      <c r="C7884" s="9">
        <v>45748</v>
      </c>
      <c r="D7884">
        <v>50</v>
      </c>
      <c r="E7884" s="16" t="s">
        <v>142</v>
      </c>
      <c r="F7884" s="16" t="s">
        <v>140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65</v>
      </c>
      <c r="C7885" s="9">
        <v>45778</v>
      </c>
      <c r="D7885">
        <v>50</v>
      </c>
      <c r="E7885" s="16" t="s">
        <v>142</v>
      </c>
      <c r="F7885" s="16" t="s">
        <v>140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65</v>
      </c>
      <c r="C7886" s="9">
        <v>45809</v>
      </c>
      <c r="D7886">
        <v>50</v>
      </c>
      <c r="E7886" s="16" t="s">
        <v>142</v>
      </c>
      <c r="F7886" s="16" t="s">
        <v>140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65</v>
      </c>
      <c r="C7887" s="9">
        <v>45839</v>
      </c>
      <c r="D7887">
        <v>50</v>
      </c>
      <c r="E7887" s="16" t="s">
        <v>142</v>
      </c>
      <c r="F7887" s="16" t="s">
        <v>140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65</v>
      </c>
      <c r="C7888" s="9">
        <v>45870</v>
      </c>
      <c r="D7888">
        <v>50</v>
      </c>
      <c r="E7888" s="16" t="s">
        <v>142</v>
      </c>
      <c r="F7888" s="16" t="s">
        <v>140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65</v>
      </c>
      <c r="C7889" s="9">
        <v>45901</v>
      </c>
      <c r="D7889">
        <v>50</v>
      </c>
      <c r="E7889" s="16" t="s">
        <v>142</v>
      </c>
      <c r="F7889" s="16" t="s">
        <v>140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65</v>
      </c>
      <c r="C7890" s="9">
        <v>45931</v>
      </c>
      <c r="D7890">
        <v>50</v>
      </c>
      <c r="E7890" s="16" t="s">
        <v>142</v>
      </c>
      <c r="F7890" s="16" t="s">
        <v>140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65</v>
      </c>
      <c r="C7891" s="9">
        <v>45962</v>
      </c>
      <c r="D7891">
        <v>50</v>
      </c>
      <c r="E7891" s="16" t="s">
        <v>142</v>
      </c>
      <c r="F7891" s="16" t="s">
        <v>140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65</v>
      </c>
      <c r="C7892" s="9">
        <v>45992</v>
      </c>
      <c r="D7892">
        <v>50</v>
      </c>
      <c r="E7892" s="16" t="s">
        <v>142</v>
      </c>
      <c r="F7892" s="16" t="s">
        <v>140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65</v>
      </c>
      <c r="C7893" s="9">
        <v>46023</v>
      </c>
      <c r="D7893">
        <v>50</v>
      </c>
      <c r="E7893" s="16" t="s">
        <v>142</v>
      </c>
      <c r="F7893" s="16" t="s">
        <v>140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65</v>
      </c>
      <c r="C7894" s="9">
        <v>46054</v>
      </c>
      <c r="D7894">
        <v>50</v>
      </c>
      <c r="E7894" s="16" t="s">
        <v>142</v>
      </c>
      <c r="F7894" s="16" t="s">
        <v>140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65</v>
      </c>
      <c r="C7895" s="9">
        <v>46082</v>
      </c>
      <c r="D7895">
        <v>50</v>
      </c>
      <c r="E7895" s="16" t="s">
        <v>142</v>
      </c>
      <c r="F7895" s="16" t="s">
        <v>140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65</v>
      </c>
      <c r="C7896" s="9">
        <v>46113</v>
      </c>
      <c r="D7896">
        <v>50</v>
      </c>
      <c r="E7896" s="16" t="s">
        <v>142</v>
      </c>
      <c r="F7896" s="16" t="s">
        <v>140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65</v>
      </c>
      <c r="C7897" s="9">
        <v>46143</v>
      </c>
      <c r="D7897">
        <v>50</v>
      </c>
      <c r="E7897" s="16" t="s">
        <v>142</v>
      </c>
      <c r="F7897" s="16" t="s">
        <v>140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65</v>
      </c>
      <c r="C7898" s="9">
        <v>46174</v>
      </c>
      <c r="D7898">
        <v>50</v>
      </c>
      <c r="E7898" s="16" t="s">
        <v>142</v>
      </c>
      <c r="F7898" s="16" t="s">
        <v>140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65</v>
      </c>
      <c r="C7899" s="9">
        <v>46204</v>
      </c>
      <c r="D7899">
        <v>50</v>
      </c>
      <c r="E7899" s="16" t="s">
        <v>142</v>
      </c>
      <c r="F7899" s="16" t="s">
        <v>140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65</v>
      </c>
      <c r="C7900" s="9">
        <v>46235</v>
      </c>
      <c r="D7900">
        <v>50</v>
      </c>
      <c r="E7900" s="16" t="s">
        <v>142</v>
      </c>
      <c r="F7900" s="16" t="s">
        <v>140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65</v>
      </c>
      <c r="C7901" s="9">
        <v>46266</v>
      </c>
      <c r="D7901">
        <v>50</v>
      </c>
      <c r="E7901" s="16" t="s">
        <v>142</v>
      </c>
      <c r="F7901" s="16" t="s">
        <v>140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65</v>
      </c>
      <c r="C7902" s="9">
        <v>45689</v>
      </c>
      <c r="D7902">
        <v>51</v>
      </c>
      <c r="E7902" s="16" t="s">
        <v>143</v>
      </c>
      <c r="F7902" s="16" t="s">
        <v>83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65</v>
      </c>
      <c r="C7903" s="9">
        <v>45717</v>
      </c>
      <c r="D7903">
        <v>51</v>
      </c>
      <c r="E7903" s="16" t="s">
        <v>143</v>
      </c>
      <c r="F7903" s="16" t="s">
        <v>83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65</v>
      </c>
      <c r="C7904" s="9">
        <v>45748</v>
      </c>
      <c r="D7904">
        <v>51</v>
      </c>
      <c r="E7904" s="16" t="s">
        <v>143</v>
      </c>
      <c r="F7904" s="16" t="s">
        <v>83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65</v>
      </c>
      <c r="C7905" s="9">
        <v>45778</v>
      </c>
      <c r="D7905">
        <v>51</v>
      </c>
      <c r="E7905" s="16" t="s">
        <v>143</v>
      </c>
      <c r="F7905" s="16" t="s">
        <v>83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65</v>
      </c>
      <c r="C7906" s="9">
        <v>45809</v>
      </c>
      <c r="D7906">
        <v>51</v>
      </c>
      <c r="E7906" s="16" t="s">
        <v>143</v>
      </c>
      <c r="F7906" s="16" t="s">
        <v>83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65</v>
      </c>
      <c r="C7907" s="9">
        <v>45839</v>
      </c>
      <c r="D7907">
        <v>51</v>
      </c>
      <c r="E7907" s="16" t="s">
        <v>143</v>
      </c>
      <c r="F7907" s="16" t="s">
        <v>83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65</v>
      </c>
      <c r="C7908" s="9">
        <v>45870</v>
      </c>
      <c r="D7908">
        <v>51</v>
      </c>
      <c r="E7908" s="16" t="s">
        <v>143</v>
      </c>
      <c r="F7908" s="16" t="s">
        <v>83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65</v>
      </c>
      <c r="C7909" s="9">
        <v>45901</v>
      </c>
      <c r="D7909">
        <v>51</v>
      </c>
      <c r="E7909" s="16" t="s">
        <v>143</v>
      </c>
      <c r="F7909" s="16" t="s">
        <v>83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65</v>
      </c>
      <c r="C7910" s="9">
        <v>45931</v>
      </c>
      <c r="D7910">
        <v>51</v>
      </c>
      <c r="E7910" s="16" t="s">
        <v>143</v>
      </c>
      <c r="F7910" s="16" t="s">
        <v>83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65</v>
      </c>
      <c r="C7911" s="9">
        <v>45962</v>
      </c>
      <c r="D7911">
        <v>51</v>
      </c>
      <c r="E7911" s="16" t="s">
        <v>143</v>
      </c>
      <c r="F7911" s="16" t="s">
        <v>83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65</v>
      </c>
      <c r="C7912" s="9">
        <v>45992</v>
      </c>
      <c r="D7912">
        <v>51</v>
      </c>
      <c r="E7912" s="16" t="s">
        <v>143</v>
      </c>
      <c r="F7912" s="16" t="s">
        <v>83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65</v>
      </c>
      <c r="C7913" s="9">
        <v>46023</v>
      </c>
      <c r="D7913">
        <v>51</v>
      </c>
      <c r="E7913" s="16" t="s">
        <v>143</v>
      </c>
      <c r="F7913" s="16" t="s">
        <v>83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65</v>
      </c>
      <c r="C7914" s="9">
        <v>46054</v>
      </c>
      <c r="D7914">
        <v>51</v>
      </c>
      <c r="E7914" s="16" t="s">
        <v>143</v>
      </c>
      <c r="F7914" s="16" t="s">
        <v>83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65</v>
      </c>
      <c r="C7915" s="9">
        <v>46082</v>
      </c>
      <c r="D7915">
        <v>51</v>
      </c>
      <c r="E7915" s="16" t="s">
        <v>143</v>
      </c>
      <c r="F7915" s="16" t="s">
        <v>83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65</v>
      </c>
      <c r="C7916" s="9">
        <v>46113</v>
      </c>
      <c r="D7916">
        <v>51</v>
      </c>
      <c r="E7916" s="16" t="s">
        <v>143</v>
      </c>
      <c r="F7916" s="16" t="s">
        <v>83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65</v>
      </c>
      <c r="C7917" s="9">
        <v>46143</v>
      </c>
      <c r="D7917">
        <v>51</v>
      </c>
      <c r="E7917" s="16" t="s">
        <v>143</v>
      </c>
      <c r="F7917" s="16" t="s">
        <v>83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65</v>
      </c>
      <c r="C7918" s="9">
        <v>46174</v>
      </c>
      <c r="D7918">
        <v>51</v>
      </c>
      <c r="E7918" s="16" t="s">
        <v>143</v>
      </c>
      <c r="F7918" s="16" t="s">
        <v>83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65</v>
      </c>
      <c r="C7919" s="9">
        <v>46235</v>
      </c>
      <c r="D7919">
        <v>51</v>
      </c>
      <c r="E7919" s="16" t="s">
        <v>143</v>
      </c>
      <c r="F7919" s="16" t="s">
        <v>83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65</v>
      </c>
      <c r="C7920" s="9">
        <v>46266</v>
      </c>
      <c r="D7920">
        <v>51</v>
      </c>
      <c r="E7920" s="16" t="s">
        <v>143</v>
      </c>
      <c r="F7920" s="16" t="s">
        <v>83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65</v>
      </c>
      <c r="C7921" s="9">
        <v>45717</v>
      </c>
      <c r="D7921">
        <v>52</v>
      </c>
      <c r="E7921" s="16" t="s">
        <v>144</v>
      </c>
      <c r="F7921" s="16" t="s">
        <v>110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65</v>
      </c>
      <c r="C7922" s="9">
        <v>45748</v>
      </c>
      <c r="D7922">
        <v>52</v>
      </c>
      <c r="E7922" s="16" t="s">
        <v>144</v>
      </c>
      <c r="F7922" s="16" t="s">
        <v>110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65</v>
      </c>
      <c r="C7923" s="9">
        <v>45778</v>
      </c>
      <c r="D7923">
        <v>52</v>
      </c>
      <c r="E7923" s="16" t="s">
        <v>144</v>
      </c>
      <c r="F7923" s="16" t="s">
        <v>110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65</v>
      </c>
      <c r="C7924" s="9">
        <v>45809</v>
      </c>
      <c r="D7924">
        <v>52</v>
      </c>
      <c r="E7924" s="16" t="s">
        <v>144</v>
      </c>
      <c r="F7924" s="16" t="s">
        <v>110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65</v>
      </c>
      <c r="C7925" s="9">
        <v>45839</v>
      </c>
      <c r="D7925">
        <v>52</v>
      </c>
      <c r="E7925" s="16" t="s">
        <v>144</v>
      </c>
      <c r="F7925" s="16" t="s">
        <v>110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65</v>
      </c>
      <c r="C7926" s="9">
        <v>45870</v>
      </c>
      <c r="D7926">
        <v>52</v>
      </c>
      <c r="E7926" s="16" t="s">
        <v>144</v>
      </c>
      <c r="F7926" s="16" t="s">
        <v>110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65</v>
      </c>
      <c r="C7927" s="9">
        <v>45901</v>
      </c>
      <c r="D7927">
        <v>52</v>
      </c>
      <c r="E7927" s="16" t="s">
        <v>144</v>
      </c>
      <c r="F7927" s="16" t="s">
        <v>110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65</v>
      </c>
      <c r="C7928" s="9">
        <v>45931</v>
      </c>
      <c r="D7928">
        <v>52</v>
      </c>
      <c r="E7928" s="16" t="s">
        <v>144</v>
      </c>
      <c r="F7928" s="16" t="s">
        <v>110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65</v>
      </c>
      <c r="C7929" s="9">
        <v>45962</v>
      </c>
      <c r="D7929">
        <v>52</v>
      </c>
      <c r="E7929" s="16" t="s">
        <v>144</v>
      </c>
      <c r="F7929" s="16" t="s">
        <v>110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65</v>
      </c>
      <c r="C7930" s="9">
        <v>46023</v>
      </c>
      <c r="D7930">
        <v>52</v>
      </c>
      <c r="E7930" s="16" t="s">
        <v>144</v>
      </c>
      <c r="F7930" s="16" t="s">
        <v>110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65</v>
      </c>
      <c r="C7931" s="9">
        <v>46054</v>
      </c>
      <c r="D7931">
        <v>52</v>
      </c>
      <c r="E7931" s="16" t="s">
        <v>144</v>
      </c>
      <c r="F7931" s="16" t="s">
        <v>110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65</v>
      </c>
      <c r="C7932" s="9">
        <v>46082</v>
      </c>
      <c r="D7932">
        <v>52</v>
      </c>
      <c r="E7932" s="16" t="s">
        <v>144</v>
      </c>
      <c r="F7932" s="16" t="s">
        <v>110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65</v>
      </c>
      <c r="C7933" s="9">
        <v>46113</v>
      </c>
      <c r="D7933">
        <v>52</v>
      </c>
      <c r="E7933" s="16" t="s">
        <v>144</v>
      </c>
      <c r="F7933" s="16" t="s">
        <v>110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65</v>
      </c>
      <c r="C7934" s="9">
        <v>46174</v>
      </c>
      <c r="D7934">
        <v>52</v>
      </c>
      <c r="E7934" s="16" t="s">
        <v>144</v>
      </c>
      <c r="F7934" s="16" t="s">
        <v>110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65</v>
      </c>
      <c r="C7935" s="9">
        <v>46204</v>
      </c>
      <c r="D7935">
        <v>52</v>
      </c>
      <c r="E7935" s="16" t="s">
        <v>144</v>
      </c>
      <c r="F7935" s="16" t="s">
        <v>110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65</v>
      </c>
      <c r="C7936" s="9">
        <v>46235</v>
      </c>
      <c r="D7936">
        <v>52</v>
      </c>
      <c r="E7936" s="16" t="s">
        <v>144</v>
      </c>
      <c r="F7936" s="16" t="s">
        <v>110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65</v>
      </c>
      <c r="C7937" s="9">
        <v>45689</v>
      </c>
      <c r="D7937">
        <v>53</v>
      </c>
      <c r="E7937" s="16" t="s">
        <v>145</v>
      </c>
      <c r="F7937" s="16" t="s">
        <v>105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65</v>
      </c>
      <c r="C7938" s="9">
        <v>45717</v>
      </c>
      <c r="D7938">
        <v>53</v>
      </c>
      <c r="E7938" s="16" t="s">
        <v>145</v>
      </c>
      <c r="F7938" s="16" t="s">
        <v>105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65</v>
      </c>
      <c r="C7939" s="9">
        <v>45748</v>
      </c>
      <c r="D7939">
        <v>53</v>
      </c>
      <c r="E7939" s="16" t="s">
        <v>145</v>
      </c>
      <c r="F7939" s="16" t="s">
        <v>105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65</v>
      </c>
      <c r="C7940" s="9">
        <v>45778</v>
      </c>
      <c r="D7940">
        <v>53</v>
      </c>
      <c r="E7940" s="16" t="s">
        <v>145</v>
      </c>
      <c r="F7940" s="16" t="s">
        <v>105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65</v>
      </c>
      <c r="C7941" s="9">
        <v>45809</v>
      </c>
      <c r="D7941">
        <v>53</v>
      </c>
      <c r="E7941" s="16" t="s">
        <v>145</v>
      </c>
      <c r="F7941" s="16" t="s">
        <v>105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65</v>
      </c>
      <c r="C7942" s="9">
        <v>45839</v>
      </c>
      <c r="D7942">
        <v>53</v>
      </c>
      <c r="E7942" s="16" t="s">
        <v>145</v>
      </c>
      <c r="F7942" s="16" t="s">
        <v>105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65</v>
      </c>
      <c r="C7943" s="9">
        <v>45870</v>
      </c>
      <c r="D7943">
        <v>53</v>
      </c>
      <c r="E7943" s="16" t="s">
        <v>145</v>
      </c>
      <c r="F7943" s="16" t="s">
        <v>105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65</v>
      </c>
      <c r="C7944" s="9">
        <v>45901</v>
      </c>
      <c r="D7944">
        <v>53</v>
      </c>
      <c r="E7944" s="16" t="s">
        <v>145</v>
      </c>
      <c r="F7944" s="16" t="s">
        <v>105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65</v>
      </c>
      <c r="C7945" s="9">
        <v>45931</v>
      </c>
      <c r="D7945">
        <v>53</v>
      </c>
      <c r="E7945" s="16" t="s">
        <v>145</v>
      </c>
      <c r="F7945" s="16" t="s">
        <v>105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65</v>
      </c>
      <c r="C7946" s="9">
        <v>45962</v>
      </c>
      <c r="D7946">
        <v>53</v>
      </c>
      <c r="E7946" s="16" t="s">
        <v>145</v>
      </c>
      <c r="F7946" s="16" t="s">
        <v>105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65</v>
      </c>
      <c r="C7947" s="9">
        <v>45992</v>
      </c>
      <c r="D7947">
        <v>53</v>
      </c>
      <c r="E7947" s="16" t="s">
        <v>145</v>
      </c>
      <c r="F7947" s="16" t="s">
        <v>105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65</v>
      </c>
      <c r="C7948" s="9">
        <v>46023</v>
      </c>
      <c r="D7948">
        <v>53</v>
      </c>
      <c r="E7948" s="16" t="s">
        <v>145</v>
      </c>
      <c r="F7948" s="16" t="s">
        <v>105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65</v>
      </c>
      <c r="C7949" s="9">
        <v>46054</v>
      </c>
      <c r="D7949">
        <v>53</v>
      </c>
      <c r="E7949" s="16" t="s">
        <v>145</v>
      </c>
      <c r="F7949" s="16" t="s">
        <v>105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65</v>
      </c>
      <c r="C7950" s="9">
        <v>46082</v>
      </c>
      <c r="D7950">
        <v>53</v>
      </c>
      <c r="E7950" s="16" t="s">
        <v>145</v>
      </c>
      <c r="F7950" s="16" t="s">
        <v>105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65</v>
      </c>
      <c r="C7951" s="9">
        <v>46113</v>
      </c>
      <c r="D7951">
        <v>53</v>
      </c>
      <c r="E7951" s="16" t="s">
        <v>145</v>
      </c>
      <c r="F7951" s="16" t="s">
        <v>105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65</v>
      </c>
      <c r="C7952" s="9">
        <v>46143</v>
      </c>
      <c r="D7952">
        <v>53</v>
      </c>
      <c r="E7952" s="16" t="s">
        <v>145</v>
      </c>
      <c r="F7952" s="16" t="s">
        <v>105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65</v>
      </c>
      <c r="C7953" s="9">
        <v>46174</v>
      </c>
      <c r="D7953">
        <v>53</v>
      </c>
      <c r="E7953" s="16" t="s">
        <v>145</v>
      </c>
      <c r="F7953" s="16" t="s">
        <v>105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65</v>
      </c>
      <c r="C7954" s="9">
        <v>46204</v>
      </c>
      <c r="D7954">
        <v>53</v>
      </c>
      <c r="E7954" s="16" t="s">
        <v>145</v>
      </c>
      <c r="F7954" s="16" t="s">
        <v>105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65</v>
      </c>
      <c r="C7955" s="9">
        <v>46235</v>
      </c>
      <c r="D7955">
        <v>53</v>
      </c>
      <c r="E7955" s="16" t="s">
        <v>145</v>
      </c>
      <c r="F7955" s="16" t="s">
        <v>105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65</v>
      </c>
      <c r="C7956" s="9">
        <v>46266</v>
      </c>
      <c r="D7956">
        <v>53</v>
      </c>
      <c r="E7956" s="16" t="s">
        <v>145</v>
      </c>
      <c r="F7956" s="16" t="s">
        <v>105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65</v>
      </c>
      <c r="C7957" s="9">
        <v>45689</v>
      </c>
      <c r="D7957">
        <v>54</v>
      </c>
      <c r="E7957" s="16" t="s">
        <v>146</v>
      </c>
      <c r="F7957" s="16" t="s">
        <v>105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65</v>
      </c>
      <c r="C7958" s="9">
        <v>45717</v>
      </c>
      <c r="D7958">
        <v>54</v>
      </c>
      <c r="E7958" s="16" t="s">
        <v>146</v>
      </c>
      <c r="F7958" s="16" t="s">
        <v>105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65</v>
      </c>
      <c r="C7959" s="9">
        <v>45748</v>
      </c>
      <c r="D7959">
        <v>54</v>
      </c>
      <c r="E7959" s="16" t="s">
        <v>146</v>
      </c>
      <c r="F7959" s="16" t="s">
        <v>105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65</v>
      </c>
      <c r="C7960" s="9">
        <v>45778</v>
      </c>
      <c r="D7960">
        <v>54</v>
      </c>
      <c r="E7960" s="16" t="s">
        <v>146</v>
      </c>
      <c r="F7960" s="16" t="s">
        <v>105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65</v>
      </c>
      <c r="C7961" s="9">
        <v>45809</v>
      </c>
      <c r="D7961">
        <v>54</v>
      </c>
      <c r="E7961" s="16" t="s">
        <v>146</v>
      </c>
      <c r="F7961" s="16" t="s">
        <v>105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65</v>
      </c>
      <c r="C7962" s="9">
        <v>45839</v>
      </c>
      <c r="D7962">
        <v>54</v>
      </c>
      <c r="E7962" s="16" t="s">
        <v>146</v>
      </c>
      <c r="F7962" s="16" t="s">
        <v>105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65</v>
      </c>
      <c r="C7963" s="9">
        <v>45870</v>
      </c>
      <c r="D7963">
        <v>54</v>
      </c>
      <c r="E7963" s="16" t="s">
        <v>146</v>
      </c>
      <c r="F7963" s="16" t="s">
        <v>105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65</v>
      </c>
      <c r="C7964" s="9">
        <v>45901</v>
      </c>
      <c r="D7964">
        <v>54</v>
      </c>
      <c r="E7964" s="16" t="s">
        <v>146</v>
      </c>
      <c r="F7964" s="16" t="s">
        <v>105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65</v>
      </c>
      <c r="C7965" s="9">
        <v>45931</v>
      </c>
      <c r="D7965">
        <v>54</v>
      </c>
      <c r="E7965" s="16" t="s">
        <v>146</v>
      </c>
      <c r="F7965" s="16" t="s">
        <v>105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65</v>
      </c>
      <c r="C7966" s="9">
        <v>45962</v>
      </c>
      <c r="D7966">
        <v>54</v>
      </c>
      <c r="E7966" s="16" t="s">
        <v>146</v>
      </c>
      <c r="F7966" s="16" t="s">
        <v>105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65</v>
      </c>
      <c r="C7967" s="9">
        <v>45992</v>
      </c>
      <c r="D7967">
        <v>54</v>
      </c>
      <c r="E7967" s="16" t="s">
        <v>146</v>
      </c>
      <c r="F7967" s="16" t="s">
        <v>105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65</v>
      </c>
      <c r="C7968" s="9">
        <v>46023</v>
      </c>
      <c r="D7968">
        <v>54</v>
      </c>
      <c r="E7968" s="16" t="s">
        <v>146</v>
      </c>
      <c r="F7968" s="16" t="s">
        <v>105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65</v>
      </c>
      <c r="C7969" s="9">
        <v>46054</v>
      </c>
      <c r="D7969">
        <v>54</v>
      </c>
      <c r="E7969" s="16" t="s">
        <v>146</v>
      </c>
      <c r="F7969" s="16" t="s">
        <v>105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65</v>
      </c>
      <c r="C7970" s="9">
        <v>46082</v>
      </c>
      <c r="D7970">
        <v>54</v>
      </c>
      <c r="E7970" s="16" t="s">
        <v>146</v>
      </c>
      <c r="F7970" s="16" t="s">
        <v>105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65</v>
      </c>
      <c r="C7971" s="9">
        <v>46113</v>
      </c>
      <c r="D7971">
        <v>54</v>
      </c>
      <c r="E7971" s="16" t="s">
        <v>146</v>
      </c>
      <c r="F7971" s="16" t="s">
        <v>105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65</v>
      </c>
      <c r="C7972" s="9">
        <v>46143</v>
      </c>
      <c r="D7972">
        <v>54</v>
      </c>
      <c r="E7972" s="16" t="s">
        <v>146</v>
      </c>
      <c r="F7972" s="16" t="s">
        <v>105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65</v>
      </c>
      <c r="C7973" s="9">
        <v>46174</v>
      </c>
      <c r="D7973">
        <v>54</v>
      </c>
      <c r="E7973" s="16" t="s">
        <v>146</v>
      </c>
      <c r="F7973" s="16" t="s">
        <v>105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65</v>
      </c>
      <c r="C7974" s="9">
        <v>46204</v>
      </c>
      <c r="D7974">
        <v>54</v>
      </c>
      <c r="E7974" s="16" t="s">
        <v>146</v>
      </c>
      <c r="F7974" s="16" t="s">
        <v>105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65</v>
      </c>
      <c r="C7975" s="9">
        <v>46235</v>
      </c>
      <c r="D7975">
        <v>54</v>
      </c>
      <c r="E7975" s="16" t="s">
        <v>146</v>
      </c>
      <c r="F7975" s="16" t="s">
        <v>105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65</v>
      </c>
      <c r="C7976" s="9">
        <v>46266</v>
      </c>
      <c r="D7976">
        <v>54</v>
      </c>
      <c r="E7976" s="16" t="s">
        <v>146</v>
      </c>
      <c r="F7976" s="16" t="s">
        <v>105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65</v>
      </c>
      <c r="C7977" s="9">
        <v>45689</v>
      </c>
      <c r="D7977">
        <v>55</v>
      </c>
      <c r="E7977" s="16" t="s">
        <v>147</v>
      </c>
      <c r="F7977" s="16" t="s">
        <v>85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65</v>
      </c>
      <c r="C7978" s="9">
        <v>45717</v>
      </c>
      <c r="D7978">
        <v>55</v>
      </c>
      <c r="E7978" s="16" t="s">
        <v>147</v>
      </c>
      <c r="F7978" s="16" t="s">
        <v>85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65</v>
      </c>
      <c r="C7979" s="9">
        <v>45748</v>
      </c>
      <c r="D7979">
        <v>55</v>
      </c>
      <c r="E7979" s="16" t="s">
        <v>147</v>
      </c>
      <c r="F7979" s="16" t="s">
        <v>85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65</v>
      </c>
      <c r="C7980" s="9">
        <v>45778</v>
      </c>
      <c r="D7980">
        <v>55</v>
      </c>
      <c r="E7980" s="16" t="s">
        <v>147</v>
      </c>
      <c r="F7980" s="16" t="s">
        <v>85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65</v>
      </c>
      <c r="C7981" s="9">
        <v>45809</v>
      </c>
      <c r="D7981">
        <v>55</v>
      </c>
      <c r="E7981" s="16" t="s">
        <v>147</v>
      </c>
      <c r="F7981" s="16" t="s">
        <v>85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65</v>
      </c>
      <c r="C7982" s="9">
        <v>45839</v>
      </c>
      <c r="D7982">
        <v>55</v>
      </c>
      <c r="E7982" s="16" t="s">
        <v>147</v>
      </c>
      <c r="F7982" s="16" t="s">
        <v>85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65</v>
      </c>
      <c r="C7983" s="9">
        <v>45870</v>
      </c>
      <c r="D7983">
        <v>55</v>
      </c>
      <c r="E7983" s="16" t="s">
        <v>147</v>
      </c>
      <c r="F7983" s="16" t="s">
        <v>85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65</v>
      </c>
      <c r="C7984" s="9">
        <v>45901</v>
      </c>
      <c r="D7984">
        <v>55</v>
      </c>
      <c r="E7984" s="16" t="s">
        <v>147</v>
      </c>
      <c r="F7984" s="16" t="s">
        <v>85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65</v>
      </c>
      <c r="C7985" s="9">
        <v>45931</v>
      </c>
      <c r="D7985">
        <v>55</v>
      </c>
      <c r="E7985" s="16" t="s">
        <v>147</v>
      </c>
      <c r="F7985" s="16" t="s">
        <v>85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65</v>
      </c>
      <c r="C7986" s="9">
        <v>45962</v>
      </c>
      <c r="D7986">
        <v>55</v>
      </c>
      <c r="E7986" s="16" t="s">
        <v>147</v>
      </c>
      <c r="F7986" s="16" t="s">
        <v>85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65</v>
      </c>
      <c r="C7987" s="9">
        <v>45992</v>
      </c>
      <c r="D7987">
        <v>55</v>
      </c>
      <c r="E7987" s="16" t="s">
        <v>147</v>
      </c>
      <c r="F7987" s="16" t="s">
        <v>85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65</v>
      </c>
      <c r="C7988" s="9">
        <v>46023</v>
      </c>
      <c r="D7988">
        <v>55</v>
      </c>
      <c r="E7988" s="16" t="s">
        <v>147</v>
      </c>
      <c r="F7988" s="16" t="s">
        <v>85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65</v>
      </c>
      <c r="C7989" s="9">
        <v>46054</v>
      </c>
      <c r="D7989">
        <v>55</v>
      </c>
      <c r="E7989" s="16" t="s">
        <v>147</v>
      </c>
      <c r="F7989" s="16" t="s">
        <v>85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65</v>
      </c>
      <c r="C7990" s="9">
        <v>46082</v>
      </c>
      <c r="D7990">
        <v>55</v>
      </c>
      <c r="E7990" s="16" t="s">
        <v>147</v>
      </c>
      <c r="F7990" s="16" t="s">
        <v>85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65</v>
      </c>
      <c r="C7991" s="9">
        <v>46113</v>
      </c>
      <c r="D7991">
        <v>55</v>
      </c>
      <c r="E7991" s="16" t="s">
        <v>147</v>
      </c>
      <c r="F7991" s="16" t="s">
        <v>85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65</v>
      </c>
      <c r="C7992" s="9">
        <v>46143</v>
      </c>
      <c r="D7992">
        <v>55</v>
      </c>
      <c r="E7992" s="16" t="s">
        <v>147</v>
      </c>
      <c r="F7992" s="16" t="s">
        <v>85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65</v>
      </c>
      <c r="C7993" s="9">
        <v>46174</v>
      </c>
      <c r="D7993">
        <v>55</v>
      </c>
      <c r="E7993" s="16" t="s">
        <v>147</v>
      </c>
      <c r="F7993" s="16" t="s">
        <v>85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65</v>
      </c>
      <c r="C7994" s="9">
        <v>46204</v>
      </c>
      <c r="D7994">
        <v>55</v>
      </c>
      <c r="E7994" s="16" t="s">
        <v>147</v>
      </c>
      <c r="F7994" s="16" t="s">
        <v>85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65</v>
      </c>
      <c r="C7995" s="9">
        <v>46235</v>
      </c>
      <c r="D7995">
        <v>55</v>
      </c>
      <c r="E7995" s="16" t="s">
        <v>147</v>
      </c>
      <c r="F7995" s="16" t="s">
        <v>85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65</v>
      </c>
      <c r="C7996" s="9">
        <v>46266</v>
      </c>
      <c r="D7996">
        <v>55</v>
      </c>
      <c r="E7996" s="16" t="s">
        <v>147</v>
      </c>
      <c r="F7996" s="16" t="s">
        <v>85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65</v>
      </c>
      <c r="C7997" s="9">
        <v>45689</v>
      </c>
      <c r="D7997">
        <v>56</v>
      </c>
      <c r="E7997" s="16" t="s">
        <v>148</v>
      </c>
      <c r="F7997" s="16" t="s">
        <v>140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65</v>
      </c>
      <c r="C7998" s="9">
        <v>45717</v>
      </c>
      <c r="D7998">
        <v>56</v>
      </c>
      <c r="E7998" s="16" t="s">
        <v>148</v>
      </c>
      <c r="F7998" s="16" t="s">
        <v>140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65</v>
      </c>
      <c r="C7999" s="9">
        <v>45748</v>
      </c>
      <c r="D7999">
        <v>56</v>
      </c>
      <c r="E7999" s="16" t="s">
        <v>148</v>
      </c>
      <c r="F7999" s="16" t="s">
        <v>140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65</v>
      </c>
      <c r="C8000" s="9">
        <v>45778</v>
      </c>
      <c r="D8000">
        <v>56</v>
      </c>
      <c r="E8000" s="16" t="s">
        <v>148</v>
      </c>
      <c r="F8000" s="16" t="s">
        <v>140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65</v>
      </c>
      <c r="C8001" s="9">
        <v>45809</v>
      </c>
      <c r="D8001">
        <v>56</v>
      </c>
      <c r="E8001" s="16" t="s">
        <v>148</v>
      </c>
      <c r="F8001" s="16" t="s">
        <v>140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65</v>
      </c>
      <c r="C8002" s="9">
        <v>45839</v>
      </c>
      <c r="D8002">
        <v>56</v>
      </c>
      <c r="E8002" s="16" t="s">
        <v>148</v>
      </c>
      <c r="F8002" s="16" t="s">
        <v>140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65</v>
      </c>
      <c r="C8003" s="9">
        <v>45870</v>
      </c>
      <c r="D8003">
        <v>56</v>
      </c>
      <c r="E8003" s="16" t="s">
        <v>148</v>
      </c>
      <c r="F8003" s="16" t="s">
        <v>140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65</v>
      </c>
      <c r="C8004" s="9">
        <v>45901</v>
      </c>
      <c r="D8004">
        <v>56</v>
      </c>
      <c r="E8004" s="16" t="s">
        <v>148</v>
      </c>
      <c r="F8004" s="16" t="s">
        <v>140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65</v>
      </c>
      <c r="C8005" s="9">
        <v>45931</v>
      </c>
      <c r="D8005">
        <v>56</v>
      </c>
      <c r="E8005" s="16" t="s">
        <v>148</v>
      </c>
      <c r="F8005" s="16" t="s">
        <v>140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65</v>
      </c>
      <c r="C8006" s="9">
        <v>45962</v>
      </c>
      <c r="D8006">
        <v>56</v>
      </c>
      <c r="E8006" s="16" t="s">
        <v>148</v>
      </c>
      <c r="F8006" s="16" t="s">
        <v>140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65</v>
      </c>
      <c r="C8007" s="9">
        <v>45992</v>
      </c>
      <c r="D8007">
        <v>56</v>
      </c>
      <c r="E8007" s="16" t="s">
        <v>148</v>
      </c>
      <c r="F8007" s="16" t="s">
        <v>140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65</v>
      </c>
      <c r="C8008" s="9">
        <v>46023</v>
      </c>
      <c r="D8008">
        <v>56</v>
      </c>
      <c r="E8008" s="16" t="s">
        <v>148</v>
      </c>
      <c r="F8008" s="16" t="s">
        <v>140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65</v>
      </c>
      <c r="C8009" s="9">
        <v>46054</v>
      </c>
      <c r="D8009">
        <v>56</v>
      </c>
      <c r="E8009" s="16" t="s">
        <v>148</v>
      </c>
      <c r="F8009" s="16" t="s">
        <v>140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65</v>
      </c>
      <c r="C8010" s="9">
        <v>46082</v>
      </c>
      <c r="D8010">
        <v>56</v>
      </c>
      <c r="E8010" s="16" t="s">
        <v>148</v>
      </c>
      <c r="F8010" s="16" t="s">
        <v>140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65</v>
      </c>
      <c r="C8011" s="9">
        <v>46113</v>
      </c>
      <c r="D8011">
        <v>56</v>
      </c>
      <c r="E8011" s="16" t="s">
        <v>148</v>
      </c>
      <c r="F8011" s="16" t="s">
        <v>140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65</v>
      </c>
      <c r="C8012" s="9">
        <v>46143</v>
      </c>
      <c r="D8012">
        <v>56</v>
      </c>
      <c r="E8012" s="16" t="s">
        <v>148</v>
      </c>
      <c r="F8012" s="16" t="s">
        <v>140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65</v>
      </c>
      <c r="C8013" s="9">
        <v>46174</v>
      </c>
      <c r="D8013">
        <v>56</v>
      </c>
      <c r="E8013" s="16" t="s">
        <v>148</v>
      </c>
      <c r="F8013" s="16" t="s">
        <v>140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65</v>
      </c>
      <c r="C8014" s="9">
        <v>46204</v>
      </c>
      <c r="D8014">
        <v>56</v>
      </c>
      <c r="E8014" s="16" t="s">
        <v>148</v>
      </c>
      <c r="F8014" s="16" t="s">
        <v>140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65</v>
      </c>
      <c r="C8015" s="9">
        <v>46235</v>
      </c>
      <c r="D8015">
        <v>56</v>
      </c>
      <c r="E8015" s="16" t="s">
        <v>148</v>
      </c>
      <c r="F8015" s="16" t="s">
        <v>140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65</v>
      </c>
      <c r="C8016" s="9">
        <v>46266</v>
      </c>
      <c r="D8016">
        <v>56</v>
      </c>
      <c r="E8016" s="16" t="s">
        <v>148</v>
      </c>
      <c r="F8016" s="16" t="s">
        <v>140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2" activePane="bottomLeft" state="frozen"/>
      <selection pane="bottomLeft" activeCell="S2" sqref="S2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28</v>
      </c>
      <c r="B1" s="15" t="s">
        <v>29</v>
      </c>
      <c r="C1" s="10" t="s">
        <v>66</v>
      </c>
      <c r="D1" s="17" t="s">
        <v>149</v>
      </c>
      <c r="E1" s="19" t="s">
        <v>150</v>
      </c>
      <c r="F1" s="21" t="s">
        <v>151</v>
      </c>
      <c r="G1" s="17" t="s">
        <v>152</v>
      </c>
      <c r="H1" s="17" t="s">
        <v>153</v>
      </c>
      <c r="I1" s="19" t="s">
        <v>154</v>
      </c>
      <c r="J1" s="17" t="s">
        <v>155</v>
      </c>
      <c r="K1" s="19" t="s">
        <v>156</v>
      </c>
      <c r="L1" s="17" t="s">
        <v>157</v>
      </c>
      <c r="M1" s="19" t="s">
        <v>158</v>
      </c>
      <c r="N1" s="17" t="s">
        <v>159</v>
      </c>
      <c r="O1" s="19" t="s">
        <v>160</v>
      </c>
      <c r="P1" s="17" t="s">
        <v>161</v>
      </c>
      <c r="Q1" s="19" t="s">
        <v>162</v>
      </c>
      <c r="R1" s="21" t="s">
        <v>163</v>
      </c>
      <c r="S1" s="21" t="s">
        <v>164</v>
      </c>
    </row>
    <row r="2" spans="1:19" x14ac:dyDescent="0.2">
      <c r="A2">
        <v>1</v>
      </c>
      <c r="B2" s="16" t="s">
        <v>39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39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39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39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39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39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39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39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39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39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39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39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39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39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39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39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39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39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39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39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58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58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58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58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58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58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58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58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58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58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58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58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58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58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58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58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58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58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58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58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60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60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60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60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60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60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60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60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60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60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60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60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60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60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60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60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60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60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60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60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61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61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61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61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61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61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61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61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61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61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61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61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61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61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61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61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61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61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61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61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62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62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62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62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62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62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62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62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62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62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62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62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62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62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62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62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62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62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62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62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63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63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63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63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63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63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63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63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63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63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63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63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63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63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63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63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63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63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63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63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64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64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64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64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64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64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64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64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64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64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64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64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64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64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64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64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64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64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64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64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65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65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65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65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65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65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65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65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65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65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65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65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65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65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65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65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65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65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65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65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188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5</vt:i4>
      </vt:variant>
    </vt:vector>
  </HeadingPairs>
  <TitlesOfParts>
    <vt:vector size="17" baseType="lpstr">
      <vt:lpstr>Overview</vt:lpstr>
      <vt:lpstr>Lists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Lists!location</vt:lpstr>
      <vt:lpstr>raw_location_price_variance!location_price_variance</vt:lpstr>
      <vt:lpstr>raw_menu_engineering!menu_engineering</vt:lpstr>
      <vt:lpstr>raw_menu_profitability!menu_profitability_by_location</vt:lpstr>
      <vt:lpstr>Menu_Performance!Print_Area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2026-10-29T00:08:34Z</dcterms:modified>
</cp:coreProperties>
</file>